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3.xml" ContentType="application/vnd.openxmlformats-officedocument.drawing+xml"/>
  <Override PartName="/xl/charts/chart17.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style23.xml" ContentType="application/vnd.ms-office.chartstyle+xml"/>
  <Override PartName="/xl/charts/colors23.xml" ContentType="application/vnd.ms-office.chartcolorstyle+xml"/>
  <Override PartName="/xl/charts/chart28.xml" ContentType="application/vnd.openxmlformats-officedocument.drawingml.chart+xml"/>
  <Override PartName="/xl/charts/style24.xml" ContentType="application/vnd.ms-office.chartstyle+xml"/>
  <Override PartName="/xl/charts/colors24.xml" ContentType="application/vnd.ms-office.chartcolorstyle+xml"/>
  <Override PartName="/xl/charts/chart29.xml" ContentType="application/vnd.openxmlformats-officedocument.drawingml.chart+xml"/>
  <Override PartName="/xl/charts/style25.xml" ContentType="application/vnd.ms-office.chartstyle+xml"/>
  <Override PartName="/xl/charts/colors2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mc:AlternateContent xmlns:mc="http://schemas.openxmlformats.org/markup-compatibility/2006">
    <mc:Choice Requires="x15">
      <x15ac:absPath xmlns:x15ac="http://schemas.microsoft.com/office/spreadsheetml/2010/11/ac" url="C:\Users\rouwen\Desktop\Capstone Project 1\"/>
    </mc:Choice>
  </mc:AlternateContent>
  <xr:revisionPtr revIDLastSave="0" documentId="13_ncr:1_{0077F436-1019-4550-A265-688729F69CB1}" xr6:coauthVersionLast="47" xr6:coauthVersionMax="47" xr10:uidLastSave="{00000000-0000-0000-0000-000000000000}"/>
  <bookViews>
    <workbookView xWindow="-108" yWindow="-108" windowWidth="23256" windowHeight="12576" xr2:uid="{00000000-000D-0000-FFFF-FFFF00000000}"/>
  </bookViews>
  <sheets>
    <sheet name="Dashboard" sheetId="30" r:id="rId1"/>
    <sheet name="diabetesoriginal" sheetId="1" r:id="rId2"/>
    <sheet name="diabetes" sheetId="40" r:id="rId3"/>
    <sheet name="correlation" sheetId="3" r:id="rId4"/>
    <sheet name="count" sheetId="39" r:id="rId5"/>
    <sheet name="Frequency" sheetId="36" r:id="rId6"/>
  </sheets>
  <definedNames>
    <definedName name="_xlnm._FilterDatabase" localSheetId="2" hidden="1">diabetes!$R$1:$S$1</definedName>
    <definedName name="_xlnm._FilterDatabase" localSheetId="1" hidden="1">diabetesoriginal!$A$1:$I$769</definedName>
    <definedName name="ExternalData_1" localSheetId="2" hidden="1">diabetes!$A$1:$O$769</definedName>
    <definedName name="Slicer_Age_Group">#N/A</definedName>
    <definedName name="Slicer_Diabetes">#N/A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V3" i="40" l="1"/>
  <c r="V4" i="40"/>
  <c r="V5" i="40"/>
  <c r="V6" i="40"/>
  <c r="V7" i="40"/>
  <c r="V8" i="40"/>
  <c r="V9" i="40"/>
  <c r="V10" i="40"/>
  <c r="V11" i="40"/>
  <c r="V12" i="40"/>
  <c r="V13" i="40"/>
  <c r="V14" i="40"/>
  <c r="V15" i="40"/>
  <c r="V16" i="40"/>
  <c r="V17" i="40"/>
  <c r="V18" i="40"/>
  <c r="V19" i="40"/>
  <c r="V20" i="40"/>
  <c r="V21" i="40"/>
  <c r="V22" i="40"/>
  <c r="V23" i="40"/>
  <c r="V24" i="40"/>
  <c r="V25" i="40"/>
  <c r="V26" i="40"/>
  <c r="V27" i="40"/>
  <c r="V28" i="40"/>
  <c r="V29" i="40"/>
  <c r="V30" i="40"/>
  <c r="V31" i="40"/>
  <c r="V32" i="40"/>
  <c r="V33" i="40"/>
  <c r="V34" i="40"/>
  <c r="V35" i="40"/>
  <c r="V36" i="40"/>
  <c r="V37" i="40"/>
  <c r="V38" i="40"/>
  <c r="V39" i="40"/>
  <c r="V40" i="40"/>
  <c r="V41" i="40"/>
  <c r="V42" i="40"/>
  <c r="V43" i="40"/>
  <c r="V44" i="40"/>
  <c r="V45" i="40"/>
  <c r="V46" i="40"/>
  <c r="V47" i="40"/>
  <c r="V48" i="40"/>
  <c r="V49" i="40"/>
  <c r="V50" i="40"/>
  <c r="V51" i="40"/>
  <c r="V52" i="40"/>
  <c r="V53" i="40"/>
  <c r="V54" i="40"/>
  <c r="V55" i="40"/>
  <c r="V56" i="40"/>
  <c r="V57" i="40"/>
  <c r="V58" i="40"/>
  <c r="V59" i="40"/>
  <c r="V60" i="40"/>
  <c r="V61" i="40"/>
  <c r="V62" i="40"/>
  <c r="V63" i="40"/>
  <c r="V64" i="40"/>
  <c r="V65" i="40"/>
  <c r="V66" i="40"/>
  <c r="V67" i="40"/>
  <c r="V68" i="40"/>
  <c r="V69" i="40"/>
  <c r="V70" i="40"/>
  <c r="V71" i="40"/>
  <c r="V72" i="40"/>
  <c r="V73" i="40"/>
  <c r="V74" i="40"/>
  <c r="V75" i="40"/>
  <c r="V76" i="40"/>
  <c r="V77" i="40"/>
  <c r="V78" i="40"/>
  <c r="V79" i="40"/>
  <c r="V80" i="40"/>
  <c r="V81" i="40"/>
  <c r="V82" i="40"/>
  <c r="V83" i="40"/>
  <c r="V84" i="40"/>
  <c r="V85" i="40"/>
  <c r="V86" i="40"/>
  <c r="V87" i="40"/>
  <c r="V88" i="40"/>
  <c r="V89" i="40"/>
  <c r="V90" i="40"/>
  <c r="V91" i="40"/>
  <c r="V92" i="40"/>
  <c r="V93" i="40"/>
  <c r="V94" i="40"/>
  <c r="V95" i="40"/>
  <c r="V96" i="40"/>
  <c r="V97" i="40"/>
  <c r="V98" i="40"/>
  <c r="V99" i="40"/>
  <c r="V100" i="40"/>
  <c r="V101" i="40"/>
  <c r="V102" i="40"/>
  <c r="V103" i="40"/>
  <c r="V104" i="40"/>
  <c r="V105" i="40"/>
  <c r="V106" i="40"/>
  <c r="V107" i="40"/>
  <c r="V108" i="40"/>
  <c r="V109" i="40"/>
  <c r="V110" i="40"/>
  <c r="V111" i="40"/>
  <c r="V112" i="40"/>
  <c r="V113" i="40"/>
  <c r="V114" i="40"/>
  <c r="V115" i="40"/>
  <c r="V116" i="40"/>
  <c r="V117" i="40"/>
  <c r="V118" i="40"/>
  <c r="V119" i="40"/>
  <c r="V120" i="40"/>
  <c r="V121" i="40"/>
  <c r="V122" i="40"/>
  <c r="V123" i="40"/>
  <c r="V124" i="40"/>
  <c r="V125" i="40"/>
  <c r="V126" i="40"/>
  <c r="V127" i="40"/>
  <c r="V128" i="40"/>
  <c r="V129" i="40"/>
  <c r="V130" i="40"/>
  <c r="V131" i="40"/>
  <c r="V132" i="40"/>
  <c r="V133" i="40"/>
  <c r="V134" i="40"/>
  <c r="V135" i="40"/>
  <c r="V136" i="40"/>
  <c r="V137" i="40"/>
  <c r="V138" i="40"/>
  <c r="V139" i="40"/>
  <c r="V140" i="40"/>
  <c r="V141" i="40"/>
  <c r="V142" i="40"/>
  <c r="V143" i="40"/>
  <c r="V144" i="40"/>
  <c r="V145" i="40"/>
  <c r="V146" i="40"/>
  <c r="V147" i="40"/>
  <c r="V148" i="40"/>
  <c r="V149" i="40"/>
  <c r="V150" i="40"/>
  <c r="V151" i="40"/>
  <c r="V152" i="40"/>
  <c r="V153" i="40"/>
  <c r="V154" i="40"/>
  <c r="V155" i="40"/>
  <c r="V156" i="40"/>
  <c r="V157" i="40"/>
  <c r="V158" i="40"/>
  <c r="V159" i="40"/>
  <c r="V160" i="40"/>
  <c r="V161" i="40"/>
  <c r="V162" i="40"/>
  <c r="V163" i="40"/>
  <c r="V164" i="40"/>
  <c r="V165" i="40"/>
  <c r="V166" i="40"/>
  <c r="V167" i="40"/>
  <c r="V168" i="40"/>
  <c r="V169" i="40"/>
  <c r="V170" i="40"/>
  <c r="V171" i="40"/>
  <c r="V172" i="40"/>
  <c r="V173" i="40"/>
  <c r="V174" i="40"/>
  <c r="V175" i="40"/>
  <c r="V176" i="40"/>
  <c r="V177" i="40"/>
  <c r="V178" i="40"/>
  <c r="V179" i="40"/>
  <c r="V180" i="40"/>
  <c r="V181" i="40"/>
  <c r="V182" i="40"/>
  <c r="V183" i="40"/>
  <c r="V184" i="40"/>
  <c r="V185" i="40"/>
  <c r="V186" i="40"/>
  <c r="V187" i="40"/>
  <c r="V188" i="40"/>
  <c r="V189" i="40"/>
  <c r="V190" i="40"/>
  <c r="V191" i="40"/>
  <c r="V192" i="40"/>
  <c r="V193" i="40"/>
  <c r="V194" i="40"/>
  <c r="V195" i="40"/>
  <c r="V196" i="40"/>
  <c r="V197" i="40"/>
  <c r="V198" i="40"/>
  <c r="V199" i="40"/>
  <c r="V200" i="40"/>
  <c r="V201" i="40"/>
  <c r="V202" i="40"/>
  <c r="V203" i="40"/>
  <c r="V204" i="40"/>
  <c r="V205" i="40"/>
  <c r="V206" i="40"/>
  <c r="V207" i="40"/>
  <c r="V208" i="40"/>
  <c r="V209" i="40"/>
  <c r="V210" i="40"/>
  <c r="V211" i="40"/>
  <c r="V212" i="40"/>
  <c r="V213" i="40"/>
  <c r="V214" i="40"/>
  <c r="V215" i="40"/>
  <c r="V216" i="40"/>
  <c r="V217" i="40"/>
  <c r="V218" i="40"/>
  <c r="V219" i="40"/>
  <c r="V220" i="40"/>
  <c r="V221" i="40"/>
  <c r="V222" i="40"/>
  <c r="V223" i="40"/>
  <c r="V224" i="40"/>
  <c r="V225" i="40"/>
  <c r="V226" i="40"/>
  <c r="V227" i="40"/>
  <c r="V228" i="40"/>
  <c r="V229" i="40"/>
  <c r="V230" i="40"/>
  <c r="V231" i="40"/>
  <c r="V232" i="40"/>
  <c r="V233" i="40"/>
  <c r="V234" i="40"/>
  <c r="V235" i="40"/>
  <c r="V236" i="40"/>
  <c r="V237" i="40"/>
  <c r="V238" i="40"/>
  <c r="V239" i="40"/>
  <c r="V240" i="40"/>
  <c r="V241" i="40"/>
  <c r="V242" i="40"/>
  <c r="V243" i="40"/>
  <c r="V244" i="40"/>
  <c r="V245" i="40"/>
  <c r="V246" i="40"/>
  <c r="V247" i="40"/>
  <c r="V248" i="40"/>
  <c r="V249" i="40"/>
  <c r="V250" i="40"/>
  <c r="V251" i="40"/>
  <c r="V252" i="40"/>
  <c r="V253" i="40"/>
  <c r="V254" i="40"/>
  <c r="V255" i="40"/>
  <c r="V256" i="40"/>
  <c r="V257" i="40"/>
  <c r="V258" i="40"/>
  <c r="V259" i="40"/>
  <c r="V260" i="40"/>
  <c r="V261" i="40"/>
  <c r="V262" i="40"/>
  <c r="V263" i="40"/>
  <c r="V264" i="40"/>
  <c r="V265" i="40"/>
  <c r="V266" i="40"/>
  <c r="V267" i="40"/>
  <c r="V268" i="40"/>
  <c r="V269" i="40"/>
  <c r="V270" i="40"/>
  <c r="V271" i="40"/>
  <c r="V272" i="40"/>
  <c r="V273" i="40"/>
  <c r="V274" i="40"/>
  <c r="V275" i="40"/>
  <c r="V276" i="40"/>
  <c r="V277" i="40"/>
  <c r="V278" i="40"/>
  <c r="V279" i="40"/>
  <c r="V280" i="40"/>
  <c r="V281" i="40"/>
  <c r="V282" i="40"/>
  <c r="V283" i="40"/>
  <c r="V284" i="40"/>
  <c r="V285" i="40"/>
  <c r="V286" i="40"/>
  <c r="V287" i="40"/>
  <c r="V288" i="40"/>
  <c r="V289" i="40"/>
  <c r="V290" i="40"/>
  <c r="V291" i="40"/>
  <c r="V292" i="40"/>
  <c r="V293" i="40"/>
  <c r="V294" i="40"/>
  <c r="V295" i="40"/>
  <c r="V296" i="40"/>
  <c r="V297" i="40"/>
  <c r="V298" i="40"/>
  <c r="V299" i="40"/>
  <c r="V300" i="40"/>
  <c r="V301" i="40"/>
  <c r="V302" i="40"/>
  <c r="V303" i="40"/>
  <c r="V304" i="40"/>
  <c r="V305" i="40"/>
  <c r="V306" i="40"/>
  <c r="V307" i="40"/>
  <c r="V308" i="40"/>
  <c r="V309" i="40"/>
  <c r="V310" i="40"/>
  <c r="V311" i="40"/>
  <c r="V312" i="40"/>
  <c r="V313" i="40"/>
  <c r="V314" i="40"/>
  <c r="V315" i="40"/>
  <c r="V316" i="40"/>
  <c r="V317" i="40"/>
  <c r="V318" i="40"/>
  <c r="V319" i="40"/>
  <c r="V320" i="40"/>
  <c r="V321" i="40"/>
  <c r="V322" i="40"/>
  <c r="V323" i="40"/>
  <c r="V324" i="40"/>
  <c r="V325" i="40"/>
  <c r="V326" i="40"/>
  <c r="V327" i="40"/>
  <c r="V328" i="40"/>
  <c r="V329" i="40"/>
  <c r="V330" i="40"/>
  <c r="V331" i="40"/>
  <c r="V332" i="40"/>
  <c r="V333" i="40"/>
  <c r="V334" i="40"/>
  <c r="V335" i="40"/>
  <c r="V336" i="40"/>
  <c r="V337" i="40"/>
  <c r="V338" i="40"/>
  <c r="V339" i="40"/>
  <c r="V340" i="40"/>
  <c r="V341" i="40"/>
  <c r="V342" i="40"/>
  <c r="V343" i="40"/>
  <c r="V344" i="40"/>
  <c r="V345" i="40"/>
  <c r="V346" i="40"/>
  <c r="V347" i="40"/>
  <c r="V348" i="40"/>
  <c r="V349" i="40"/>
  <c r="V350" i="40"/>
  <c r="V351" i="40"/>
  <c r="V352" i="40"/>
  <c r="V353" i="40"/>
  <c r="V354" i="40"/>
  <c r="V355" i="40"/>
  <c r="V356" i="40"/>
  <c r="V357" i="40"/>
  <c r="V358" i="40"/>
  <c r="V359" i="40"/>
  <c r="V360" i="40"/>
  <c r="V361" i="40"/>
  <c r="V362" i="40"/>
  <c r="V363" i="40"/>
  <c r="V364" i="40"/>
  <c r="V365" i="40"/>
  <c r="V366" i="40"/>
  <c r="V367" i="40"/>
  <c r="V368" i="40"/>
  <c r="V369" i="40"/>
  <c r="V370" i="40"/>
  <c r="V371" i="40"/>
  <c r="V372" i="40"/>
  <c r="V373" i="40"/>
  <c r="V374" i="40"/>
  <c r="V375" i="40"/>
  <c r="V376" i="40"/>
  <c r="V377" i="40"/>
  <c r="V378" i="40"/>
  <c r="V379" i="40"/>
  <c r="V380" i="40"/>
  <c r="V381" i="40"/>
  <c r="V382" i="40"/>
  <c r="V383" i="40"/>
  <c r="V384" i="40"/>
  <c r="V385" i="40"/>
  <c r="V386" i="40"/>
  <c r="V387" i="40"/>
  <c r="V388" i="40"/>
  <c r="V389" i="40"/>
  <c r="V390" i="40"/>
  <c r="V391" i="40"/>
  <c r="V392" i="40"/>
  <c r="V393" i="40"/>
  <c r="V394" i="40"/>
  <c r="V395" i="40"/>
  <c r="V396" i="40"/>
  <c r="V397" i="40"/>
  <c r="V398" i="40"/>
  <c r="V399" i="40"/>
  <c r="V400" i="40"/>
  <c r="V401" i="40"/>
  <c r="V402" i="40"/>
  <c r="V403" i="40"/>
  <c r="V404" i="40"/>
  <c r="V405" i="40"/>
  <c r="V406" i="40"/>
  <c r="V407" i="40"/>
  <c r="V408" i="40"/>
  <c r="V409" i="40"/>
  <c r="V410" i="40"/>
  <c r="V411" i="40"/>
  <c r="V412" i="40"/>
  <c r="V413" i="40"/>
  <c r="V414" i="40"/>
  <c r="V415" i="40"/>
  <c r="V416" i="40"/>
  <c r="V417" i="40"/>
  <c r="V418" i="40"/>
  <c r="V419" i="40"/>
  <c r="V420" i="40"/>
  <c r="V421" i="40"/>
  <c r="V422" i="40"/>
  <c r="V423" i="40"/>
  <c r="V424" i="40"/>
  <c r="V425" i="40"/>
  <c r="V426" i="40"/>
  <c r="V427" i="40"/>
  <c r="V428" i="40"/>
  <c r="V429" i="40"/>
  <c r="V430" i="40"/>
  <c r="V431" i="40"/>
  <c r="V432" i="40"/>
  <c r="V433" i="40"/>
  <c r="V434" i="40"/>
  <c r="V435" i="40"/>
  <c r="V436" i="40"/>
  <c r="V437" i="40"/>
  <c r="V438" i="40"/>
  <c r="V439" i="40"/>
  <c r="V440" i="40"/>
  <c r="V441" i="40"/>
  <c r="V442" i="40"/>
  <c r="V443" i="40"/>
  <c r="V444" i="40"/>
  <c r="V445" i="40"/>
  <c r="V446" i="40"/>
  <c r="V447" i="40"/>
  <c r="V448" i="40"/>
  <c r="V449" i="40"/>
  <c r="V450" i="40"/>
  <c r="V451" i="40"/>
  <c r="V452" i="40"/>
  <c r="V453" i="40"/>
  <c r="V454" i="40"/>
  <c r="V455" i="40"/>
  <c r="V456" i="40"/>
  <c r="V457" i="40"/>
  <c r="V458" i="40"/>
  <c r="V459" i="40"/>
  <c r="V460" i="40"/>
  <c r="V461" i="40"/>
  <c r="V462" i="40"/>
  <c r="V463" i="40"/>
  <c r="V464" i="40"/>
  <c r="V465" i="40"/>
  <c r="V466" i="40"/>
  <c r="V467" i="40"/>
  <c r="V468" i="40"/>
  <c r="V469" i="40"/>
  <c r="V470" i="40"/>
  <c r="V471" i="40"/>
  <c r="V472" i="40"/>
  <c r="V473" i="40"/>
  <c r="V474" i="40"/>
  <c r="V475" i="40"/>
  <c r="V476" i="40"/>
  <c r="V477" i="40"/>
  <c r="V478" i="40"/>
  <c r="V479" i="40"/>
  <c r="V480" i="40"/>
  <c r="V481" i="40"/>
  <c r="V482" i="40"/>
  <c r="V483" i="40"/>
  <c r="V484" i="40"/>
  <c r="V485" i="40"/>
  <c r="V486" i="40"/>
  <c r="V487" i="40"/>
  <c r="V488" i="40"/>
  <c r="V489" i="40"/>
  <c r="V490" i="40"/>
  <c r="V491" i="40"/>
  <c r="V492" i="40"/>
  <c r="V493" i="40"/>
  <c r="V494" i="40"/>
  <c r="V495" i="40"/>
  <c r="V496" i="40"/>
  <c r="V497" i="40"/>
  <c r="V498" i="40"/>
  <c r="V499" i="40"/>
  <c r="V500" i="40"/>
  <c r="V501" i="40"/>
  <c r="V502" i="40"/>
  <c r="V503" i="40"/>
  <c r="V504" i="40"/>
  <c r="V505" i="40"/>
  <c r="V506" i="40"/>
  <c r="V507" i="40"/>
  <c r="V508" i="40"/>
  <c r="V509" i="40"/>
  <c r="V510" i="40"/>
  <c r="V511" i="40"/>
  <c r="V512" i="40"/>
  <c r="V513" i="40"/>
  <c r="V514" i="40"/>
  <c r="V515" i="40"/>
  <c r="V516" i="40"/>
  <c r="V517" i="40"/>
  <c r="V518" i="40"/>
  <c r="V519" i="40"/>
  <c r="V520" i="40"/>
  <c r="V521" i="40"/>
  <c r="V522" i="40"/>
  <c r="V523" i="40"/>
  <c r="V524" i="40"/>
  <c r="V525" i="40"/>
  <c r="V526" i="40"/>
  <c r="V527" i="40"/>
  <c r="V528" i="40"/>
  <c r="V529" i="40"/>
  <c r="V530" i="40"/>
  <c r="V531" i="40"/>
  <c r="V532" i="40"/>
  <c r="V533" i="40"/>
  <c r="V534" i="40"/>
  <c r="V535" i="40"/>
  <c r="V536" i="40"/>
  <c r="V537" i="40"/>
  <c r="V538" i="40"/>
  <c r="V539" i="40"/>
  <c r="V540" i="40"/>
  <c r="V541" i="40"/>
  <c r="V542" i="40"/>
  <c r="V543" i="40"/>
  <c r="V544" i="40"/>
  <c r="V545" i="40"/>
  <c r="V546" i="40"/>
  <c r="V547" i="40"/>
  <c r="V548" i="40"/>
  <c r="V549" i="40"/>
  <c r="V550" i="40"/>
  <c r="V551" i="40"/>
  <c r="V552" i="40"/>
  <c r="V553" i="40"/>
  <c r="V554" i="40"/>
  <c r="V555" i="40"/>
  <c r="V556" i="40"/>
  <c r="V557" i="40"/>
  <c r="V558" i="40"/>
  <c r="V559" i="40"/>
  <c r="V560" i="40"/>
  <c r="V561" i="40"/>
  <c r="V562" i="40"/>
  <c r="V563" i="40"/>
  <c r="V564" i="40"/>
  <c r="V565" i="40"/>
  <c r="V566" i="40"/>
  <c r="V567" i="40"/>
  <c r="V568" i="40"/>
  <c r="V569" i="40"/>
  <c r="V570" i="40"/>
  <c r="V571" i="40"/>
  <c r="V572" i="40"/>
  <c r="V573" i="40"/>
  <c r="V574" i="40"/>
  <c r="V575" i="40"/>
  <c r="V576" i="40"/>
  <c r="V577" i="40"/>
  <c r="V578" i="40"/>
  <c r="V579" i="40"/>
  <c r="V580" i="40"/>
  <c r="V581" i="40"/>
  <c r="V582" i="40"/>
  <c r="V583" i="40"/>
  <c r="V584" i="40"/>
  <c r="V585" i="40"/>
  <c r="V586" i="40"/>
  <c r="V587" i="40"/>
  <c r="V588" i="40"/>
  <c r="V589" i="40"/>
  <c r="V590" i="40"/>
  <c r="V591" i="40"/>
  <c r="V592" i="40"/>
  <c r="V593" i="40"/>
  <c r="V594" i="40"/>
  <c r="V595" i="40"/>
  <c r="V596" i="40"/>
  <c r="V597" i="40"/>
  <c r="V598" i="40"/>
  <c r="V599" i="40"/>
  <c r="V600" i="40"/>
  <c r="V601" i="40"/>
  <c r="V602" i="40"/>
  <c r="V603" i="40"/>
  <c r="V604" i="40"/>
  <c r="V605" i="40"/>
  <c r="V606" i="40"/>
  <c r="V607" i="40"/>
  <c r="V608" i="40"/>
  <c r="V609" i="40"/>
  <c r="V610" i="40"/>
  <c r="V611" i="40"/>
  <c r="V612" i="40"/>
  <c r="V613" i="40"/>
  <c r="V614" i="40"/>
  <c r="V615" i="40"/>
  <c r="V616" i="40"/>
  <c r="V617" i="40"/>
  <c r="V618" i="40"/>
  <c r="V619" i="40"/>
  <c r="V620" i="40"/>
  <c r="V621" i="40"/>
  <c r="V622" i="40"/>
  <c r="V623" i="40"/>
  <c r="V624" i="40"/>
  <c r="V625" i="40"/>
  <c r="V626" i="40"/>
  <c r="V627" i="40"/>
  <c r="V628" i="40"/>
  <c r="V629" i="40"/>
  <c r="V630" i="40"/>
  <c r="V631" i="40"/>
  <c r="V632" i="40"/>
  <c r="V633" i="40"/>
  <c r="V634" i="40"/>
  <c r="V635" i="40"/>
  <c r="V636" i="40"/>
  <c r="V637" i="40"/>
  <c r="V638" i="40"/>
  <c r="V639" i="40"/>
  <c r="V640" i="40"/>
  <c r="V641" i="40"/>
  <c r="V642" i="40"/>
  <c r="V643" i="40"/>
  <c r="V644" i="40"/>
  <c r="V645" i="40"/>
  <c r="V646" i="40"/>
  <c r="V647" i="40"/>
  <c r="V648" i="40"/>
  <c r="V649" i="40"/>
  <c r="V650" i="40"/>
  <c r="V651" i="40"/>
  <c r="V652" i="40"/>
  <c r="V653" i="40"/>
  <c r="V654" i="40"/>
  <c r="V655" i="40"/>
  <c r="V656" i="40"/>
  <c r="V657" i="40"/>
  <c r="V658" i="40"/>
  <c r="V659" i="40"/>
  <c r="V660" i="40"/>
  <c r="V661" i="40"/>
  <c r="V662" i="40"/>
  <c r="V663" i="40"/>
  <c r="V664" i="40"/>
  <c r="V665" i="40"/>
  <c r="V666" i="40"/>
  <c r="V667" i="40"/>
  <c r="V668" i="40"/>
  <c r="V669" i="40"/>
  <c r="V670" i="40"/>
  <c r="V671" i="40"/>
  <c r="V672" i="40"/>
  <c r="V673" i="40"/>
  <c r="V674" i="40"/>
  <c r="V675" i="40"/>
  <c r="V676" i="40"/>
  <c r="V677" i="40"/>
  <c r="V678" i="40"/>
  <c r="V679" i="40"/>
  <c r="V680" i="40"/>
  <c r="V681" i="40"/>
  <c r="V682" i="40"/>
  <c r="V683" i="40"/>
  <c r="V684" i="40"/>
  <c r="V685" i="40"/>
  <c r="V686" i="40"/>
  <c r="V687" i="40"/>
  <c r="V688" i="40"/>
  <c r="V689" i="40"/>
  <c r="V690" i="40"/>
  <c r="V691" i="40"/>
  <c r="V692" i="40"/>
  <c r="V693" i="40"/>
  <c r="V694" i="40"/>
  <c r="V695" i="40"/>
  <c r="V696" i="40"/>
  <c r="V697" i="40"/>
  <c r="V698" i="40"/>
  <c r="V699" i="40"/>
  <c r="V700" i="40"/>
  <c r="V701" i="40"/>
  <c r="V702" i="40"/>
  <c r="V703" i="40"/>
  <c r="V704" i="40"/>
  <c r="V705" i="40"/>
  <c r="V706" i="40"/>
  <c r="V707" i="40"/>
  <c r="V708" i="40"/>
  <c r="V709" i="40"/>
  <c r="V710" i="40"/>
  <c r="V711" i="40"/>
  <c r="V712" i="40"/>
  <c r="V713" i="40"/>
  <c r="V714" i="40"/>
  <c r="V715" i="40"/>
  <c r="V716" i="40"/>
  <c r="V717" i="40"/>
  <c r="V718" i="40"/>
  <c r="V719" i="40"/>
  <c r="V720" i="40"/>
  <c r="V721" i="40"/>
  <c r="V722" i="40"/>
  <c r="V723" i="40"/>
  <c r="V724" i="40"/>
  <c r="V725" i="40"/>
  <c r="V726" i="40"/>
  <c r="V727" i="40"/>
  <c r="V728" i="40"/>
  <c r="V729" i="40"/>
  <c r="V730" i="40"/>
  <c r="V731" i="40"/>
  <c r="V732" i="40"/>
  <c r="V733" i="40"/>
  <c r="V734" i="40"/>
  <c r="V735" i="40"/>
  <c r="V736" i="40"/>
  <c r="V737" i="40"/>
  <c r="V738" i="40"/>
  <c r="V739" i="40"/>
  <c r="V740" i="40"/>
  <c r="V741" i="40"/>
  <c r="V742" i="40"/>
  <c r="V743" i="40"/>
  <c r="V744" i="40"/>
  <c r="V745" i="40"/>
  <c r="V746" i="40"/>
  <c r="V747" i="40"/>
  <c r="V748" i="40"/>
  <c r="V749" i="40"/>
  <c r="V750" i="40"/>
  <c r="V751" i="40"/>
  <c r="V752" i="40"/>
  <c r="V753" i="40"/>
  <c r="V754" i="40"/>
  <c r="V755" i="40"/>
  <c r="V756" i="40"/>
  <c r="V757" i="40"/>
  <c r="V758" i="40"/>
  <c r="V759" i="40"/>
  <c r="V760" i="40"/>
  <c r="V761" i="40"/>
  <c r="V762" i="40"/>
  <c r="V763" i="40"/>
  <c r="V764" i="40"/>
  <c r="V765" i="40"/>
  <c r="V766" i="40"/>
  <c r="V767" i="40"/>
  <c r="V768" i="40"/>
  <c r="V769" i="40"/>
  <c r="V2" i="40"/>
  <c r="U3" i="40"/>
  <c r="U4" i="40"/>
  <c r="U5" i="40"/>
  <c r="U6" i="40"/>
  <c r="U7" i="40"/>
  <c r="U8" i="40"/>
  <c r="U9" i="40"/>
  <c r="U10" i="40"/>
  <c r="U11" i="40"/>
  <c r="U12" i="40"/>
  <c r="U13" i="40"/>
  <c r="U14" i="40"/>
  <c r="U15" i="40"/>
  <c r="U16" i="40"/>
  <c r="U17" i="40"/>
  <c r="U18" i="40"/>
  <c r="U19" i="40"/>
  <c r="U20" i="40"/>
  <c r="U21" i="40"/>
  <c r="U22" i="40"/>
  <c r="U23" i="40"/>
  <c r="U24" i="40"/>
  <c r="U25" i="40"/>
  <c r="U26" i="40"/>
  <c r="U27" i="40"/>
  <c r="U28" i="40"/>
  <c r="U29" i="40"/>
  <c r="U30" i="40"/>
  <c r="U31" i="40"/>
  <c r="U32" i="40"/>
  <c r="U33" i="40"/>
  <c r="U34" i="40"/>
  <c r="U35" i="40"/>
  <c r="U36" i="40"/>
  <c r="U37" i="40"/>
  <c r="U38" i="40"/>
  <c r="U39" i="40"/>
  <c r="U40" i="40"/>
  <c r="U41" i="40"/>
  <c r="U42" i="40"/>
  <c r="U43" i="40"/>
  <c r="U44" i="40"/>
  <c r="U45" i="40"/>
  <c r="U46" i="40"/>
  <c r="U47" i="40"/>
  <c r="U48" i="40"/>
  <c r="U49" i="40"/>
  <c r="U50" i="40"/>
  <c r="U51" i="40"/>
  <c r="U52" i="40"/>
  <c r="U53" i="40"/>
  <c r="U54" i="40"/>
  <c r="U55" i="40"/>
  <c r="U56" i="40"/>
  <c r="U57" i="40"/>
  <c r="U58" i="40"/>
  <c r="U59" i="40"/>
  <c r="U60" i="40"/>
  <c r="U61" i="40"/>
  <c r="U62" i="40"/>
  <c r="U63" i="40"/>
  <c r="U64" i="40"/>
  <c r="U65" i="40"/>
  <c r="U66" i="40"/>
  <c r="U67" i="40"/>
  <c r="U68" i="40"/>
  <c r="U69" i="40"/>
  <c r="U70" i="40"/>
  <c r="U71" i="40"/>
  <c r="U72" i="40"/>
  <c r="U73" i="40"/>
  <c r="U74" i="40"/>
  <c r="U75" i="40"/>
  <c r="U76" i="40"/>
  <c r="U77" i="40"/>
  <c r="U78" i="40"/>
  <c r="U79" i="40"/>
  <c r="U80" i="40"/>
  <c r="U81" i="40"/>
  <c r="U82" i="40"/>
  <c r="U83" i="40"/>
  <c r="U84" i="40"/>
  <c r="U85" i="40"/>
  <c r="U86" i="40"/>
  <c r="U87" i="40"/>
  <c r="U88" i="40"/>
  <c r="U89" i="40"/>
  <c r="U90" i="40"/>
  <c r="U91" i="40"/>
  <c r="U92" i="40"/>
  <c r="U93" i="40"/>
  <c r="U94" i="40"/>
  <c r="U95" i="40"/>
  <c r="U96" i="40"/>
  <c r="U97" i="40"/>
  <c r="U98" i="40"/>
  <c r="U99" i="40"/>
  <c r="U100" i="40"/>
  <c r="U101" i="40"/>
  <c r="U102" i="40"/>
  <c r="U103" i="40"/>
  <c r="U104" i="40"/>
  <c r="U105" i="40"/>
  <c r="U106" i="40"/>
  <c r="U107" i="40"/>
  <c r="U108" i="40"/>
  <c r="U109" i="40"/>
  <c r="U110" i="40"/>
  <c r="U111" i="40"/>
  <c r="U112" i="40"/>
  <c r="U113" i="40"/>
  <c r="U114" i="40"/>
  <c r="U115" i="40"/>
  <c r="U116" i="40"/>
  <c r="U117" i="40"/>
  <c r="U118" i="40"/>
  <c r="U119" i="40"/>
  <c r="U120" i="40"/>
  <c r="U121" i="40"/>
  <c r="U122" i="40"/>
  <c r="U123" i="40"/>
  <c r="U124" i="40"/>
  <c r="U125" i="40"/>
  <c r="U126" i="40"/>
  <c r="U127" i="40"/>
  <c r="U128" i="40"/>
  <c r="U129" i="40"/>
  <c r="U130" i="40"/>
  <c r="U131" i="40"/>
  <c r="U132" i="40"/>
  <c r="U133" i="40"/>
  <c r="U134" i="40"/>
  <c r="U135" i="40"/>
  <c r="U136" i="40"/>
  <c r="U137" i="40"/>
  <c r="U138" i="40"/>
  <c r="U139" i="40"/>
  <c r="U140" i="40"/>
  <c r="U141" i="40"/>
  <c r="U142" i="40"/>
  <c r="U143" i="40"/>
  <c r="U144" i="40"/>
  <c r="U145" i="40"/>
  <c r="U146" i="40"/>
  <c r="U147" i="40"/>
  <c r="U148" i="40"/>
  <c r="U149" i="40"/>
  <c r="U150" i="40"/>
  <c r="U151" i="40"/>
  <c r="U152" i="40"/>
  <c r="U153" i="40"/>
  <c r="U154" i="40"/>
  <c r="U155" i="40"/>
  <c r="U156" i="40"/>
  <c r="U157" i="40"/>
  <c r="U158" i="40"/>
  <c r="U159" i="40"/>
  <c r="U160" i="40"/>
  <c r="U161" i="40"/>
  <c r="U162" i="40"/>
  <c r="U163" i="40"/>
  <c r="U164" i="40"/>
  <c r="U165" i="40"/>
  <c r="U166" i="40"/>
  <c r="U167" i="40"/>
  <c r="U168" i="40"/>
  <c r="U169" i="40"/>
  <c r="U170" i="40"/>
  <c r="U171" i="40"/>
  <c r="U172" i="40"/>
  <c r="U173" i="40"/>
  <c r="U174" i="40"/>
  <c r="U175" i="40"/>
  <c r="U176" i="40"/>
  <c r="U177" i="40"/>
  <c r="U178" i="40"/>
  <c r="U179" i="40"/>
  <c r="U180" i="40"/>
  <c r="U181" i="40"/>
  <c r="U182" i="40"/>
  <c r="U183" i="40"/>
  <c r="U184" i="40"/>
  <c r="U185" i="40"/>
  <c r="U186" i="40"/>
  <c r="U187" i="40"/>
  <c r="U188" i="40"/>
  <c r="U189" i="40"/>
  <c r="U190" i="40"/>
  <c r="U191" i="40"/>
  <c r="U192" i="40"/>
  <c r="U193" i="40"/>
  <c r="U194" i="40"/>
  <c r="U195" i="40"/>
  <c r="U196" i="40"/>
  <c r="U197" i="40"/>
  <c r="U198" i="40"/>
  <c r="U199" i="40"/>
  <c r="U200" i="40"/>
  <c r="U201" i="40"/>
  <c r="U202" i="40"/>
  <c r="U203" i="40"/>
  <c r="U204" i="40"/>
  <c r="U205" i="40"/>
  <c r="U206" i="40"/>
  <c r="U207" i="40"/>
  <c r="U208" i="40"/>
  <c r="U209" i="40"/>
  <c r="U210" i="40"/>
  <c r="U211" i="40"/>
  <c r="U212" i="40"/>
  <c r="U213" i="40"/>
  <c r="U214" i="40"/>
  <c r="U215" i="40"/>
  <c r="U216" i="40"/>
  <c r="U217" i="40"/>
  <c r="U218" i="40"/>
  <c r="U219" i="40"/>
  <c r="U220" i="40"/>
  <c r="U221" i="40"/>
  <c r="U222" i="40"/>
  <c r="U223" i="40"/>
  <c r="U224" i="40"/>
  <c r="U225" i="40"/>
  <c r="U226" i="40"/>
  <c r="U227" i="40"/>
  <c r="U228" i="40"/>
  <c r="U229" i="40"/>
  <c r="U230" i="40"/>
  <c r="U231" i="40"/>
  <c r="U232" i="40"/>
  <c r="U233" i="40"/>
  <c r="U234" i="40"/>
  <c r="U235" i="40"/>
  <c r="U236" i="40"/>
  <c r="U237" i="40"/>
  <c r="U238" i="40"/>
  <c r="U239" i="40"/>
  <c r="U240" i="40"/>
  <c r="U241" i="40"/>
  <c r="U242" i="40"/>
  <c r="U243" i="40"/>
  <c r="U244" i="40"/>
  <c r="U245" i="40"/>
  <c r="U246" i="40"/>
  <c r="U247" i="40"/>
  <c r="U248" i="40"/>
  <c r="U249" i="40"/>
  <c r="U250" i="40"/>
  <c r="U251" i="40"/>
  <c r="U252" i="40"/>
  <c r="U253" i="40"/>
  <c r="U254" i="40"/>
  <c r="U255" i="40"/>
  <c r="U256" i="40"/>
  <c r="U257" i="40"/>
  <c r="U258" i="40"/>
  <c r="U259" i="40"/>
  <c r="U260" i="40"/>
  <c r="U261" i="40"/>
  <c r="U262" i="40"/>
  <c r="U263" i="40"/>
  <c r="U264" i="40"/>
  <c r="U265" i="40"/>
  <c r="U266" i="40"/>
  <c r="U267" i="40"/>
  <c r="U268" i="40"/>
  <c r="U269" i="40"/>
  <c r="U270" i="40"/>
  <c r="U271" i="40"/>
  <c r="U272" i="40"/>
  <c r="U273" i="40"/>
  <c r="U274" i="40"/>
  <c r="U275" i="40"/>
  <c r="U276" i="40"/>
  <c r="U277" i="40"/>
  <c r="U278" i="40"/>
  <c r="U279" i="40"/>
  <c r="U280" i="40"/>
  <c r="U281" i="40"/>
  <c r="U282" i="40"/>
  <c r="U283" i="40"/>
  <c r="U284" i="40"/>
  <c r="U285" i="40"/>
  <c r="U286" i="40"/>
  <c r="U287" i="40"/>
  <c r="U288" i="40"/>
  <c r="U289" i="40"/>
  <c r="U290" i="40"/>
  <c r="U291" i="40"/>
  <c r="U292" i="40"/>
  <c r="U293" i="40"/>
  <c r="U294" i="40"/>
  <c r="U295" i="40"/>
  <c r="U296" i="40"/>
  <c r="U297" i="40"/>
  <c r="U298" i="40"/>
  <c r="U299" i="40"/>
  <c r="U300" i="40"/>
  <c r="U301" i="40"/>
  <c r="U302" i="40"/>
  <c r="U303" i="40"/>
  <c r="U304" i="40"/>
  <c r="U305" i="40"/>
  <c r="U306" i="40"/>
  <c r="U307" i="40"/>
  <c r="U308" i="40"/>
  <c r="U309" i="40"/>
  <c r="U310" i="40"/>
  <c r="U311" i="40"/>
  <c r="U312" i="40"/>
  <c r="U313" i="40"/>
  <c r="U314" i="40"/>
  <c r="U315" i="40"/>
  <c r="U316" i="40"/>
  <c r="U317" i="40"/>
  <c r="U318" i="40"/>
  <c r="U319" i="40"/>
  <c r="U320" i="40"/>
  <c r="U321" i="40"/>
  <c r="U322" i="40"/>
  <c r="U323" i="40"/>
  <c r="U324" i="40"/>
  <c r="U325" i="40"/>
  <c r="U326" i="40"/>
  <c r="U327" i="40"/>
  <c r="U328" i="40"/>
  <c r="U329" i="40"/>
  <c r="U330" i="40"/>
  <c r="U331" i="40"/>
  <c r="U332" i="40"/>
  <c r="U333" i="40"/>
  <c r="U334" i="40"/>
  <c r="U335" i="40"/>
  <c r="U336" i="40"/>
  <c r="U337" i="40"/>
  <c r="U338" i="40"/>
  <c r="U339" i="40"/>
  <c r="U340" i="40"/>
  <c r="U341" i="40"/>
  <c r="U342" i="40"/>
  <c r="U343" i="40"/>
  <c r="U344" i="40"/>
  <c r="U345" i="40"/>
  <c r="U346" i="40"/>
  <c r="U347" i="40"/>
  <c r="U348" i="40"/>
  <c r="U349" i="40"/>
  <c r="U350" i="40"/>
  <c r="U351" i="40"/>
  <c r="U352" i="40"/>
  <c r="U353" i="40"/>
  <c r="U354" i="40"/>
  <c r="U355" i="40"/>
  <c r="U356" i="40"/>
  <c r="U357" i="40"/>
  <c r="U358" i="40"/>
  <c r="U359" i="40"/>
  <c r="U360" i="40"/>
  <c r="U361" i="40"/>
  <c r="U362" i="40"/>
  <c r="U363" i="40"/>
  <c r="U364" i="40"/>
  <c r="U365" i="40"/>
  <c r="U366" i="40"/>
  <c r="U367" i="40"/>
  <c r="U368" i="40"/>
  <c r="U369" i="40"/>
  <c r="U370" i="40"/>
  <c r="U371" i="40"/>
  <c r="U372" i="40"/>
  <c r="U373" i="40"/>
  <c r="U374" i="40"/>
  <c r="U375" i="40"/>
  <c r="U376" i="40"/>
  <c r="U377" i="40"/>
  <c r="U378" i="40"/>
  <c r="U379" i="40"/>
  <c r="U380" i="40"/>
  <c r="U381" i="40"/>
  <c r="U382" i="40"/>
  <c r="U383" i="40"/>
  <c r="U384" i="40"/>
  <c r="U385" i="40"/>
  <c r="U386" i="40"/>
  <c r="U387" i="40"/>
  <c r="U388" i="40"/>
  <c r="U389" i="40"/>
  <c r="U390" i="40"/>
  <c r="U391" i="40"/>
  <c r="U392" i="40"/>
  <c r="U393" i="40"/>
  <c r="U394" i="40"/>
  <c r="U395" i="40"/>
  <c r="U396" i="40"/>
  <c r="U397" i="40"/>
  <c r="U398" i="40"/>
  <c r="U399" i="40"/>
  <c r="U400" i="40"/>
  <c r="U401" i="40"/>
  <c r="U402" i="40"/>
  <c r="U403" i="40"/>
  <c r="U404" i="40"/>
  <c r="U405" i="40"/>
  <c r="U406" i="40"/>
  <c r="U407" i="40"/>
  <c r="U408" i="40"/>
  <c r="U409" i="40"/>
  <c r="U410" i="40"/>
  <c r="U411" i="40"/>
  <c r="U412" i="40"/>
  <c r="U413" i="40"/>
  <c r="U414" i="40"/>
  <c r="U415" i="40"/>
  <c r="U416" i="40"/>
  <c r="U417" i="40"/>
  <c r="U418" i="40"/>
  <c r="U419" i="40"/>
  <c r="U420" i="40"/>
  <c r="U421" i="40"/>
  <c r="U422" i="40"/>
  <c r="U423" i="40"/>
  <c r="U424" i="40"/>
  <c r="U425" i="40"/>
  <c r="U426" i="40"/>
  <c r="U427" i="40"/>
  <c r="U428" i="40"/>
  <c r="U429" i="40"/>
  <c r="U430" i="40"/>
  <c r="U431" i="40"/>
  <c r="U432" i="40"/>
  <c r="U433" i="40"/>
  <c r="U434" i="40"/>
  <c r="U435" i="40"/>
  <c r="U436" i="40"/>
  <c r="U437" i="40"/>
  <c r="U438" i="40"/>
  <c r="U439" i="40"/>
  <c r="U440" i="40"/>
  <c r="U441" i="40"/>
  <c r="U442" i="40"/>
  <c r="U443" i="40"/>
  <c r="U444" i="40"/>
  <c r="U445" i="40"/>
  <c r="U446" i="40"/>
  <c r="U447" i="40"/>
  <c r="U448" i="40"/>
  <c r="U449" i="40"/>
  <c r="U450" i="40"/>
  <c r="U451" i="40"/>
  <c r="U452" i="40"/>
  <c r="U453" i="40"/>
  <c r="U454" i="40"/>
  <c r="U455" i="40"/>
  <c r="U456" i="40"/>
  <c r="U457" i="40"/>
  <c r="U458" i="40"/>
  <c r="U459" i="40"/>
  <c r="U460" i="40"/>
  <c r="U461" i="40"/>
  <c r="U462" i="40"/>
  <c r="U463" i="40"/>
  <c r="U464" i="40"/>
  <c r="U465" i="40"/>
  <c r="U466" i="40"/>
  <c r="U467" i="40"/>
  <c r="U468" i="40"/>
  <c r="U469" i="40"/>
  <c r="U470" i="40"/>
  <c r="U471" i="40"/>
  <c r="U472" i="40"/>
  <c r="U473" i="40"/>
  <c r="U474" i="40"/>
  <c r="U475" i="40"/>
  <c r="U476" i="40"/>
  <c r="U477" i="40"/>
  <c r="U478" i="40"/>
  <c r="U479" i="40"/>
  <c r="U480" i="40"/>
  <c r="U481" i="40"/>
  <c r="U482" i="40"/>
  <c r="U483" i="40"/>
  <c r="U484" i="40"/>
  <c r="U485" i="40"/>
  <c r="U486" i="40"/>
  <c r="U487" i="40"/>
  <c r="U488" i="40"/>
  <c r="U489" i="40"/>
  <c r="U490" i="40"/>
  <c r="U491" i="40"/>
  <c r="U492" i="40"/>
  <c r="U493" i="40"/>
  <c r="U494" i="40"/>
  <c r="U495" i="40"/>
  <c r="U496" i="40"/>
  <c r="U497" i="40"/>
  <c r="U498" i="40"/>
  <c r="U499" i="40"/>
  <c r="U500" i="40"/>
  <c r="U501" i="40"/>
  <c r="U502" i="40"/>
  <c r="U503" i="40"/>
  <c r="U504" i="40"/>
  <c r="U505" i="40"/>
  <c r="U506" i="40"/>
  <c r="U507" i="40"/>
  <c r="U508" i="40"/>
  <c r="U509" i="40"/>
  <c r="U510" i="40"/>
  <c r="U511" i="40"/>
  <c r="U512" i="40"/>
  <c r="U513" i="40"/>
  <c r="U514" i="40"/>
  <c r="U515" i="40"/>
  <c r="U516" i="40"/>
  <c r="U517" i="40"/>
  <c r="U518" i="40"/>
  <c r="U519" i="40"/>
  <c r="U520" i="40"/>
  <c r="U521" i="40"/>
  <c r="U522" i="40"/>
  <c r="U523" i="40"/>
  <c r="U524" i="40"/>
  <c r="U525" i="40"/>
  <c r="U526" i="40"/>
  <c r="U527" i="40"/>
  <c r="U528" i="40"/>
  <c r="U529" i="40"/>
  <c r="U530" i="40"/>
  <c r="U531" i="40"/>
  <c r="U532" i="40"/>
  <c r="U533" i="40"/>
  <c r="U534" i="40"/>
  <c r="U535" i="40"/>
  <c r="U536" i="40"/>
  <c r="U537" i="40"/>
  <c r="U538" i="40"/>
  <c r="U539" i="40"/>
  <c r="U540" i="40"/>
  <c r="U541" i="40"/>
  <c r="U542" i="40"/>
  <c r="U543" i="40"/>
  <c r="U544" i="40"/>
  <c r="U545" i="40"/>
  <c r="U546" i="40"/>
  <c r="U547" i="40"/>
  <c r="U548" i="40"/>
  <c r="U549" i="40"/>
  <c r="U550" i="40"/>
  <c r="U551" i="40"/>
  <c r="U552" i="40"/>
  <c r="U553" i="40"/>
  <c r="U554" i="40"/>
  <c r="U555" i="40"/>
  <c r="U556" i="40"/>
  <c r="U557" i="40"/>
  <c r="U558" i="40"/>
  <c r="U559" i="40"/>
  <c r="U560" i="40"/>
  <c r="U561" i="40"/>
  <c r="U562" i="40"/>
  <c r="U563" i="40"/>
  <c r="U564" i="40"/>
  <c r="U565" i="40"/>
  <c r="U566" i="40"/>
  <c r="U567" i="40"/>
  <c r="U568" i="40"/>
  <c r="U569" i="40"/>
  <c r="U570" i="40"/>
  <c r="U571" i="40"/>
  <c r="U572" i="40"/>
  <c r="U573" i="40"/>
  <c r="U574" i="40"/>
  <c r="U575" i="40"/>
  <c r="U576" i="40"/>
  <c r="U577" i="40"/>
  <c r="U578" i="40"/>
  <c r="U579" i="40"/>
  <c r="U580" i="40"/>
  <c r="U581" i="40"/>
  <c r="U582" i="40"/>
  <c r="U583" i="40"/>
  <c r="U584" i="40"/>
  <c r="U585" i="40"/>
  <c r="U586" i="40"/>
  <c r="U587" i="40"/>
  <c r="U588" i="40"/>
  <c r="U589" i="40"/>
  <c r="U590" i="40"/>
  <c r="U591" i="40"/>
  <c r="U592" i="40"/>
  <c r="U593" i="40"/>
  <c r="U594" i="40"/>
  <c r="U595" i="40"/>
  <c r="U596" i="40"/>
  <c r="U597" i="40"/>
  <c r="U598" i="40"/>
  <c r="U599" i="40"/>
  <c r="U600" i="40"/>
  <c r="U601" i="40"/>
  <c r="U602" i="40"/>
  <c r="U603" i="40"/>
  <c r="U604" i="40"/>
  <c r="U605" i="40"/>
  <c r="U606" i="40"/>
  <c r="U607" i="40"/>
  <c r="U608" i="40"/>
  <c r="U609" i="40"/>
  <c r="U610" i="40"/>
  <c r="U611" i="40"/>
  <c r="U612" i="40"/>
  <c r="U613" i="40"/>
  <c r="U614" i="40"/>
  <c r="U615" i="40"/>
  <c r="U616" i="40"/>
  <c r="U617" i="40"/>
  <c r="U618" i="40"/>
  <c r="U619" i="40"/>
  <c r="U620" i="40"/>
  <c r="U621" i="40"/>
  <c r="U622" i="40"/>
  <c r="U623" i="40"/>
  <c r="U624" i="40"/>
  <c r="U625" i="40"/>
  <c r="U626" i="40"/>
  <c r="U627" i="40"/>
  <c r="U628" i="40"/>
  <c r="U629" i="40"/>
  <c r="U630" i="40"/>
  <c r="U631" i="40"/>
  <c r="U632" i="40"/>
  <c r="U633" i="40"/>
  <c r="U634" i="40"/>
  <c r="U635" i="40"/>
  <c r="U636" i="40"/>
  <c r="U637" i="40"/>
  <c r="U638" i="40"/>
  <c r="U639" i="40"/>
  <c r="U640" i="40"/>
  <c r="U641" i="40"/>
  <c r="U642" i="40"/>
  <c r="U643" i="40"/>
  <c r="U644" i="40"/>
  <c r="U645" i="40"/>
  <c r="U646" i="40"/>
  <c r="U647" i="40"/>
  <c r="U648" i="40"/>
  <c r="U649" i="40"/>
  <c r="U650" i="40"/>
  <c r="U651" i="40"/>
  <c r="U652" i="40"/>
  <c r="U653" i="40"/>
  <c r="U654" i="40"/>
  <c r="U655" i="40"/>
  <c r="U656" i="40"/>
  <c r="U657" i="40"/>
  <c r="U658" i="40"/>
  <c r="U659" i="40"/>
  <c r="U660" i="40"/>
  <c r="U661" i="40"/>
  <c r="U662" i="40"/>
  <c r="U663" i="40"/>
  <c r="U664" i="40"/>
  <c r="U665" i="40"/>
  <c r="U666" i="40"/>
  <c r="U667" i="40"/>
  <c r="U668" i="40"/>
  <c r="U669" i="40"/>
  <c r="U670" i="40"/>
  <c r="U671" i="40"/>
  <c r="U672" i="40"/>
  <c r="U673" i="40"/>
  <c r="U674" i="40"/>
  <c r="U675" i="40"/>
  <c r="U676" i="40"/>
  <c r="U677" i="40"/>
  <c r="U678" i="40"/>
  <c r="U679" i="40"/>
  <c r="U680" i="40"/>
  <c r="U681" i="40"/>
  <c r="U682" i="40"/>
  <c r="U683" i="40"/>
  <c r="U684" i="40"/>
  <c r="U685" i="40"/>
  <c r="U686" i="40"/>
  <c r="U687" i="40"/>
  <c r="U688" i="40"/>
  <c r="U689" i="40"/>
  <c r="U690" i="40"/>
  <c r="U691" i="40"/>
  <c r="U692" i="40"/>
  <c r="U693" i="40"/>
  <c r="U694" i="40"/>
  <c r="U695" i="40"/>
  <c r="U696" i="40"/>
  <c r="U697" i="40"/>
  <c r="U698" i="40"/>
  <c r="U699" i="40"/>
  <c r="U700" i="40"/>
  <c r="U701" i="40"/>
  <c r="U702" i="40"/>
  <c r="U703" i="40"/>
  <c r="U704" i="40"/>
  <c r="U705" i="40"/>
  <c r="U706" i="40"/>
  <c r="U707" i="40"/>
  <c r="U708" i="40"/>
  <c r="U709" i="40"/>
  <c r="U710" i="40"/>
  <c r="U711" i="40"/>
  <c r="U712" i="40"/>
  <c r="U713" i="40"/>
  <c r="U714" i="40"/>
  <c r="U715" i="40"/>
  <c r="U716" i="40"/>
  <c r="U717" i="40"/>
  <c r="U718" i="40"/>
  <c r="U719" i="40"/>
  <c r="U720" i="40"/>
  <c r="U721" i="40"/>
  <c r="U722" i="40"/>
  <c r="U723" i="40"/>
  <c r="U724" i="40"/>
  <c r="U725" i="40"/>
  <c r="U726" i="40"/>
  <c r="U727" i="40"/>
  <c r="U728" i="40"/>
  <c r="U729" i="40"/>
  <c r="U730" i="40"/>
  <c r="U731" i="40"/>
  <c r="U732" i="40"/>
  <c r="U733" i="40"/>
  <c r="U734" i="40"/>
  <c r="U735" i="40"/>
  <c r="U736" i="40"/>
  <c r="U737" i="40"/>
  <c r="U738" i="40"/>
  <c r="U739" i="40"/>
  <c r="U740" i="40"/>
  <c r="U741" i="40"/>
  <c r="U742" i="40"/>
  <c r="U743" i="40"/>
  <c r="U744" i="40"/>
  <c r="U745" i="40"/>
  <c r="U746" i="40"/>
  <c r="U747" i="40"/>
  <c r="U748" i="40"/>
  <c r="U749" i="40"/>
  <c r="U750" i="40"/>
  <c r="U751" i="40"/>
  <c r="U752" i="40"/>
  <c r="U753" i="40"/>
  <c r="U754" i="40"/>
  <c r="U755" i="40"/>
  <c r="U756" i="40"/>
  <c r="U757" i="40"/>
  <c r="U758" i="40"/>
  <c r="U759" i="40"/>
  <c r="U760" i="40"/>
  <c r="U761" i="40"/>
  <c r="U762" i="40"/>
  <c r="U763" i="40"/>
  <c r="U764" i="40"/>
  <c r="U765" i="40"/>
  <c r="U766" i="40"/>
  <c r="U767" i="40"/>
  <c r="U768" i="40"/>
  <c r="U769" i="40"/>
  <c r="U2" i="40"/>
  <c r="R9" i="40" l="1"/>
  <c r="R24" i="40"/>
  <c r="J12" i="3"/>
  <c r="I12" i="3"/>
  <c r="I11" i="3"/>
  <c r="H12" i="3"/>
  <c r="H11" i="3"/>
  <c r="H10" i="3"/>
  <c r="G12" i="3"/>
  <c r="G11" i="3"/>
  <c r="G10" i="3"/>
  <c r="G9" i="3"/>
  <c r="F12" i="3"/>
  <c r="F11" i="3"/>
  <c r="F10" i="3"/>
  <c r="F9" i="3"/>
  <c r="F8" i="3"/>
  <c r="E12" i="3"/>
  <c r="E11" i="3"/>
  <c r="E10" i="3"/>
  <c r="E9" i="3"/>
  <c r="E8" i="3"/>
  <c r="E7" i="3"/>
  <c r="D12" i="3"/>
  <c r="D11" i="3"/>
  <c r="D10" i="3"/>
  <c r="D9" i="3"/>
  <c r="D8" i="3"/>
  <c r="D7" i="3"/>
  <c r="D6" i="3"/>
  <c r="C12" i="3"/>
  <c r="C11" i="3"/>
  <c r="C10" i="3"/>
  <c r="C9" i="3"/>
  <c r="C8" i="3"/>
  <c r="C7" i="3"/>
  <c r="C6" i="3"/>
  <c r="C5" i="3"/>
  <c r="B12" i="3"/>
  <c r="B11" i="3"/>
  <c r="B10" i="3"/>
  <c r="B9" i="3"/>
  <c r="B8" i="3"/>
  <c r="B7" i="3"/>
  <c r="B6" i="3"/>
  <c r="B4" i="3"/>
  <c r="B5" i="3"/>
  <c r="S4" i="40"/>
  <c r="S3" i="40"/>
  <c r="S5" i="40"/>
  <c r="S6" i="40"/>
  <c r="S7" i="40"/>
  <c r="S8" i="40"/>
  <c r="S9" i="40"/>
  <c r="S10" i="40"/>
  <c r="S11" i="40"/>
  <c r="S12" i="40"/>
  <c r="S13" i="40"/>
  <c r="S14" i="40"/>
  <c r="S15" i="40"/>
  <c r="S16" i="40"/>
  <c r="S17" i="40"/>
  <c r="S18" i="40"/>
  <c r="S19" i="40"/>
  <c r="S20" i="40"/>
  <c r="S21" i="40"/>
  <c r="S22" i="40"/>
  <c r="S23" i="40"/>
  <c r="S24" i="40"/>
  <c r="S25" i="40"/>
  <c r="S26" i="40"/>
  <c r="S27" i="40"/>
  <c r="S28" i="40"/>
  <c r="S29" i="40"/>
  <c r="S30" i="40"/>
  <c r="S31" i="40"/>
  <c r="S32" i="40"/>
  <c r="S33" i="40"/>
  <c r="S34" i="40"/>
  <c r="S35" i="40"/>
  <c r="S36" i="40"/>
  <c r="S37" i="40"/>
  <c r="S38" i="40"/>
  <c r="S39" i="40"/>
  <c r="S40" i="40"/>
  <c r="S41" i="40"/>
  <c r="S42" i="40"/>
  <c r="S43" i="40"/>
  <c r="S44" i="40"/>
  <c r="S45" i="40"/>
  <c r="S46" i="40"/>
  <c r="S47" i="40"/>
  <c r="S48" i="40"/>
  <c r="S49" i="40"/>
  <c r="S50" i="40"/>
  <c r="S51" i="40"/>
  <c r="S52" i="40"/>
  <c r="S53" i="40"/>
  <c r="S54" i="40"/>
  <c r="S55" i="40"/>
  <c r="S56" i="40"/>
  <c r="S57" i="40"/>
  <c r="S58" i="40"/>
  <c r="S59" i="40"/>
  <c r="S60" i="40"/>
  <c r="S61" i="40"/>
  <c r="S62" i="40"/>
  <c r="S63" i="40"/>
  <c r="S64" i="40"/>
  <c r="S65" i="40"/>
  <c r="S66" i="40"/>
  <c r="S67" i="40"/>
  <c r="S68" i="40"/>
  <c r="S69" i="40"/>
  <c r="S70" i="40"/>
  <c r="S71" i="40"/>
  <c r="S72" i="40"/>
  <c r="S73" i="40"/>
  <c r="S74" i="40"/>
  <c r="S75" i="40"/>
  <c r="S76" i="40"/>
  <c r="S77" i="40"/>
  <c r="S78" i="40"/>
  <c r="S79" i="40"/>
  <c r="S80" i="40"/>
  <c r="S81" i="40"/>
  <c r="S82" i="40"/>
  <c r="S83" i="40"/>
  <c r="S84" i="40"/>
  <c r="S85" i="40"/>
  <c r="S86" i="40"/>
  <c r="S87" i="40"/>
  <c r="S88" i="40"/>
  <c r="S89" i="40"/>
  <c r="S90" i="40"/>
  <c r="S91" i="40"/>
  <c r="S92" i="40"/>
  <c r="S93" i="40"/>
  <c r="S94" i="40"/>
  <c r="S95" i="40"/>
  <c r="S96" i="40"/>
  <c r="S97" i="40"/>
  <c r="S98" i="40"/>
  <c r="S99" i="40"/>
  <c r="S100" i="40"/>
  <c r="S101" i="40"/>
  <c r="S102" i="40"/>
  <c r="S103" i="40"/>
  <c r="S104" i="40"/>
  <c r="S105" i="40"/>
  <c r="S106" i="40"/>
  <c r="S107" i="40"/>
  <c r="S108" i="40"/>
  <c r="S109" i="40"/>
  <c r="S110" i="40"/>
  <c r="S111" i="40"/>
  <c r="S112" i="40"/>
  <c r="S113" i="40"/>
  <c r="S114" i="40"/>
  <c r="S115" i="40"/>
  <c r="S116" i="40"/>
  <c r="S117" i="40"/>
  <c r="S118" i="40"/>
  <c r="S119" i="40"/>
  <c r="S120" i="40"/>
  <c r="S121" i="40"/>
  <c r="S122" i="40"/>
  <c r="S123" i="40"/>
  <c r="S124" i="40"/>
  <c r="S125" i="40"/>
  <c r="S126" i="40"/>
  <c r="S127" i="40"/>
  <c r="S128" i="40"/>
  <c r="S129" i="40"/>
  <c r="S130" i="40"/>
  <c r="S131" i="40"/>
  <c r="S132" i="40"/>
  <c r="S133" i="40"/>
  <c r="S134" i="40"/>
  <c r="S135" i="40"/>
  <c r="S136" i="40"/>
  <c r="S137" i="40"/>
  <c r="S138" i="40"/>
  <c r="S139" i="40"/>
  <c r="S140" i="40"/>
  <c r="S141" i="40"/>
  <c r="S142" i="40"/>
  <c r="S143" i="40"/>
  <c r="S144" i="40"/>
  <c r="S145" i="40"/>
  <c r="S146" i="40"/>
  <c r="S147" i="40"/>
  <c r="S148" i="40"/>
  <c r="S149" i="40"/>
  <c r="S150" i="40"/>
  <c r="S151" i="40"/>
  <c r="S152" i="40"/>
  <c r="S153" i="40"/>
  <c r="S154" i="40"/>
  <c r="S155" i="40"/>
  <c r="S156" i="40"/>
  <c r="S157" i="40"/>
  <c r="S158" i="40"/>
  <c r="S159" i="40"/>
  <c r="S160" i="40"/>
  <c r="S161" i="40"/>
  <c r="S162" i="40"/>
  <c r="S163" i="40"/>
  <c r="S164" i="40"/>
  <c r="S165" i="40"/>
  <c r="S166" i="40"/>
  <c r="S167" i="40"/>
  <c r="S168" i="40"/>
  <c r="S169" i="40"/>
  <c r="S170" i="40"/>
  <c r="S171" i="40"/>
  <c r="S172" i="40"/>
  <c r="S173" i="40"/>
  <c r="S174" i="40"/>
  <c r="S175" i="40"/>
  <c r="S176" i="40"/>
  <c r="S177" i="40"/>
  <c r="S178" i="40"/>
  <c r="S179" i="40"/>
  <c r="S180" i="40"/>
  <c r="S181" i="40"/>
  <c r="S182" i="40"/>
  <c r="S183" i="40"/>
  <c r="S184" i="40"/>
  <c r="S185" i="40"/>
  <c r="S186" i="40"/>
  <c r="S187" i="40"/>
  <c r="S188" i="40"/>
  <c r="S189" i="40"/>
  <c r="S190" i="40"/>
  <c r="S191" i="40"/>
  <c r="S192" i="40"/>
  <c r="S193" i="40"/>
  <c r="S194" i="40"/>
  <c r="S195" i="40"/>
  <c r="S196" i="40"/>
  <c r="S197" i="40"/>
  <c r="S198" i="40"/>
  <c r="S199" i="40"/>
  <c r="S200" i="40"/>
  <c r="S201" i="40"/>
  <c r="S202" i="40"/>
  <c r="S203" i="40"/>
  <c r="S204" i="40"/>
  <c r="S205" i="40"/>
  <c r="S206" i="40"/>
  <c r="S207" i="40"/>
  <c r="S208" i="40"/>
  <c r="S209" i="40"/>
  <c r="S210" i="40"/>
  <c r="S211" i="40"/>
  <c r="S212" i="40"/>
  <c r="S213" i="40"/>
  <c r="S214" i="40"/>
  <c r="S215" i="40"/>
  <c r="S216" i="40"/>
  <c r="S217" i="40"/>
  <c r="S218" i="40"/>
  <c r="S219" i="40"/>
  <c r="S220" i="40"/>
  <c r="S221" i="40"/>
  <c r="S222" i="40"/>
  <c r="S223" i="40"/>
  <c r="S224" i="40"/>
  <c r="S225" i="40"/>
  <c r="S226" i="40"/>
  <c r="S227" i="40"/>
  <c r="S228" i="40"/>
  <c r="S229" i="40"/>
  <c r="S230" i="40"/>
  <c r="S231" i="40"/>
  <c r="S232" i="40"/>
  <c r="S233" i="40"/>
  <c r="S234" i="40"/>
  <c r="S235" i="40"/>
  <c r="S236" i="40"/>
  <c r="S237" i="40"/>
  <c r="S238" i="40"/>
  <c r="S239" i="40"/>
  <c r="S240" i="40"/>
  <c r="S241" i="40"/>
  <c r="S242" i="40"/>
  <c r="S243" i="40"/>
  <c r="S244" i="40"/>
  <c r="S245" i="40"/>
  <c r="S246" i="40"/>
  <c r="S247" i="40"/>
  <c r="S248" i="40"/>
  <c r="S249" i="40"/>
  <c r="S250" i="40"/>
  <c r="S251" i="40"/>
  <c r="S252" i="40"/>
  <c r="S253" i="40"/>
  <c r="S254" i="40"/>
  <c r="S255" i="40"/>
  <c r="S256" i="40"/>
  <c r="S257" i="40"/>
  <c r="S258" i="40"/>
  <c r="S259" i="40"/>
  <c r="S260" i="40"/>
  <c r="S261" i="40"/>
  <c r="S262" i="40"/>
  <c r="S263" i="40"/>
  <c r="S264" i="40"/>
  <c r="S265" i="40"/>
  <c r="S266" i="40"/>
  <c r="S267" i="40"/>
  <c r="S268" i="40"/>
  <c r="S269" i="40"/>
  <c r="S270" i="40"/>
  <c r="S271" i="40"/>
  <c r="S272" i="40"/>
  <c r="S273" i="40"/>
  <c r="S274" i="40"/>
  <c r="S275" i="40"/>
  <c r="S276" i="40"/>
  <c r="S277" i="40"/>
  <c r="S278" i="40"/>
  <c r="S279" i="40"/>
  <c r="S280" i="40"/>
  <c r="S281" i="40"/>
  <c r="S282" i="40"/>
  <c r="S283" i="40"/>
  <c r="S284" i="40"/>
  <c r="S285" i="40"/>
  <c r="S286" i="40"/>
  <c r="S287" i="40"/>
  <c r="S288" i="40"/>
  <c r="S289" i="40"/>
  <c r="S290" i="40"/>
  <c r="S291" i="40"/>
  <c r="S292" i="40"/>
  <c r="S293" i="40"/>
  <c r="S294" i="40"/>
  <c r="S295" i="40"/>
  <c r="S296" i="40"/>
  <c r="S297" i="40"/>
  <c r="S298" i="40"/>
  <c r="S299" i="40"/>
  <c r="S300" i="40"/>
  <c r="S301" i="40"/>
  <c r="S302" i="40"/>
  <c r="S303" i="40"/>
  <c r="S304" i="40"/>
  <c r="S305" i="40"/>
  <c r="S306" i="40"/>
  <c r="S307" i="40"/>
  <c r="S308" i="40"/>
  <c r="S309" i="40"/>
  <c r="S310" i="40"/>
  <c r="S311" i="40"/>
  <c r="S312" i="40"/>
  <c r="S313" i="40"/>
  <c r="S314" i="40"/>
  <c r="S315" i="40"/>
  <c r="S316" i="40"/>
  <c r="S317" i="40"/>
  <c r="S318" i="40"/>
  <c r="S319" i="40"/>
  <c r="S320" i="40"/>
  <c r="S321" i="40"/>
  <c r="S322" i="40"/>
  <c r="S323" i="40"/>
  <c r="S324" i="40"/>
  <c r="S325" i="40"/>
  <c r="S326" i="40"/>
  <c r="S327" i="40"/>
  <c r="S328" i="40"/>
  <c r="S329" i="40"/>
  <c r="S330" i="40"/>
  <c r="S331" i="40"/>
  <c r="S332" i="40"/>
  <c r="S333" i="40"/>
  <c r="S334" i="40"/>
  <c r="S335" i="40"/>
  <c r="S336" i="40"/>
  <c r="S337" i="40"/>
  <c r="S338" i="40"/>
  <c r="S339" i="40"/>
  <c r="S340" i="40"/>
  <c r="S341" i="40"/>
  <c r="S342" i="40"/>
  <c r="S343" i="40"/>
  <c r="S344" i="40"/>
  <c r="S345" i="40"/>
  <c r="S346" i="40"/>
  <c r="S347" i="40"/>
  <c r="S348" i="40"/>
  <c r="S349" i="40"/>
  <c r="S350" i="40"/>
  <c r="S351" i="40"/>
  <c r="S352" i="40"/>
  <c r="S353" i="40"/>
  <c r="S354" i="40"/>
  <c r="S355" i="40"/>
  <c r="S356" i="40"/>
  <c r="S357" i="40"/>
  <c r="S358" i="40"/>
  <c r="S359" i="40"/>
  <c r="S360" i="40"/>
  <c r="S361" i="40"/>
  <c r="S362" i="40"/>
  <c r="S363" i="40"/>
  <c r="S364" i="40"/>
  <c r="S365" i="40"/>
  <c r="S366" i="40"/>
  <c r="S367" i="40"/>
  <c r="S368" i="40"/>
  <c r="S369" i="40"/>
  <c r="S370" i="40"/>
  <c r="S371" i="40"/>
  <c r="S372" i="40"/>
  <c r="S373" i="40"/>
  <c r="S374" i="40"/>
  <c r="S375" i="40"/>
  <c r="S376" i="40"/>
  <c r="S377" i="40"/>
  <c r="S378" i="40"/>
  <c r="S379" i="40"/>
  <c r="S380" i="40"/>
  <c r="S381" i="40"/>
  <c r="S382" i="40"/>
  <c r="S383" i="40"/>
  <c r="S384" i="40"/>
  <c r="S385" i="40"/>
  <c r="S386" i="40"/>
  <c r="S387" i="40"/>
  <c r="S388" i="40"/>
  <c r="S389" i="40"/>
  <c r="S390" i="40"/>
  <c r="S391" i="40"/>
  <c r="S392" i="40"/>
  <c r="S393" i="40"/>
  <c r="S394" i="40"/>
  <c r="S395" i="40"/>
  <c r="S396" i="40"/>
  <c r="S397" i="40"/>
  <c r="S398" i="40"/>
  <c r="S399" i="40"/>
  <c r="S400" i="40"/>
  <c r="S401" i="40"/>
  <c r="S402" i="40"/>
  <c r="S403" i="40"/>
  <c r="S404" i="40"/>
  <c r="S405" i="40"/>
  <c r="S406" i="40"/>
  <c r="S407" i="40"/>
  <c r="S408" i="40"/>
  <c r="S409" i="40"/>
  <c r="S410" i="40"/>
  <c r="S411" i="40"/>
  <c r="S412" i="40"/>
  <c r="S413" i="40"/>
  <c r="S414" i="40"/>
  <c r="S415" i="40"/>
  <c r="S416" i="40"/>
  <c r="S417" i="40"/>
  <c r="S418" i="40"/>
  <c r="S419" i="40"/>
  <c r="S420" i="40"/>
  <c r="S421" i="40"/>
  <c r="S422" i="40"/>
  <c r="S423" i="40"/>
  <c r="S424" i="40"/>
  <c r="S425" i="40"/>
  <c r="S426" i="40"/>
  <c r="S427" i="40"/>
  <c r="S428" i="40"/>
  <c r="S429" i="40"/>
  <c r="S430" i="40"/>
  <c r="S431" i="40"/>
  <c r="S432" i="40"/>
  <c r="S433" i="40"/>
  <c r="S434" i="40"/>
  <c r="S435" i="40"/>
  <c r="S436" i="40"/>
  <c r="S437" i="40"/>
  <c r="S438" i="40"/>
  <c r="S439" i="40"/>
  <c r="S440" i="40"/>
  <c r="S441" i="40"/>
  <c r="S442" i="40"/>
  <c r="S443" i="40"/>
  <c r="S444" i="40"/>
  <c r="S445" i="40"/>
  <c r="S446" i="40"/>
  <c r="S447" i="40"/>
  <c r="S448" i="40"/>
  <c r="S449" i="40"/>
  <c r="S450" i="40"/>
  <c r="S451" i="40"/>
  <c r="S452" i="40"/>
  <c r="S453" i="40"/>
  <c r="S454" i="40"/>
  <c r="S455" i="40"/>
  <c r="S456" i="40"/>
  <c r="S457" i="40"/>
  <c r="S458" i="40"/>
  <c r="S459" i="40"/>
  <c r="S460" i="40"/>
  <c r="S461" i="40"/>
  <c r="S462" i="40"/>
  <c r="S463" i="40"/>
  <c r="S464" i="40"/>
  <c r="S465" i="40"/>
  <c r="S466" i="40"/>
  <c r="S467" i="40"/>
  <c r="S468" i="40"/>
  <c r="S469" i="40"/>
  <c r="S470" i="40"/>
  <c r="S471" i="40"/>
  <c r="S472" i="40"/>
  <c r="S473" i="40"/>
  <c r="S474" i="40"/>
  <c r="S475" i="40"/>
  <c r="S476" i="40"/>
  <c r="S477" i="40"/>
  <c r="S478" i="40"/>
  <c r="S479" i="40"/>
  <c r="S480" i="40"/>
  <c r="S481" i="40"/>
  <c r="S482" i="40"/>
  <c r="S483" i="40"/>
  <c r="S484" i="40"/>
  <c r="S485" i="40"/>
  <c r="S486" i="40"/>
  <c r="S487" i="40"/>
  <c r="S488" i="40"/>
  <c r="S489" i="40"/>
  <c r="S490" i="40"/>
  <c r="S491" i="40"/>
  <c r="S492" i="40"/>
  <c r="S493" i="40"/>
  <c r="S494" i="40"/>
  <c r="S495" i="40"/>
  <c r="S496" i="40"/>
  <c r="S497" i="40"/>
  <c r="S498" i="40"/>
  <c r="S499" i="40"/>
  <c r="S500" i="40"/>
  <c r="S501" i="40"/>
  <c r="S502" i="40"/>
  <c r="S503" i="40"/>
  <c r="S504" i="40"/>
  <c r="S505" i="40"/>
  <c r="S506" i="40"/>
  <c r="S507" i="40"/>
  <c r="S508" i="40"/>
  <c r="S509" i="40"/>
  <c r="S510" i="40"/>
  <c r="S511" i="40"/>
  <c r="S512" i="40"/>
  <c r="S513" i="40"/>
  <c r="S514" i="40"/>
  <c r="S515" i="40"/>
  <c r="S516" i="40"/>
  <c r="S517" i="40"/>
  <c r="S518" i="40"/>
  <c r="S519" i="40"/>
  <c r="S520" i="40"/>
  <c r="S521" i="40"/>
  <c r="S522" i="40"/>
  <c r="S523" i="40"/>
  <c r="S524" i="40"/>
  <c r="S525" i="40"/>
  <c r="S526" i="40"/>
  <c r="S527" i="40"/>
  <c r="S528" i="40"/>
  <c r="S529" i="40"/>
  <c r="S530" i="40"/>
  <c r="S531" i="40"/>
  <c r="S532" i="40"/>
  <c r="S533" i="40"/>
  <c r="S534" i="40"/>
  <c r="S535" i="40"/>
  <c r="S536" i="40"/>
  <c r="S537" i="40"/>
  <c r="S538" i="40"/>
  <c r="S539" i="40"/>
  <c r="S540" i="40"/>
  <c r="S541" i="40"/>
  <c r="S542" i="40"/>
  <c r="S543" i="40"/>
  <c r="S544" i="40"/>
  <c r="S545" i="40"/>
  <c r="S546" i="40"/>
  <c r="S547" i="40"/>
  <c r="S548" i="40"/>
  <c r="S549" i="40"/>
  <c r="S550" i="40"/>
  <c r="S551" i="40"/>
  <c r="S552" i="40"/>
  <c r="S553" i="40"/>
  <c r="S554" i="40"/>
  <c r="S555" i="40"/>
  <c r="S556" i="40"/>
  <c r="S557" i="40"/>
  <c r="S558" i="40"/>
  <c r="S559" i="40"/>
  <c r="S560" i="40"/>
  <c r="S561" i="40"/>
  <c r="S562" i="40"/>
  <c r="S563" i="40"/>
  <c r="S564" i="40"/>
  <c r="S565" i="40"/>
  <c r="S566" i="40"/>
  <c r="S567" i="40"/>
  <c r="S568" i="40"/>
  <c r="S569" i="40"/>
  <c r="S570" i="40"/>
  <c r="S571" i="40"/>
  <c r="S572" i="40"/>
  <c r="S573" i="40"/>
  <c r="S574" i="40"/>
  <c r="S575" i="40"/>
  <c r="S576" i="40"/>
  <c r="S577" i="40"/>
  <c r="S578" i="40"/>
  <c r="S579" i="40"/>
  <c r="S580" i="40"/>
  <c r="S581" i="40"/>
  <c r="S582" i="40"/>
  <c r="S583" i="40"/>
  <c r="S584" i="40"/>
  <c r="S585" i="40"/>
  <c r="S586" i="40"/>
  <c r="S587" i="40"/>
  <c r="S588" i="40"/>
  <c r="S589" i="40"/>
  <c r="S590" i="40"/>
  <c r="S591" i="40"/>
  <c r="S592" i="40"/>
  <c r="S593" i="40"/>
  <c r="S594" i="40"/>
  <c r="S595" i="40"/>
  <c r="S596" i="40"/>
  <c r="S597" i="40"/>
  <c r="S598" i="40"/>
  <c r="S599" i="40"/>
  <c r="S600" i="40"/>
  <c r="S601" i="40"/>
  <c r="S602" i="40"/>
  <c r="S603" i="40"/>
  <c r="S604" i="40"/>
  <c r="S605" i="40"/>
  <c r="S606" i="40"/>
  <c r="S607" i="40"/>
  <c r="S608" i="40"/>
  <c r="S609" i="40"/>
  <c r="S610" i="40"/>
  <c r="S611" i="40"/>
  <c r="S612" i="40"/>
  <c r="S613" i="40"/>
  <c r="S614" i="40"/>
  <c r="S615" i="40"/>
  <c r="S616" i="40"/>
  <c r="S617" i="40"/>
  <c r="S618" i="40"/>
  <c r="S619" i="40"/>
  <c r="S620" i="40"/>
  <c r="S621" i="40"/>
  <c r="S622" i="40"/>
  <c r="S623" i="40"/>
  <c r="S624" i="40"/>
  <c r="S625" i="40"/>
  <c r="S626" i="40"/>
  <c r="S627" i="40"/>
  <c r="S628" i="40"/>
  <c r="S629" i="40"/>
  <c r="S630" i="40"/>
  <c r="S631" i="40"/>
  <c r="S632" i="40"/>
  <c r="S633" i="40"/>
  <c r="S634" i="40"/>
  <c r="S635" i="40"/>
  <c r="S636" i="40"/>
  <c r="S637" i="40"/>
  <c r="S638" i="40"/>
  <c r="S639" i="40"/>
  <c r="S640" i="40"/>
  <c r="S641" i="40"/>
  <c r="S642" i="40"/>
  <c r="S643" i="40"/>
  <c r="S644" i="40"/>
  <c r="S645" i="40"/>
  <c r="S646" i="40"/>
  <c r="S647" i="40"/>
  <c r="S648" i="40"/>
  <c r="S649" i="40"/>
  <c r="S650" i="40"/>
  <c r="S651" i="40"/>
  <c r="S652" i="40"/>
  <c r="S653" i="40"/>
  <c r="S654" i="40"/>
  <c r="S655" i="40"/>
  <c r="S656" i="40"/>
  <c r="S657" i="40"/>
  <c r="S658" i="40"/>
  <c r="S659" i="40"/>
  <c r="S660" i="40"/>
  <c r="S661" i="40"/>
  <c r="S662" i="40"/>
  <c r="S663" i="40"/>
  <c r="S664" i="40"/>
  <c r="S665" i="40"/>
  <c r="S666" i="40"/>
  <c r="S667" i="40"/>
  <c r="S668" i="40"/>
  <c r="S669" i="40"/>
  <c r="S670" i="40"/>
  <c r="S671" i="40"/>
  <c r="S672" i="40"/>
  <c r="S673" i="40"/>
  <c r="S674" i="40"/>
  <c r="S675" i="40"/>
  <c r="S676" i="40"/>
  <c r="S677" i="40"/>
  <c r="S678" i="40"/>
  <c r="S679" i="40"/>
  <c r="S680" i="40"/>
  <c r="S681" i="40"/>
  <c r="S682" i="40"/>
  <c r="S683" i="40"/>
  <c r="S684" i="40"/>
  <c r="S685" i="40"/>
  <c r="S686" i="40"/>
  <c r="S687" i="40"/>
  <c r="S688" i="40"/>
  <c r="S689" i="40"/>
  <c r="S690" i="40"/>
  <c r="S691" i="40"/>
  <c r="S692" i="40"/>
  <c r="S693" i="40"/>
  <c r="S694" i="40"/>
  <c r="S695" i="40"/>
  <c r="S696" i="40"/>
  <c r="S697" i="40"/>
  <c r="S698" i="40"/>
  <c r="S699" i="40"/>
  <c r="S700" i="40"/>
  <c r="S701" i="40"/>
  <c r="S702" i="40"/>
  <c r="S703" i="40"/>
  <c r="S704" i="40"/>
  <c r="S705" i="40"/>
  <c r="S706" i="40"/>
  <c r="S707" i="40"/>
  <c r="S708" i="40"/>
  <c r="S709" i="40"/>
  <c r="S710" i="40"/>
  <c r="S711" i="40"/>
  <c r="S712" i="40"/>
  <c r="S713" i="40"/>
  <c r="S714" i="40"/>
  <c r="S715" i="40"/>
  <c r="S716" i="40"/>
  <c r="S717" i="40"/>
  <c r="S718" i="40"/>
  <c r="S719" i="40"/>
  <c r="S720" i="40"/>
  <c r="S721" i="40"/>
  <c r="S722" i="40"/>
  <c r="S723" i="40"/>
  <c r="S724" i="40"/>
  <c r="S725" i="40"/>
  <c r="S726" i="40"/>
  <c r="S727" i="40"/>
  <c r="S728" i="40"/>
  <c r="S729" i="40"/>
  <c r="S730" i="40"/>
  <c r="S731" i="40"/>
  <c r="S732" i="40"/>
  <c r="S733" i="40"/>
  <c r="S734" i="40"/>
  <c r="S735" i="40"/>
  <c r="S736" i="40"/>
  <c r="S737" i="40"/>
  <c r="S738" i="40"/>
  <c r="S739" i="40"/>
  <c r="S740" i="40"/>
  <c r="S741" i="40"/>
  <c r="S742" i="40"/>
  <c r="S743" i="40"/>
  <c r="S744" i="40"/>
  <c r="S745" i="40"/>
  <c r="S746" i="40"/>
  <c r="S747" i="40"/>
  <c r="S748" i="40"/>
  <c r="S749" i="40"/>
  <c r="S750" i="40"/>
  <c r="S751" i="40"/>
  <c r="S752" i="40"/>
  <c r="S753" i="40"/>
  <c r="S754" i="40"/>
  <c r="S755" i="40"/>
  <c r="S756" i="40"/>
  <c r="S757" i="40"/>
  <c r="S758" i="40"/>
  <c r="S759" i="40"/>
  <c r="S760" i="40"/>
  <c r="S761" i="40"/>
  <c r="S762" i="40"/>
  <c r="S763" i="40"/>
  <c r="S764" i="40"/>
  <c r="S765" i="40"/>
  <c r="S766" i="40"/>
  <c r="S767" i="40"/>
  <c r="S768" i="40"/>
  <c r="S769" i="40"/>
  <c r="S2" i="40"/>
  <c r="R3" i="40"/>
  <c r="R4" i="40"/>
  <c r="R5" i="40"/>
  <c r="R6" i="40"/>
  <c r="R7" i="40"/>
  <c r="R8" i="40"/>
  <c r="R10" i="40"/>
  <c r="R11" i="40"/>
  <c r="R12" i="40"/>
  <c r="R13" i="40"/>
  <c r="R14" i="40"/>
  <c r="R15" i="40"/>
  <c r="R16" i="40"/>
  <c r="R17" i="40"/>
  <c r="R18" i="40"/>
  <c r="R19" i="40"/>
  <c r="R20" i="40"/>
  <c r="R21" i="40"/>
  <c r="R22" i="40"/>
  <c r="R23" i="40"/>
  <c r="R25" i="40"/>
  <c r="R26" i="40"/>
  <c r="R27" i="40"/>
  <c r="R28" i="40"/>
  <c r="R29" i="40"/>
  <c r="R30" i="40"/>
  <c r="R31" i="40"/>
  <c r="R32" i="40"/>
  <c r="R33" i="40"/>
  <c r="R34" i="40"/>
  <c r="R35" i="40"/>
  <c r="R36" i="40"/>
  <c r="R37" i="40"/>
  <c r="R38" i="40"/>
  <c r="R39" i="40"/>
  <c r="R40" i="40"/>
  <c r="R41" i="40"/>
  <c r="R42" i="40"/>
  <c r="R43" i="40"/>
  <c r="R44" i="40"/>
  <c r="R45" i="40"/>
  <c r="R46" i="40"/>
  <c r="R47" i="40"/>
  <c r="R48" i="40"/>
  <c r="R49" i="40"/>
  <c r="R50" i="40"/>
  <c r="R51" i="40"/>
  <c r="R52" i="40"/>
  <c r="R53" i="40"/>
  <c r="R54" i="40"/>
  <c r="R55" i="40"/>
  <c r="R56" i="40"/>
  <c r="R57" i="40"/>
  <c r="R58" i="40"/>
  <c r="R59" i="40"/>
  <c r="R60" i="40"/>
  <c r="R61" i="40"/>
  <c r="R62" i="40"/>
  <c r="R63" i="40"/>
  <c r="R64" i="40"/>
  <c r="R65" i="40"/>
  <c r="R66" i="40"/>
  <c r="R67" i="40"/>
  <c r="R68" i="40"/>
  <c r="R69" i="40"/>
  <c r="R70" i="40"/>
  <c r="R71" i="40"/>
  <c r="R72" i="40"/>
  <c r="R73" i="40"/>
  <c r="R74" i="40"/>
  <c r="R75" i="40"/>
  <c r="R76" i="40"/>
  <c r="R77" i="40"/>
  <c r="R78" i="40"/>
  <c r="R79" i="40"/>
  <c r="R80" i="40"/>
  <c r="R81" i="40"/>
  <c r="R82" i="40"/>
  <c r="R83" i="40"/>
  <c r="R84" i="40"/>
  <c r="R85" i="40"/>
  <c r="R86" i="40"/>
  <c r="R87" i="40"/>
  <c r="R88" i="40"/>
  <c r="R89" i="40"/>
  <c r="R90" i="40"/>
  <c r="R91" i="40"/>
  <c r="R92" i="40"/>
  <c r="R93" i="40"/>
  <c r="R94" i="40"/>
  <c r="R95" i="40"/>
  <c r="R96" i="40"/>
  <c r="R97" i="40"/>
  <c r="R98" i="40"/>
  <c r="R99" i="40"/>
  <c r="R100" i="40"/>
  <c r="R101" i="40"/>
  <c r="R102" i="40"/>
  <c r="R103" i="40"/>
  <c r="R104" i="40"/>
  <c r="R105" i="40"/>
  <c r="R106" i="40"/>
  <c r="R107" i="40"/>
  <c r="R108" i="40"/>
  <c r="R109" i="40"/>
  <c r="R110" i="40"/>
  <c r="R111" i="40"/>
  <c r="R112" i="40"/>
  <c r="R113" i="40"/>
  <c r="R114" i="40"/>
  <c r="R115" i="40"/>
  <c r="R116" i="40"/>
  <c r="R117" i="40"/>
  <c r="R118" i="40"/>
  <c r="R119" i="40"/>
  <c r="R120" i="40"/>
  <c r="R121" i="40"/>
  <c r="R122" i="40"/>
  <c r="R123" i="40"/>
  <c r="R124" i="40"/>
  <c r="R125" i="40"/>
  <c r="R126" i="40"/>
  <c r="R127" i="40"/>
  <c r="R128" i="40"/>
  <c r="R129" i="40"/>
  <c r="R130" i="40"/>
  <c r="R131" i="40"/>
  <c r="R132" i="40"/>
  <c r="R133" i="40"/>
  <c r="R134" i="40"/>
  <c r="R135" i="40"/>
  <c r="R136" i="40"/>
  <c r="R137" i="40"/>
  <c r="R138" i="40"/>
  <c r="R139" i="40"/>
  <c r="R140" i="40"/>
  <c r="R141" i="40"/>
  <c r="R142" i="40"/>
  <c r="R143" i="40"/>
  <c r="R144" i="40"/>
  <c r="R145" i="40"/>
  <c r="R146" i="40"/>
  <c r="R147" i="40"/>
  <c r="R148" i="40"/>
  <c r="R149" i="40"/>
  <c r="R150" i="40"/>
  <c r="R151" i="40"/>
  <c r="R152" i="40"/>
  <c r="R153" i="40"/>
  <c r="R154" i="40"/>
  <c r="R155" i="40"/>
  <c r="R156" i="40"/>
  <c r="R157" i="40"/>
  <c r="R158" i="40"/>
  <c r="R159" i="40"/>
  <c r="R160" i="40"/>
  <c r="R161" i="40"/>
  <c r="R162" i="40"/>
  <c r="R163" i="40"/>
  <c r="R164" i="40"/>
  <c r="R165" i="40"/>
  <c r="R166" i="40"/>
  <c r="R167" i="40"/>
  <c r="R168" i="40"/>
  <c r="R169" i="40"/>
  <c r="R170" i="40"/>
  <c r="R171" i="40"/>
  <c r="R172" i="40"/>
  <c r="R173" i="40"/>
  <c r="R174" i="40"/>
  <c r="R175" i="40"/>
  <c r="R176" i="40"/>
  <c r="R177" i="40"/>
  <c r="R178" i="40"/>
  <c r="R179" i="40"/>
  <c r="R180" i="40"/>
  <c r="R181" i="40"/>
  <c r="R182" i="40"/>
  <c r="R183" i="40"/>
  <c r="R184" i="40"/>
  <c r="R185" i="40"/>
  <c r="R186" i="40"/>
  <c r="R187" i="40"/>
  <c r="R188" i="40"/>
  <c r="R189" i="40"/>
  <c r="R190" i="40"/>
  <c r="R191" i="40"/>
  <c r="R192" i="40"/>
  <c r="R193" i="40"/>
  <c r="R194" i="40"/>
  <c r="R195" i="40"/>
  <c r="R196" i="40"/>
  <c r="R197" i="40"/>
  <c r="R198" i="40"/>
  <c r="R199" i="40"/>
  <c r="R200" i="40"/>
  <c r="R201" i="40"/>
  <c r="R202" i="40"/>
  <c r="R203" i="40"/>
  <c r="R204" i="40"/>
  <c r="R205" i="40"/>
  <c r="R206" i="40"/>
  <c r="R207" i="40"/>
  <c r="R208" i="40"/>
  <c r="R209" i="40"/>
  <c r="R210" i="40"/>
  <c r="R211" i="40"/>
  <c r="R212" i="40"/>
  <c r="R213" i="40"/>
  <c r="R214" i="40"/>
  <c r="R215" i="40"/>
  <c r="R216" i="40"/>
  <c r="R217" i="40"/>
  <c r="R218" i="40"/>
  <c r="R219" i="40"/>
  <c r="R220" i="40"/>
  <c r="R221" i="40"/>
  <c r="R222" i="40"/>
  <c r="R223" i="40"/>
  <c r="R224" i="40"/>
  <c r="R225" i="40"/>
  <c r="R226" i="40"/>
  <c r="R227" i="40"/>
  <c r="R228" i="40"/>
  <c r="R229" i="40"/>
  <c r="R230" i="40"/>
  <c r="R231" i="40"/>
  <c r="R232" i="40"/>
  <c r="R233" i="40"/>
  <c r="R234" i="40"/>
  <c r="R235" i="40"/>
  <c r="R236" i="40"/>
  <c r="R237" i="40"/>
  <c r="R238" i="40"/>
  <c r="R239" i="40"/>
  <c r="R240" i="40"/>
  <c r="R241" i="40"/>
  <c r="R242" i="40"/>
  <c r="R243" i="40"/>
  <c r="R244" i="40"/>
  <c r="R245" i="40"/>
  <c r="R246" i="40"/>
  <c r="R247" i="40"/>
  <c r="R248" i="40"/>
  <c r="R249" i="40"/>
  <c r="R250" i="40"/>
  <c r="R251" i="40"/>
  <c r="R252" i="40"/>
  <c r="R253" i="40"/>
  <c r="R254" i="40"/>
  <c r="R255" i="40"/>
  <c r="R256" i="40"/>
  <c r="R257" i="40"/>
  <c r="R258" i="40"/>
  <c r="R259" i="40"/>
  <c r="R260" i="40"/>
  <c r="R261" i="40"/>
  <c r="R262" i="40"/>
  <c r="R263" i="40"/>
  <c r="R264" i="40"/>
  <c r="R265" i="40"/>
  <c r="R266" i="40"/>
  <c r="R267" i="40"/>
  <c r="R268" i="40"/>
  <c r="R269" i="40"/>
  <c r="R270" i="40"/>
  <c r="R271" i="40"/>
  <c r="R272" i="40"/>
  <c r="R273" i="40"/>
  <c r="R274" i="40"/>
  <c r="R275" i="40"/>
  <c r="R276" i="40"/>
  <c r="R277" i="40"/>
  <c r="R278" i="40"/>
  <c r="R279" i="40"/>
  <c r="R280" i="40"/>
  <c r="R281" i="40"/>
  <c r="R282" i="40"/>
  <c r="R283" i="40"/>
  <c r="R284" i="40"/>
  <c r="R285" i="40"/>
  <c r="R286" i="40"/>
  <c r="R287" i="40"/>
  <c r="R288" i="40"/>
  <c r="R289" i="40"/>
  <c r="R290" i="40"/>
  <c r="R291" i="40"/>
  <c r="R292" i="40"/>
  <c r="R293" i="40"/>
  <c r="R294" i="40"/>
  <c r="R295" i="40"/>
  <c r="R296" i="40"/>
  <c r="R297" i="40"/>
  <c r="R298" i="40"/>
  <c r="R299" i="40"/>
  <c r="R300" i="40"/>
  <c r="R301" i="40"/>
  <c r="R302" i="40"/>
  <c r="R303" i="40"/>
  <c r="R304" i="40"/>
  <c r="R305" i="40"/>
  <c r="R306" i="40"/>
  <c r="R307" i="40"/>
  <c r="R308" i="40"/>
  <c r="R309" i="40"/>
  <c r="R310" i="40"/>
  <c r="R311" i="40"/>
  <c r="R312" i="40"/>
  <c r="R313" i="40"/>
  <c r="R314" i="40"/>
  <c r="R315" i="40"/>
  <c r="R316" i="40"/>
  <c r="R317" i="40"/>
  <c r="R318" i="40"/>
  <c r="R319" i="40"/>
  <c r="R320" i="40"/>
  <c r="R321" i="40"/>
  <c r="R322" i="40"/>
  <c r="R323" i="40"/>
  <c r="R324" i="40"/>
  <c r="R325" i="40"/>
  <c r="R326" i="40"/>
  <c r="R327" i="40"/>
  <c r="R328" i="40"/>
  <c r="R329" i="40"/>
  <c r="R330" i="40"/>
  <c r="R331" i="40"/>
  <c r="R332" i="40"/>
  <c r="R333" i="40"/>
  <c r="R334" i="40"/>
  <c r="R335" i="40"/>
  <c r="R336" i="40"/>
  <c r="R337" i="40"/>
  <c r="R338" i="40"/>
  <c r="R339" i="40"/>
  <c r="R340" i="40"/>
  <c r="R341" i="40"/>
  <c r="R342" i="40"/>
  <c r="R343" i="40"/>
  <c r="R344" i="40"/>
  <c r="R345" i="40"/>
  <c r="R346" i="40"/>
  <c r="R347" i="40"/>
  <c r="R348" i="40"/>
  <c r="R349" i="40"/>
  <c r="R350" i="40"/>
  <c r="R351" i="40"/>
  <c r="R352" i="40"/>
  <c r="R353" i="40"/>
  <c r="R354" i="40"/>
  <c r="R355" i="40"/>
  <c r="R356" i="40"/>
  <c r="R357" i="40"/>
  <c r="R358" i="40"/>
  <c r="R359" i="40"/>
  <c r="R360" i="40"/>
  <c r="R361" i="40"/>
  <c r="R362" i="40"/>
  <c r="R363" i="40"/>
  <c r="R364" i="40"/>
  <c r="R365" i="40"/>
  <c r="R366" i="40"/>
  <c r="R367" i="40"/>
  <c r="R368" i="40"/>
  <c r="R369" i="40"/>
  <c r="R370" i="40"/>
  <c r="R371" i="40"/>
  <c r="R372" i="40"/>
  <c r="R373" i="40"/>
  <c r="R374" i="40"/>
  <c r="R375" i="40"/>
  <c r="R376" i="40"/>
  <c r="R377" i="40"/>
  <c r="R378" i="40"/>
  <c r="R379" i="40"/>
  <c r="R380" i="40"/>
  <c r="R381" i="40"/>
  <c r="R382" i="40"/>
  <c r="R383" i="40"/>
  <c r="R384" i="40"/>
  <c r="R385" i="40"/>
  <c r="R386" i="40"/>
  <c r="R387" i="40"/>
  <c r="R388" i="40"/>
  <c r="R389" i="40"/>
  <c r="R390" i="40"/>
  <c r="R391" i="40"/>
  <c r="R392" i="40"/>
  <c r="R393" i="40"/>
  <c r="R394" i="40"/>
  <c r="R395" i="40"/>
  <c r="R396" i="40"/>
  <c r="R397" i="40"/>
  <c r="R398" i="40"/>
  <c r="R399" i="40"/>
  <c r="R400" i="40"/>
  <c r="R401" i="40"/>
  <c r="R402" i="40"/>
  <c r="R403" i="40"/>
  <c r="R404" i="40"/>
  <c r="R405" i="40"/>
  <c r="R406" i="40"/>
  <c r="R407" i="40"/>
  <c r="R408" i="40"/>
  <c r="R409" i="40"/>
  <c r="R410" i="40"/>
  <c r="R411" i="40"/>
  <c r="R412" i="40"/>
  <c r="R413" i="40"/>
  <c r="R414" i="40"/>
  <c r="R415" i="40"/>
  <c r="R416" i="40"/>
  <c r="R417" i="40"/>
  <c r="R418" i="40"/>
  <c r="R419" i="40"/>
  <c r="R420" i="40"/>
  <c r="R421" i="40"/>
  <c r="R422" i="40"/>
  <c r="R423" i="40"/>
  <c r="R424" i="40"/>
  <c r="R425" i="40"/>
  <c r="R426" i="40"/>
  <c r="R427" i="40"/>
  <c r="R428" i="40"/>
  <c r="R429" i="40"/>
  <c r="R430" i="40"/>
  <c r="R431" i="40"/>
  <c r="R432" i="40"/>
  <c r="R433" i="40"/>
  <c r="R434" i="40"/>
  <c r="R435" i="40"/>
  <c r="R436" i="40"/>
  <c r="R437" i="40"/>
  <c r="R438" i="40"/>
  <c r="R439" i="40"/>
  <c r="R440" i="40"/>
  <c r="R441" i="40"/>
  <c r="R442" i="40"/>
  <c r="R443" i="40"/>
  <c r="R444" i="40"/>
  <c r="R445" i="40"/>
  <c r="R446" i="40"/>
  <c r="R447" i="40"/>
  <c r="R448" i="40"/>
  <c r="R449" i="40"/>
  <c r="R450" i="40"/>
  <c r="R451" i="40"/>
  <c r="R452" i="40"/>
  <c r="R453" i="40"/>
  <c r="R454" i="40"/>
  <c r="R455" i="40"/>
  <c r="R456" i="40"/>
  <c r="R457" i="40"/>
  <c r="R458" i="40"/>
  <c r="R459" i="40"/>
  <c r="R460" i="40"/>
  <c r="R461" i="40"/>
  <c r="R462" i="40"/>
  <c r="R463" i="40"/>
  <c r="R464" i="40"/>
  <c r="R465" i="40"/>
  <c r="R466" i="40"/>
  <c r="R467" i="40"/>
  <c r="R468" i="40"/>
  <c r="R469" i="40"/>
  <c r="R470" i="40"/>
  <c r="R471" i="40"/>
  <c r="R472" i="40"/>
  <c r="R473" i="40"/>
  <c r="R474" i="40"/>
  <c r="R475" i="40"/>
  <c r="R476" i="40"/>
  <c r="R477" i="40"/>
  <c r="R478" i="40"/>
  <c r="R479" i="40"/>
  <c r="R480" i="40"/>
  <c r="R481" i="40"/>
  <c r="R482" i="40"/>
  <c r="R483" i="40"/>
  <c r="R484" i="40"/>
  <c r="R485" i="40"/>
  <c r="R486" i="40"/>
  <c r="R487" i="40"/>
  <c r="R488" i="40"/>
  <c r="R489" i="40"/>
  <c r="R490" i="40"/>
  <c r="R491" i="40"/>
  <c r="R492" i="40"/>
  <c r="R493" i="40"/>
  <c r="R494" i="40"/>
  <c r="R495" i="40"/>
  <c r="R496" i="40"/>
  <c r="R497" i="40"/>
  <c r="R498" i="40"/>
  <c r="R499" i="40"/>
  <c r="R500" i="40"/>
  <c r="R501" i="40"/>
  <c r="R502" i="40"/>
  <c r="R503" i="40"/>
  <c r="R504" i="40"/>
  <c r="R505" i="40"/>
  <c r="R506" i="40"/>
  <c r="R507" i="40"/>
  <c r="R508" i="40"/>
  <c r="R509" i="40"/>
  <c r="R510" i="40"/>
  <c r="R511" i="40"/>
  <c r="R512" i="40"/>
  <c r="R513" i="40"/>
  <c r="R514" i="40"/>
  <c r="R515" i="40"/>
  <c r="R516" i="40"/>
  <c r="R517" i="40"/>
  <c r="R518" i="40"/>
  <c r="R519" i="40"/>
  <c r="R520" i="40"/>
  <c r="R521" i="40"/>
  <c r="R522" i="40"/>
  <c r="R523" i="40"/>
  <c r="R524" i="40"/>
  <c r="R525" i="40"/>
  <c r="R526" i="40"/>
  <c r="R527" i="40"/>
  <c r="R528" i="40"/>
  <c r="R529" i="40"/>
  <c r="R530" i="40"/>
  <c r="R531" i="40"/>
  <c r="R532" i="40"/>
  <c r="R533" i="40"/>
  <c r="R534" i="40"/>
  <c r="R535" i="40"/>
  <c r="R536" i="40"/>
  <c r="R537" i="40"/>
  <c r="R538" i="40"/>
  <c r="R539" i="40"/>
  <c r="R540" i="40"/>
  <c r="R541" i="40"/>
  <c r="R542" i="40"/>
  <c r="R543" i="40"/>
  <c r="R544" i="40"/>
  <c r="R545" i="40"/>
  <c r="R546" i="40"/>
  <c r="R547" i="40"/>
  <c r="R548" i="40"/>
  <c r="R549" i="40"/>
  <c r="R550" i="40"/>
  <c r="R551" i="40"/>
  <c r="R552" i="40"/>
  <c r="R553" i="40"/>
  <c r="R554" i="40"/>
  <c r="R555" i="40"/>
  <c r="R556" i="40"/>
  <c r="R557" i="40"/>
  <c r="R558" i="40"/>
  <c r="R559" i="40"/>
  <c r="R560" i="40"/>
  <c r="R561" i="40"/>
  <c r="R562" i="40"/>
  <c r="R563" i="40"/>
  <c r="R564" i="40"/>
  <c r="R565" i="40"/>
  <c r="R566" i="40"/>
  <c r="R567" i="40"/>
  <c r="R568" i="40"/>
  <c r="R569" i="40"/>
  <c r="R570" i="40"/>
  <c r="R571" i="40"/>
  <c r="R572" i="40"/>
  <c r="R573" i="40"/>
  <c r="R574" i="40"/>
  <c r="R575" i="40"/>
  <c r="R576" i="40"/>
  <c r="R577" i="40"/>
  <c r="R578" i="40"/>
  <c r="R579" i="40"/>
  <c r="R580" i="40"/>
  <c r="R581" i="40"/>
  <c r="R582" i="40"/>
  <c r="R583" i="40"/>
  <c r="R584" i="40"/>
  <c r="R585" i="40"/>
  <c r="R586" i="40"/>
  <c r="R587" i="40"/>
  <c r="R588" i="40"/>
  <c r="R589" i="40"/>
  <c r="R590" i="40"/>
  <c r="R591" i="40"/>
  <c r="R592" i="40"/>
  <c r="R593" i="40"/>
  <c r="R594" i="40"/>
  <c r="R595" i="40"/>
  <c r="R596" i="40"/>
  <c r="R597" i="40"/>
  <c r="R598" i="40"/>
  <c r="R599" i="40"/>
  <c r="R600" i="40"/>
  <c r="R601" i="40"/>
  <c r="R602" i="40"/>
  <c r="R603" i="40"/>
  <c r="R604" i="40"/>
  <c r="R605" i="40"/>
  <c r="R606" i="40"/>
  <c r="R607" i="40"/>
  <c r="R608" i="40"/>
  <c r="R609" i="40"/>
  <c r="R610" i="40"/>
  <c r="R611" i="40"/>
  <c r="R612" i="40"/>
  <c r="R613" i="40"/>
  <c r="R614" i="40"/>
  <c r="R615" i="40"/>
  <c r="R616" i="40"/>
  <c r="R617" i="40"/>
  <c r="R618" i="40"/>
  <c r="R619" i="40"/>
  <c r="R620" i="40"/>
  <c r="R621" i="40"/>
  <c r="R622" i="40"/>
  <c r="R623" i="40"/>
  <c r="R624" i="40"/>
  <c r="R625" i="40"/>
  <c r="R626" i="40"/>
  <c r="R627" i="40"/>
  <c r="R628" i="40"/>
  <c r="R629" i="40"/>
  <c r="R630" i="40"/>
  <c r="R631" i="40"/>
  <c r="R632" i="40"/>
  <c r="R633" i="40"/>
  <c r="R634" i="40"/>
  <c r="R635" i="40"/>
  <c r="R636" i="40"/>
  <c r="R637" i="40"/>
  <c r="R638" i="40"/>
  <c r="R639" i="40"/>
  <c r="R640" i="40"/>
  <c r="R641" i="40"/>
  <c r="R642" i="40"/>
  <c r="R643" i="40"/>
  <c r="R644" i="40"/>
  <c r="R645" i="40"/>
  <c r="R646" i="40"/>
  <c r="R647" i="40"/>
  <c r="R648" i="40"/>
  <c r="R649" i="40"/>
  <c r="R650" i="40"/>
  <c r="R651" i="40"/>
  <c r="R652" i="40"/>
  <c r="R653" i="40"/>
  <c r="R654" i="40"/>
  <c r="R655" i="40"/>
  <c r="R656" i="40"/>
  <c r="R657" i="40"/>
  <c r="R658" i="40"/>
  <c r="R659" i="40"/>
  <c r="R660" i="40"/>
  <c r="R661" i="40"/>
  <c r="R662" i="40"/>
  <c r="R663" i="40"/>
  <c r="R664" i="40"/>
  <c r="R665" i="40"/>
  <c r="R666" i="40"/>
  <c r="R667" i="40"/>
  <c r="R668" i="40"/>
  <c r="R669" i="40"/>
  <c r="R670" i="40"/>
  <c r="R671" i="40"/>
  <c r="R672" i="40"/>
  <c r="R673" i="40"/>
  <c r="R674" i="40"/>
  <c r="R675" i="40"/>
  <c r="R676" i="40"/>
  <c r="R677" i="40"/>
  <c r="R678" i="40"/>
  <c r="R679" i="40"/>
  <c r="R680" i="40"/>
  <c r="R681" i="40"/>
  <c r="R682" i="40"/>
  <c r="R683" i="40"/>
  <c r="R684" i="40"/>
  <c r="R685" i="40"/>
  <c r="R686" i="40"/>
  <c r="R687" i="40"/>
  <c r="R688" i="40"/>
  <c r="R689" i="40"/>
  <c r="R690" i="40"/>
  <c r="R691" i="40"/>
  <c r="R692" i="40"/>
  <c r="R693" i="40"/>
  <c r="R694" i="40"/>
  <c r="R695" i="40"/>
  <c r="R696" i="40"/>
  <c r="R697" i="40"/>
  <c r="R698" i="40"/>
  <c r="R699" i="40"/>
  <c r="R700" i="40"/>
  <c r="R701" i="40"/>
  <c r="R702" i="40"/>
  <c r="R703" i="40"/>
  <c r="R704" i="40"/>
  <c r="R705" i="40"/>
  <c r="R706" i="40"/>
  <c r="R707" i="40"/>
  <c r="R708" i="40"/>
  <c r="R709" i="40"/>
  <c r="R710" i="40"/>
  <c r="R711" i="40"/>
  <c r="R712" i="40"/>
  <c r="R713" i="40"/>
  <c r="R714" i="40"/>
  <c r="R715" i="40"/>
  <c r="R716" i="40"/>
  <c r="R717" i="40"/>
  <c r="R718" i="40"/>
  <c r="R719" i="40"/>
  <c r="R720" i="40"/>
  <c r="R721" i="40"/>
  <c r="R722" i="40"/>
  <c r="R723" i="40"/>
  <c r="R724" i="40"/>
  <c r="R725" i="40"/>
  <c r="R726" i="40"/>
  <c r="R727" i="40"/>
  <c r="R728" i="40"/>
  <c r="R729" i="40"/>
  <c r="R730" i="40"/>
  <c r="R731" i="40"/>
  <c r="R732" i="40"/>
  <c r="R733" i="40"/>
  <c r="R734" i="40"/>
  <c r="R735" i="40"/>
  <c r="R736" i="40"/>
  <c r="R737" i="40"/>
  <c r="R738" i="40"/>
  <c r="R739" i="40"/>
  <c r="R740" i="40"/>
  <c r="R741" i="40"/>
  <c r="R742" i="40"/>
  <c r="R743" i="40"/>
  <c r="R744" i="40"/>
  <c r="R745" i="40"/>
  <c r="R746" i="40"/>
  <c r="R747" i="40"/>
  <c r="R748" i="40"/>
  <c r="R749" i="40"/>
  <c r="R750" i="40"/>
  <c r="R751" i="40"/>
  <c r="R752" i="40"/>
  <c r="R753" i="40"/>
  <c r="R754" i="40"/>
  <c r="R755" i="40"/>
  <c r="R756" i="40"/>
  <c r="R757" i="40"/>
  <c r="R758" i="40"/>
  <c r="R759" i="40"/>
  <c r="R760" i="40"/>
  <c r="R761" i="40"/>
  <c r="R762" i="40"/>
  <c r="R763" i="40"/>
  <c r="R764" i="40"/>
  <c r="R765" i="40"/>
  <c r="R766" i="40"/>
  <c r="R767" i="40"/>
  <c r="R768" i="40"/>
  <c r="R769" i="40"/>
  <c r="R2" i="40"/>
  <c r="P739" i="40" a="1"/>
  <c r="P739" i="4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A79ACBA-C011-44FF-A1DF-8A7D6B024E95}" keepAlive="1" name="Query - diabetesoriginal" description="Connection to the 'diabetesoriginal' query in the workbook." type="5" refreshedVersion="7" background="1" saveData="1">
    <dbPr connection="Provider=Microsoft.Mashup.OleDb.1;Data Source=$Workbook$;Location=diabetesoriginal;Extended Properties=&quot;&quot;" command="SELECT * FROM [diabetesorigina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<sst xmlns="http://schemas.openxmlformats.org/spreadsheetml/2006/main" count="4745" uniqueCount="73">
  <si>
    <t>Pregnancies</t>
  </si>
  <si>
    <t>Glucose</t>
  </si>
  <si>
    <t>BloodPressure</t>
  </si>
  <si>
    <t>SkinThickness</t>
  </si>
  <si>
    <t>Insulin</t>
  </si>
  <si>
    <t>BMI</t>
  </si>
  <si>
    <t>DiabetesPedigreeFunction</t>
  </si>
  <si>
    <t>Age</t>
  </si>
  <si>
    <t>Outcome</t>
  </si>
  <si>
    <t>Row Labels</t>
  </si>
  <si>
    <t>Grand Total</t>
  </si>
  <si>
    <t>Column Labels</t>
  </si>
  <si>
    <t>Diabetes</t>
  </si>
  <si>
    <t>Blood Pressure</t>
  </si>
  <si>
    <t>Skin Thickness</t>
  </si>
  <si>
    <t>Diabetes Pedigree Function</t>
  </si>
  <si>
    <t>Count of Diabetes</t>
  </si>
  <si>
    <t>Group1</t>
  </si>
  <si>
    <t>Group2</t>
  </si>
  <si>
    <t>Age Group</t>
  </si>
  <si>
    <t>Glucose Category</t>
  </si>
  <si>
    <t>Blood Pressure Category</t>
  </si>
  <si>
    <t>Prediabetes</t>
  </si>
  <si>
    <t>Normal BP</t>
  </si>
  <si>
    <t>Stage 1 Hypertension</t>
  </si>
  <si>
    <t>High-Normal BP</t>
  </si>
  <si>
    <t>Stage 2 Hypertension</t>
  </si>
  <si>
    <t>BMI Category</t>
  </si>
  <si>
    <t>Skin Thickness Category</t>
  </si>
  <si>
    <t>Obesity</t>
  </si>
  <si>
    <t>Overweight</t>
  </si>
  <si>
    <t>Healthy</t>
  </si>
  <si>
    <t>Obesity Extreme</t>
  </si>
  <si>
    <t>Underweight</t>
  </si>
  <si>
    <t>Insulin Category</t>
  </si>
  <si>
    <t>20-29</t>
  </si>
  <si>
    <t>30-39</t>
  </si>
  <si>
    <t>40-49</t>
  </si>
  <si>
    <t>50-59</t>
  </si>
  <si>
    <t>60-69</t>
  </si>
  <si>
    <t>100-119</t>
  </si>
  <si>
    <t>120-139</t>
  </si>
  <si>
    <t>140-159</t>
  </si>
  <si>
    <t>160-179</t>
  </si>
  <si>
    <t>40-59</t>
  </si>
  <si>
    <t>60-79</t>
  </si>
  <si>
    <t>80-99</t>
  </si>
  <si>
    <t>70 &amp; Above</t>
  </si>
  <si>
    <t>180-200</t>
  </si>
  <si>
    <t>5-14</t>
  </si>
  <si>
    <t>15-24</t>
  </si>
  <si>
    <t>25-34</t>
  </si>
  <si>
    <t>35-44</t>
  </si>
  <si>
    <t>45-54</t>
  </si>
  <si>
    <t>55-64</t>
  </si>
  <si>
    <t>95-104</t>
  </si>
  <si>
    <t>Thick</t>
  </si>
  <si>
    <t>Normal Sugar Level</t>
  </si>
  <si>
    <t xml:space="preserve">Normal </t>
  </si>
  <si>
    <t>Too High</t>
  </si>
  <si>
    <t>0.078-0.578</t>
  </si>
  <si>
    <t>0.578-1.078</t>
  </si>
  <si>
    <t>1.078-1.578</t>
  </si>
  <si>
    <t>2.078-2.578</t>
  </si>
  <si>
    <t>0-69</t>
  </si>
  <si>
    <t>70-139</t>
  </si>
  <si>
    <t>140-209</t>
  </si>
  <si>
    <t>210-279</t>
  </si>
  <si>
    <t>280-349</t>
  </si>
  <si>
    <t>350-419</t>
  </si>
  <si>
    <t>420-489</t>
  </si>
  <si>
    <t>490-559</t>
  </si>
  <si>
    <t>1.578-2.078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</si>
</sst>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x14ac:knownFonts="1">
    <font>
      <sz val="11"/>
      <color theme="1"/>
      <name val="Century Gothic"/>
      <family val="2"/>
      <scheme val="minor"/>
    </font>
    <font>
      <sz val="11"/>
      <color theme="1"/>
      <name val="Century Gothic"/>
      <family val="2"/>
      <scheme val="minor"/>
    </font>
    <font>
      <sz val="18"/>
      <color theme="3"/>
      <name val="Century Gothic"/>
      <family val="2"/>
      <scheme val="major"/>
    </font>
    <font>
      <b/>
      <sz val="15"/>
      <color theme="3"/>
      <name val="Century Gothic"/>
      <family val="2"/>
      <scheme val="minor"/>
    </font>
    <font>
      <b/>
      <sz val="13"/>
      <color theme="3"/>
      <name val="Century Gothic"/>
      <family val="2"/>
      <scheme val="minor"/>
    </font>
    <font>
      <b/>
      <sz val="11"/>
      <color theme="3"/>
      <name val="Century Gothic"/>
      <family val="2"/>
      <scheme val="minor"/>
    </font>
    <font>
      <sz val="11"/>
      <color rgb="FF006100"/>
      <name val="Century Gothic"/>
      <family val="2"/>
      <scheme val="minor"/>
    </font>
    <font>
      <sz val="11"/>
      <color rgb="FF9C0006"/>
      <name val="Century Gothic"/>
      <family val="2"/>
      <scheme val="minor"/>
    </font>
    <font>
      <sz val="11"/>
      <color rgb="FF9C5700"/>
      <name val="Century Gothic"/>
      <family val="2"/>
      <scheme val="minor"/>
    </font>
    <font>
      <sz val="11"/>
      <color rgb="FF3F3F76"/>
      <name val="Century Gothic"/>
      <family val="2"/>
      <scheme val="minor"/>
    </font>
    <font>
      <b/>
      <sz val="11"/>
      <color rgb="FF3F3F3F"/>
      <name val="Century Gothic"/>
      <family val="2"/>
      <scheme val="minor"/>
    </font>
    <font>
      <b/>
      <sz val="11"/>
      <color rgb="FFFA7D00"/>
      <name val="Century Gothic"/>
      <family val="2"/>
      <scheme val="minor"/>
    </font>
    <font>
      <sz val="11"/>
      <color rgb="FFFA7D00"/>
      <name val="Century Gothic"/>
      <family val="2"/>
      <scheme val="minor"/>
    </font>
    <font>
      <b/>
      <sz val="11"/>
      <color theme="0"/>
      <name val="Century Gothic"/>
      <family val="2"/>
      <scheme val="minor"/>
    </font>
    <font>
      <sz val="11"/>
      <color rgb="FFFF0000"/>
      <name val="Century Gothic"/>
      <family val="2"/>
      <scheme val="minor"/>
    </font>
    <font>
      <i/>
      <sz val="11"/>
      <color rgb="FF7F7F7F"/>
      <name val="Century Gothic"/>
      <family val="2"/>
      <scheme val="minor"/>
    </font>
    <font>
      <b/>
      <sz val="11"/>
      <color theme="1"/>
      <name val="Century Gothic"/>
      <family val="2"/>
      <scheme val="minor"/>
    </font>
    <font>
      <sz val="11"/>
      <color theme="0"/>
      <name val="Century Gothic"/>
      <family val="2"/>
      <scheme val="minor"/>
    </font>
    <font>
      <sz val="8"/>
      <name val="Century Gothic"/>
      <family val="2"/>
      <scheme val="minor"/>
    </font>
    <font>
      <sz val="11"/>
      <color theme="1"/>
      <name val="Arial"/>
      <family val="2"/>
    </font>
    <font>
      <b/>
      <sz val="11"/>
      <color theme="1"/>
      <name val="Arial"/>
      <family val="2"/>
    </font>
    <font>
      <i/>
      <sz val="11"/>
      <color theme="1"/>
      <name val="Arial"/>
      <family val="2"/>
    </font>
    <font>
      <sz val="10"/>
      <color theme="1"/>
      <name val="Arial"/>
      <family val="2"/>
    </font>
    <font>
      <sz val="18"/>
      <color theme="1"/>
      <name val="Arial Nova Light"/>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6">
    <xf numFmtId="0" fontId="0" fillId="0" borderId="0" xfId="0"/>
    <xf numFmtId="0" fontId="0" fillId="0" borderId="0" xfId="0" pivotButton="1"/>
    <xf numFmtId="0" fontId="0" fillId="0" borderId="0" xfId="0" applyAlignment="1">
      <alignment horizontal="left"/>
    </xf>
    <xf numFmtId="0" fontId="0" fillId="0" borderId="0" xfId="0" applyNumberFormat="1"/>
    <xf numFmtId="9" fontId="0" fillId="0" borderId="0" xfId="0" applyNumberFormat="1"/>
    <xf numFmtId="0" fontId="19" fillId="0" borderId="0" xfId="0" applyFont="1"/>
    <xf numFmtId="0" fontId="20" fillId="0" borderId="0" xfId="0" applyFont="1" applyAlignment="1">
      <alignment horizontal="center"/>
    </xf>
    <xf numFmtId="0" fontId="21" fillId="0" borderId="0" xfId="0" applyFont="1" applyFill="1" applyBorder="1" applyAlignment="1">
      <alignment horizontal="center"/>
    </xf>
    <xf numFmtId="0" fontId="22" fillId="0" borderId="0" xfId="0" applyFont="1" applyFill="1" applyBorder="1" applyAlignment="1">
      <alignment horizontal="center" textRotation="90"/>
    </xf>
    <xf numFmtId="0" fontId="22" fillId="0" borderId="0" xfId="0" applyFont="1" applyFill="1" applyBorder="1" applyAlignment="1">
      <alignment horizontal="right"/>
    </xf>
    <xf numFmtId="2" fontId="19" fillId="0" borderId="0" xfId="0" applyNumberFormat="1" applyFont="1" applyFill="1" applyBorder="1" applyAlignment="1"/>
    <xf numFmtId="0" fontId="19" fillId="0" borderId="0" xfId="0" pivotButton="1" applyFont="1"/>
    <xf numFmtId="0" fontId="19" fillId="0" borderId="0" xfId="0" applyFont="1" applyAlignment="1">
      <alignment horizontal="left"/>
    </xf>
    <xf numFmtId="9" fontId="19" fillId="0" borderId="0" xfId="0" applyNumberFormat="1" applyFont="1"/>
    <xf numFmtId="10" fontId="19" fillId="0" borderId="0" xfId="0" applyNumberFormat="1" applyFont="1"/>
    <xf numFmtId="0" fontId="19" fillId="0" borderId="0" xfId="0" applyNumberFormat="1" applyFont="1"/>
    <xf numFmtId="0" fontId="23" fillId="0" borderId="12" xfId="0" applyFont="1" applyBorder="1"/>
    <xf numFmtId="0" fontId="23" fillId="0" borderId="11" xfId="0" applyFont="1" applyBorder="1"/>
    <xf numFmtId="0" fontId="23" fillId="0" borderId="13" xfId="0" applyFont="1" applyBorder="1"/>
    <xf numFmtId="0" fontId="23" fillId="0" borderId="0" xfId="0" applyFont="1"/>
    <xf numFmtId="0" fontId="23" fillId="0" borderId="14" xfId="0" applyFont="1" applyBorder="1"/>
    <xf numFmtId="0" fontId="23" fillId="0" borderId="0" xfId="0" applyFont="1" applyBorder="1"/>
    <xf numFmtId="0" fontId="23" fillId="0" borderId="15" xfId="0" applyFont="1" applyBorder="1"/>
    <xf numFmtId="0" fontId="23" fillId="0" borderId="16" xfId="0" applyFont="1" applyBorder="1"/>
    <xf numFmtId="0" fontId="23" fillId="0" borderId="10" xfId="0" applyFont="1" applyBorder="1"/>
    <xf numFmtId="0" fontId="23" fillId="0" borderId="17" xfId="0" applyFon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4">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3" formatCode="0%"/>
    </dxf>
    <dxf>
      <numFmt numFmtId="0" formatCode="General"/>
    </dxf>
    <dxf>
      <numFmt numFmtId="13" formatCode="0%"/>
    </dxf>
    <dxf>
      <numFmt numFmtId="13" formatCode="0%"/>
    </dxf>
    <dxf>
      <numFmt numFmtId="13" formatCode="0%"/>
    </dxf>
    <dxf>
      <numFmt numFmtId="13" formatCode="0%"/>
    </dxf>
    <dxf>
      <numFmt numFmtId="13" formatCode="0%"/>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numFmt numFmtId="0" formatCode="General"/>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z val="16"/>
        <color theme="1"/>
      </font>
      <border>
        <bottom style="thin">
          <color theme="4"/>
        </bottom>
        <vertical/>
        <horizontal/>
      </border>
    </dxf>
    <dxf>
      <font>
        <b/>
        <i val="0"/>
        <sz val="16"/>
        <color theme="1"/>
      </font>
      <border>
        <left style="thin">
          <color theme="4"/>
        </left>
        <right style="thin">
          <color theme="4"/>
        </right>
        <top style="thin">
          <color theme="4"/>
        </top>
        <bottom style="thin">
          <color theme="4"/>
        </bottom>
        <vertical/>
        <horizontal/>
      </border>
    </dxf>
    <dxf>
      <font>
        <b/>
        <i val="0"/>
        <sz val="14"/>
      </font>
      <fill>
        <patternFill patternType="none">
          <bgColor auto="1"/>
        </patternFill>
      </fill>
    </dxf>
    <dxf>
      <font>
        <sz val="16"/>
      </font>
    </dxf>
  </dxfs>
  <tableStyles count="3" defaultTableStyle="TableStyleMedium2" defaultPivotStyle="PivotStyleLight16">
    <tableStyle name="Slicer Style 1" pivot="0" table="0" count="1" xr9:uid="{39AE56A5-B701-4AB1-BB32-9FFAACF719A9}">
      <tableStyleElement type="wholeTable" dxfId="93"/>
    </tableStyle>
    <tableStyle name="Slicer Style 3" pivot="0" table="0" count="2" xr9:uid="{35A42D9C-3361-4168-BF9A-D3F7CB807465}">
      <tableStyleElement type="wholeTable" dxfId="92"/>
    </tableStyle>
    <tableStyle name="SlicerStyleLight1 2" pivot="0" table="0" count="10" xr9:uid="{AED7BB28-E46E-4139-B19F-BD56DF2BC89A}">
      <tableStyleElement type="wholeTable" dxfId="91"/>
      <tableStyleElement type="headerRow" dxfId="90"/>
    </tableStyle>
  </tableStyles>
  <colors>
    <mruColors>
      <color rgb="FFADA5A5"/>
      <color rgb="FFFCB6B8"/>
      <color rgb="FFFB9799"/>
      <color rgb="FFF97376"/>
      <color rgb="FFFDD3D4"/>
      <color rgb="FFFF5D5D"/>
      <color rgb="FFFB9B9D"/>
    </mruColors>
  </colors>
  <extLst>
    <ext xmlns:x14="http://schemas.microsoft.com/office/spreadsheetml/2009/9/main" uri="{46F421CA-312F-682f-3DD2-61675219B42D}">
      <x14:dxfs count="9">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ill>
            <patternFill>
              <bgColor theme="4" tint="0.59996337778862885"/>
            </patternFill>
          </fill>
        </dxf>
      </x14:dxfs>
    </ext>
    <ext xmlns:x14="http://schemas.microsoft.com/office/spreadsheetml/2009/9/main" uri="{EB79DEF2-80B8-43e5-95BD-54CBDDF9020C}">
      <x14:slicerStyles defaultSlicerStyle="SlicerStyleLight1">
        <x14:slicerStyle name="Slicer Style 1"/>
        <x14:slicerStyle name="Slicer Style 3">
          <x14:slicerStyleElements>
            <x14:slicerStyleElement type="selectedItemWith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7.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8.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9.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Indicators.xlsm]count!PivotTable59</c:name>
    <c:fmtId val="25"/>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a:t>% of Patients with 2hr serum insulin &gt;166mIU/L</a:t>
            </a:r>
          </a:p>
        </c:rich>
      </c:tx>
      <c:layout>
        <c:manualLayout>
          <c:xMode val="edge"/>
          <c:yMode val="edge"/>
          <c:x val="6.5342460317460313E-2"/>
          <c:y val="9.0254732055063916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2"/>
          </a:solidFill>
          <a:ln>
            <a:noFill/>
          </a:ln>
          <a:effectLst/>
          <a:extLst>
            <a:ext uri="{91240B29-F687-4F45-9708-019B960494DF}">
              <a14:hiddenLine xmlns:a14="http://schemas.microsoft.com/office/drawing/2010/main">
                <a:noFill/>
              </a14:hiddenLine>
            </a:ext>
          </a:extLst>
        </c:spPr>
      </c:pivotFmt>
      <c:pivotFmt>
        <c:idx val="1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2"/>
          </a:solidFill>
          <a:ln>
            <a:noFill/>
          </a:ln>
          <a:effectLst/>
        </c:spPr>
        <c:marker>
          <c:symbol val="none"/>
        </c:marker>
      </c:pivotFmt>
      <c:pivotFmt>
        <c:idx val="2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7"/>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8"/>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9"/>
        <c:spPr>
          <a:solidFill>
            <a:schemeClr val="accent2"/>
          </a:solidFill>
          <a:ln>
            <a:noFill/>
          </a:ln>
          <a:effectLst/>
        </c:spPr>
        <c:dLbl>
          <c:idx val="0"/>
          <c:layout>
            <c:manualLayout>
              <c:x val="0.13229166666666667"/>
              <c:y val="-2.3518518518518574E-2"/>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1"/>
        <c:spPr>
          <a:solidFill>
            <a:schemeClr val="bg2"/>
          </a:solidFill>
          <a:ln>
            <a:noFill/>
          </a:ln>
          <a:effectLst/>
        </c:spPr>
      </c:pivotFmt>
    </c:pivotFmts>
    <c:plotArea>
      <c:layout>
        <c:manualLayout>
          <c:layoutTarget val="inner"/>
          <c:xMode val="edge"/>
          <c:yMode val="edge"/>
          <c:x val="5.8199456037509763E-2"/>
          <c:y val="0.20227076763523005"/>
          <c:w val="0.88870353523544876"/>
          <c:h val="0.62353404041074012"/>
        </c:manualLayout>
      </c:layout>
      <c:barChart>
        <c:barDir val="bar"/>
        <c:grouping val="percentStacked"/>
        <c:varyColors val="0"/>
        <c:ser>
          <c:idx val="0"/>
          <c:order val="0"/>
          <c:tx>
            <c:strRef>
              <c:f>count!$L$20:$L$21</c:f>
              <c:strCache>
                <c:ptCount val="1"/>
                <c:pt idx="0">
                  <c:v>Too High</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3-6737-477A-AD5D-320496277F96}"/>
              </c:ext>
            </c:extLst>
          </c:dPt>
          <c:dLbls>
            <c:dLbl>
              <c:idx val="0"/>
              <c:layout>
                <c:manualLayout>
                  <c:x val="0.13229166666666667"/>
                  <c:y val="-2.351851851851857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737-477A-AD5D-320496277F96}"/>
                </c:ext>
              </c:extLst>
            </c:dLbl>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count!$K$22</c:f>
              <c:strCache>
                <c:ptCount val="1"/>
                <c:pt idx="0">
                  <c:v>Total</c:v>
                </c:pt>
              </c:strCache>
            </c:strRef>
          </c:cat>
          <c:val>
            <c:numRef>
              <c:f>count!$L$22</c:f>
              <c:numCache>
                <c:formatCode>0%</c:formatCode>
                <c:ptCount val="1"/>
                <c:pt idx="0">
                  <c:v>0.171875</c:v>
                </c:pt>
              </c:numCache>
            </c:numRef>
          </c:val>
          <c:extLst>
            <c:ext xmlns:c16="http://schemas.microsoft.com/office/drawing/2014/chart" uri="{C3380CC4-5D6E-409C-BE32-E72D297353CC}">
              <c16:uniqueId val="{00000000-6737-477A-AD5D-320496277F96}"/>
            </c:ext>
          </c:extLst>
        </c:ser>
        <c:ser>
          <c:idx val="1"/>
          <c:order val="1"/>
          <c:tx>
            <c:strRef>
              <c:f>count!$M$20:$M$21</c:f>
              <c:strCache>
                <c:ptCount val="1"/>
                <c:pt idx="0">
                  <c:v>Healthy</c:v>
                </c:pt>
              </c:strCache>
            </c:strRef>
          </c:tx>
          <c:spPr>
            <a:solidFill>
              <a:schemeClr val="bg2"/>
            </a:solidFill>
            <a:ln>
              <a:noFill/>
            </a:ln>
            <a:effectLst/>
          </c:spPr>
          <c:invertIfNegative val="0"/>
          <c:cat>
            <c:strRef>
              <c:f>count!$K$22</c:f>
              <c:strCache>
                <c:ptCount val="1"/>
                <c:pt idx="0">
                  <c:v>Total</c:v>
                </c:pt>
              </c:strCache>
            </c:strRef>
          </c:cat>
          <c:val>
            <c:numRef>
              <c:f>count!$M$22</c:f>
              <c:numCache>
                <c:formatCode>0%</c:formatCode>
                <c:ptCount val="1"/>
                <c:pt idx="0">
                  <c:v>0.828125</c:v>
                </c:pt>
              </c:numCache>
            </c:numRef>
          </c:val>
          <c:extLst>
            <c:ext xmlns:c16="http://schemas.microsoft.com/office/drawing/2014/chart" uri="{C3380CC4-5D6E-409C-BE32-E72D297353CC}">
              <c16:uniqueId val="{0000000D-54E8-45E6-9968-04CE9C398075}"/>
            </c:ext>
          </c:extLst>
        </c:ser>
        <c:dLbls>
          <c:showLegendKey val="0"/>
          <c:showVal val="0"/>
          <c:showCatName val="0"/>
          <c:showSerName val="0"/>
          <c:showPercent val="0"/>
          <c:showBubbleSize val="0"/>
        </c:dLbls>
        <c:gapWidth val="80"/>
        <c:overlap val="100"/>
        <c:axId val="727125480"/>
        <c:axId val="727125808"/>
      </c:barChart>
      <c:catAx>
        <c:axId val="727125480"/>
        <c:scaling>
          <c:orientation val="minMax"/>
        </c:scaling>
        <c:delete val="1"/>
        <c:axPos val="l"/>
        <c:numFmt formatCode="General" sourceLinked="1"/>
        <c:majorTickMark val="none"/>
        <c:minorTickMark val="none"/>
        <c:tickLblPos val="nextTo"/>
        <c:crossAx val="727125808"/>
        <c:crosses val="autoZero"/>
        <c:auto val="1"/>
        <c:lblAlgn val="ctr"/>
        <c:lblOffset val="100"/>
        <c:noMultiLvlLbl val="0"/>
      </c:catAx>
      <c:valAx>
        <c:axId val="727125808"/>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crossAx val="727125480"/>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Indicators.xlsm]count!PivotTable61</c:name>
    <c:fmtId val="25"/>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a:t>% of Patients with Body mass index BMI ≥25</a:t>
            </a:r>
          </a:p>
        </c:rich>
      </c:tx>
      <c:layout>
        <c:manualLayout>
          <c:xMode val="edge"/>
          <c:yMode val="edge"/>
          <c:x val="3.9491944444444448E-2"/>
          <c:y val="7.4172916666666672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pivotFmt>
      <c:pivotFmt>
        <c:idx val="50"/>
        <c:spPr>
          <a:solidFill>
            <a:schemeClr val="accent2"/>
          </a:solidFill>
          <a:ln>
            <a:noFill/>
          </a:ln>
          <a:effectLst/>
        </c:spPr>
        <c:marker>
          <c:symbol val="none"/>
        </c:marker>
      </c:pivotFmt>
      <c:pivotFmt>
        <c:idx val="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2"/>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70"/>
        <c:spPr>
          <a:solidFill>
            <a:schemeClr val="accent2"/>
          </a:solidFill>
          <a:ln>
            <a:noFill/>
          </a:ln>
          <a:effectLst/>
        </c:spPr>
        <c:dLbl>
          <c:idx val="0"/>
          <c:layout>
            <c:manualLayout>
              <c:x val="0.46365079365079365"/>
              <c:y val="0"/>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bg2"/>
          </a:solidFill>
          <a:ln>
            <a:noFill/>
          </a:ln>
          <a:effectLst/>
        </c:spPr>
      </c:pivotFmt>
    </c:pivotFmts>
    <c:plotArea>
      <c:layout>
        <c:manualLayout>
          <c:layoutTarget val="inner"/>
          <c:xMode val="edge"/>
          <c:yMode val="edge"/>
          <c:x val="4.0560555555555558E-2"/>
          <c:y val="0.2085798611111111"/>
          <c:w val="0.89926444444444442"/>
          <c:h val="0.62210208333333339"/>
        </c:manualLayout>
      </c:layout>
      <c:barChart>
        <c:barDir val="bar"/>
        <c:grouping val="percentStacked"/>
        <c:varyColors val="0"/>
        <c:ser>
          <c:idx val="0"/>
          <c:order val="0"/>
          <c:tx>
            <c:strRef>
              <c:f>count!$R$5:$R$7</c:f>
              <c:strCache>
                <c:ptCount val="1"/>
                <c:pt idx="0">
                  <c:v>Group2</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5-48FB-45F3-885F-70B6F1A0456F}"/>
              </c:ext>
            </c:extLst>
          </c:dPt>
          <c:dLbls>
            <c:dLbl>
              <c:idx val="0"/>
              <c:layout>
                <c:manualLayout>
                  <c:x val="0.46365079365079365"/>
                  <c:y val="0"/>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8FB-45F3-885F-70B6F1A0456F}"/>
                </c:ext>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count!$Q$8</c:f>
              <c:strCache>
                <c:ptCount val="1"/>
                <c:pt idx="0">
                  <c:v>Total</c:v>
                </c:pt>
              </c:strCache>
            </c:strRef>
          </c:cat>
          <c:val>
            <c:numRef>
              <c:f>count!$R$8</c:f>
              <c:numCache>
                <c:formatCode>0%</c:formatCode>
                <c:ptCount val="1"/>
                <c:pt idx="0">
                  <c:v>0.86197916666666663</c:v>
                </c:pt>
              </c:numCache>
            </c:numRef>
          </c:val>
          <c:extLst>
            <c:ext xmlns:c16="http://schemas.microsoft.com/office/drawing/2014/chart" uri="{C3380CC4-5D6E-409C-BE32-E72D297353CC}">
              <c16:uniqueId val="{00000000-48FB-45F3-885F-70B6F1A0456F}"/>
            </c:ext>
          </c:extLst>
        </c:ser>
        <c:ser>
          <c:idx val="1"/>
          <c:order val="1"/>
          <c:tx>
            <c:strRef>
              <c:f>count!$S$5:$S$7</c:f>
              <c:strCache>
                <c:ptCount val="1"/>
                <c:pt idx="0">
                  <c:v>Group1</c:v>
                </c:pt>
              </c:strCache>
            </c:strRef>
          </c:tx>
          <c:spPr>
            <a:solidFill>
              <a:schemeClr val="accent4"/>
            </a:solidFill>
            <a:ln>
              <a:noFill/>
            </a:ln>
            <a:effectLst/>
          </c:spPr>
          <c:invertIfNegative val="0"/>
          <c:dPt>
            <c:idx val="0"/>
            <c:invertIfNegative val="0"/>
            <c:bubble3D val="0"/>
            <c:spPr>
              <a:solidFill>
                <a:schemeClr val="bg2"/>
              </a:solidFill>
              <a:ln>
                <a:noFill/>
              </a:ln>
              <a:effectLst/>
            </c:spPr>
            <c:extLst>
              <c:ext xmlns:c16="http://schemas.microsoft.com/office/drawing/2014/chart" uri="{C3380CC4-5D6E-409C-BE32-E72D297353CC}">
                <c16:uniqueId val="{00000003-FFDD-4927-A45C-E795BD5CBF68}"/>
              </c:ext>
            </c:extLst>
          </c:dPt>
          <c:cat>
            <c:strRef>
              <c:f>count!$Q$8</c:f>
              <c:strCache>
                <c:ptCount val="1"/>
                <c:pt idx="0">
                  <c:v>Total</c:v>
                </c:pt>
              </c:strCache>
            </c:strRef>
          </c:cat>
          <c:val>
            <c:numRef>
              <c:f>count!$S$8</c:f>
              <c:numCache>
                <c:formatCode>0%</c:formatCode>
                <c:ptCount val="1"/>
                <c:pt idx="0">
                  <c:v>0.13802083333333334</c:v>
                </c:pt>
              </c:numCache>
            </c:numRef>
          </c:val>
          <c:extLst>
            <c:ext xmlns:c16="http://schemas.microsoft.com/office/drawing/2014/chart" uri="{C3380CC4-5D6E-409C-BE32-E72D297353CC}">
              <c16:uniqueId val="{00000006-C4E1-4C80-BC34-7D1123CFF15B}"/>
            </c:ext>
          </c:extLst>
        </c:ser>
        <c:dLbls>
          <c:showLegendKey val="0"/>
          <c:showVal val="0"/>
          <c:showCatName val="0"/>
          <c:showSerName val="0"/>
          <c:showPercent val="0"/>
          <c:showBubbleSize val="0"/>
        </c:dLbls>
        <c:gapWidth val="80"/>
        <c:overlap val="100"/>
        <c:axId val="1304423288"/>
        <c:axId val="1304427552"/>
      </c:barChart>
      <c:catAx>
        <c:axId val="1304423288"/>
        <c:scaling>
          <c:orientation val="minMax"/>
        </c:scaling>
        <c:delete val="1"/>
        <c:axPos val="l"/>
        <c:numFmt formatCode="General" sourceLinked="1"/>
        <c:majorTickMark val="none"/>
        <c:minorTickMark val="none"/>
        <c:tickLblPos val="nextTo"/>
        <c:crossAx val="1304427552"/>
        <c:crosses val="autoZero"/>
        <c:auto val="1"/>
        <c:lblAlgn val="ctr"/>
        <c:lblOffset val="100"/>
        <c:noMultiLvlLbl val="0"/>
      </c:catAx>
      <c:valAx>
        <c:axId val="1304427552"/>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crossAx val="1304423288"/>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Indicators.xlsm]Frequency!PivotTable3</c:name>
    <c:fmtId val="19"/>
  </c:pivotSource>
  <c:chart>
    <c:title>
      <c:tx>
        <c:rich>
          <a:bodyPr rot="0" spcFirstLastPara="1" vertOverflow="ellipsis" vert="horz" wrap="square" anchor="ctr" anchorCtr="1"/>
          <a:lstStyle/>
          <a:p>
            <a:pPr>
              <a:defRPr sz="1600" b="0" i="0" u="none" strike="noStrike" kern="1200" spc="0" baseline="0">
                <a:solidFill>
                  <a:schemeClr val="dk1"/>
                </a:solidFill>
                <a:latin typeface="+mn-lt"/>
                <a:ea typeface="+mn-ea"/>
                <a:cs typeface="+mn-cs"/>
              </a:defRPr>
            </a:pPr>
            <a:r>
              <a:rPr lang="en-SG" sz="1600" b="1" i="0" u="none" strike="noStrike" baseline="0">
                <a:effectLst/>
              </a:rPr>
              <a:t>No of Paitents by </a:t>
            </a:r>
            <a:r>
              <a:rPr lang="en-SG" sz="1600" b="1"/>
              <a:t>Insulin level</a:t>
            </a:r>
          </a:p>
        </c:rich>
      </c:tx>
      <c:layout>
        <c:manualLayout>
          <c:xMode val="edge"/>
          <c:yMode val="edge"/>
          <c:x val="0.34647722077405246"/>
          <c:y val="2.7326081753021262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Frequency!$M$3:$M$4</c:f>
              <c:strCache>
                <c:ptCount val="1"/>
                <c:pt idx="0">
                  <c:v>0</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Frequency!$L$5:$L$13</c:f>
              <c:strCache>
                <c:ptCount val="8"/>
                <c:pt idx="0">
                  <c:v>0-69</c:v>
                </c:pt>
                <c:pt idx="1">
                  <c:v>70-139</c:v>
                </c:pt>
                <c:pt idx="2">
                  <c:v>140-209</c:v>
                </c:pt>
                <c:pt idx="3">
                  <c:v>210-279</c:v>
                </c:pt>
                <c:pt idx="4">
                  <c:v>280-349</c:v>
                </c:pt>
                <c:pt idx="5">
                  <c:v>350-419</c:v>
                </c:pt>
                <c:pt idx="6">
                  <c:v>420-489</c:v>
                </c:pt>
                <c:pt idx="7">
                  <c:v>490-559</c:v>
                </c:pt>
              </c:strCache>
            </c:strRef>
          </c:cat>
          <c:val>
            <c:numRef>
              <c:f>Frequency!$M$5:$M$13</c:f>
              <c:numCache>
                <c:formatCode>General</c:formatCode>
                <c:ptCount val="8"/>
                <c:pt idx="0">
                  <c:v>73</c:v>
                </c:pt>
                <c:pt idx="1">
                  <c:v>341</c:v>
                </c:pt>
                <c:pt idx="2">
                  <c:v>49</c:v>
                </c:pt>
                <c:pt idx="3">
                  <c:v>17</c:v>
                </c:pt>
                <c:pt idx="4">
                  <c:v>10</c:v>
                </c:pt>
                <c:pt idx="5">
                  <c:v>4</c:v>
                </c:pt>
                <c:pt idx="6">
                  <c:v>3</c:v>
                </c:pt>
                <c:pt idx="7">
                  <c:v>1</c:v>
                </c:pt>
              </c:numCache>
            </c:numRef>
          </c:val>
          <c:extLst>
            <c:ext xmlns:c16="http://schemas.microsoft.com/office/drawing/2014/chart" uri="{C3380CC4-5D6E-409C-BE32-E72D297353CC}">
              <c16:uniqueId val="{00000000-D99E-4FAD-98ED-4620AD0D4B3C}"/>
            </c:ext>
          </c:extLst>
        </c:ser>
        <c:ser>
          <c:idx val="1"/>
          <c:order val="1"/>
          <c:tx>
            <c:strRef>
              <c:f>Frequency!$N$3:$N$4</c:f>
              <c:strCache>
                <c:ptCount val="1"/>
                <c:pt idx="0">
                  <c:v>1</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Frequency!$L$5:$L$13</c:f>
              <c:strCache>
                <c:ptCount val="8"/>
                <c:pt idx="0">
                  <c:v>0-69</c:v>
                </c:pt>
                <c:pt idx="1">
                  <c:v>70-139</c:v>
                </c:pt>
                <c:pt idx="2">
                  <c:v>140-209</c:v>
                </c:pt>
                <c:pt idx="3">
                  <c:v>210-279</c:v>
                </c:pt>
                <c:pt idx="4">
                  <c:v>280-349</c:v>
                </c:pt>
                <c:pt idx="5">
                  <c:v>350-419</c:v>
                </c:pt>
                <c:pt idx="6">
                  <c:v>420-489</c:v>
                </c:pt>
                <c:pt idx="7">
                  <c:v>490-559</c:v>
                </c:pt>
              </c:strCache>
            </c:strRef>
          </c:cat>
          <c:val>
            <c:numRef>
              <c:f>Frequency!$N$5:$N$13</c:f>
              <c:numCache>
                <c:formatCode>General</c:formatCode>
                <c:ptCount val="8"/>
                <c:pt idx="0">
                  <c:v>6</c:v>
                </c:pt>
                <c:pt idx="1">
                  <c:v>175</c:v>
                </c:pt>
                <c:pt idx="2">
                  <c:v>44</c:v>
                </c:pt>
                <c:pt idx="3">
                  <c:v>18</c:v>
                </c:pt>
                <c:pt idx="4">
                  <c:v>10</c:v>
                </c:pt>
                <c:pt idx="5">
                  <c:v>3</c:v>
                </c:pt>
                <c:pt idx="6">
                  <c:v>4</c:v>
                </c:pt>
                <c:pt idx="7">
                  <c:v>5</c:v>
                </c:pt>
              </c:numCache>
            </c:numRef>
          </c:val>
          <c:extLst>
            <c:ext xmlns:c16="http://schemas.microsoft.com/office/drawing/2014/chart" uri="{C3380CC4-5D6E-409C-BE32-E72D297353CC}">
              <c16:uniqueId val="{0000000C-6E07-4318-9313-3A10DEFE1E31}"/>
            </c:ext>
          </c:extLst>
        </c:ser>
        <c:dLbls>
          <c:dLblPos val="outEnd"/>
          <c:showLegendKey val="0"/>
          <c:showVal val="1"/>
          <c:showCatName val="0"/>
          <c:showSerName val="0"/>
          <c:showPercent val="0"/>
          <c:showBubbleSize val="0"/>
        </c:dLbls>
        <c:gapWidth val="50"/>
        <c:axId val="76969591"/>
        <c:axId val="76964015"/>
      </c:barChart>
      <c:catAx>
        <c:axId val="76969591"/>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Insulin</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76964015"/>
        <c:crosses val="autoZero"/>
        <c:auto val="1"/>
        <c:lblAlgn val="ctr"/>
        <c:lblOffset val="100"/>
        <c:noMultiLvlLbl val="0"/>
      </c:catAx>
      <c:valAx>
        <c:axId val="76964015"/>
        <c:scaling>
          <c:orientation val="minMax"/>
          <c:max val="3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No of Patients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76969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Indicators.xlsm]Frequency!PivotTable37</c:name>
    <c:fmtId val="23"/>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i="0" u="none" strike="noStrike" baseline="0">
                <a:effectLst/>
              </a:rPr>
              <a:t>No of Paitents by </a:t>
            </a:r>
            <a:r>
              <a:rPr lang="en-SG" sz="1600" b="1"/>
              <a:t>Skin Thickness </a:t>
            </a:r>
          </a:p>
        </c:rich>
      </c:tx>
      <c:layout>
        <c:manualLayout>
          <c:xMode val="edge"/>
          <c:yMode val="edge"/>
          <c:x val="0.2407042275954431"/>
          <c:y val="5.1093548419349259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Frequency!$R$3:$R$4</c:f>
              <c:strCache>
                <c:ptCount val="1"/>
                <c:pt idx="0">
                  <c:v>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Frequency!$Q$5:$Q$12</c:f>
              <c:strCache>
                <c:ptCount val="7"/>
                <c:pt idx="0">
                  <c:v>5-14</c:v>
                </c:pt>
                <c:pt idx="1">
                  <c:v>15-24</c:v>
                </c:pt>
                <c:pt idx="2">
                  <c:v>25-34</c:v>
                </c:pt>
                <c:pt idx="3">
                  <c:v>35-44</c:v>
                </c:pt>
                <c:pt idx="4">
                  <c:v>45-54</c:v>
                </c:pt>
                <c:pt idx="5">
                  <c:v>55-64</c:v>
                </c:pt>
                <c:pt idx="6">
                  <c:v>95-104</c:v>
                </c:pt>
              </c:strCache>
            </c:strRef>
          </c:cat>
          <c:val>
            <c:numRef>
              <c:f>Frequency!$R$5:$R$12</c:f>
              <c:numCache>
                <c:formatCode>General</c:formatCode>
                <c:ptCount val="7"/>
                <c:pt idx="0">
                  <c:v>34</c:v>
                </c:pt>
                <c:pt idx="1">
                  <c:v>117</c:v>
                </c:pt>
                <c:pt idx="2">
                  <c:v>265</c:v>
                </c:pt>
                <c:pt idx="3">
                  <c:v>66</c:v>
                </c:pt>
                <c:pt idx="4">
                  <c:v>17</c:v>
                </c:pt>
                <c:pt idx="5">
                  <c:v>1</c:v>
                </c:pt>
              </c:numCache>
            </c:numRef>
          </c:val>
          <c:extLst>
            <c:ext xmlns:c16="http://schemas.microsoft.com/office/drawing/2014/chart" uri="{C3380CC4-5D6E-409C-BE32-E72D297353CC}">
              <c16:uniqueId val="{00000000-5A89-4A18-9AD8-D2EA4DA4C997}"/>
            </c:ext>
          </c:extLst>
        </c:ser>
        <c:ser>
          <c:idx val="1"/>
          <c:order val="1"/>
          <c:tx>
            <c:strRef>
              <c:f>Frequency!$S$3:$S$4</c:f>
              <c:strCache>
                <c:ptCount val="1"/>
                <c:pt idx="0">
                  <c:v>1</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Frequency!$Q$5:$Q$12</c:f>
              <c:strCache>
                <c:ptCount val="7"/>
                <c:pt idx="0">
                  <c:v>5-14</c:v>
                </c:pt>
                <c:pt idx="1">
                  <c:v>15-24</c:v>
                </c:pt>
                <c:pt idx="2">
                  <c:v>25-34</c:v>
                </c:pt>
                <c:pt idx="3">
                  <c:v>35-44</c:v>
                </c:pt>
                <c:pt idx="4">
                  <c:v>45-54</c:v>
                </c:pt>
                <c:pt idx="5">
                  <c:v>55-64</c:v>
                </c:pt>
                <c:pt idx="6">
                  <c:v>95-104</c:v>
                </c:pt>
              </c:strCache>
            </c:strRef>
          </c:cat>
          <c:val>
            <c:numRef>
              <c:f>Frequency!$S$5:$S$12</c:f>
              <c:numCache>
                <c:formatCode>General</c:formatCode>
                <c:ptCount val="7"/>
                <c:pt idx="0">
                  <c:v>5</c:v>
                </c:pt>
                <c:pt idx="1">
                  <c:v>28</c:v>
                </c:pt>
                <c:pt idx="2">
                  <c:v>159</c:v>
                </c:pt>
                <c:pt idx="3">
                  <c:v>57</c:v>
                </c:pt>
                <c:pt idx="4">
                  <c:v>16</c:v>
                </c:pt>
                <c:pt idx="5">
                  <c:v>2</c:v>
                </c:pt>
                <c:pt idx="6">
                  <c:v>1</c:v>
                </c:pt>
              </c:numCache>
            </c:numRef>
          </c:val>
          <c:extLst>
            <c:ext xmlns:c16="http://schemas.microsoft.com/office/drawing/2014/chart" uri="{C3380CC4-5D6E-409C-BE32-E72D297353CC}">
              <c16:uniqueId val="{0000000C-96A9-4BFC-99FF-FE9566D4500C}"/>
            </c:ext>
          </c:extLst>
        </c:ser>
        <c:dLbls>
          <c:showLegendKey val="0"/>
          <c:showVal val="0"/>
          <c:showCatName val="0"/>
          <c:showSerName val="0"/>
          <c:showPercent val="0"/>
          <c:showBubbleSize val="0"/>
        </c:dLbls>
        <c:gapWidth val="50"/>
        <c:axId val="917649696"/>
        <c:axId val="917650024"/>
      </c:barChart>
      <c:catAx>
        <c:axId val="917649696"/>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Skin Thickness</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917650024"/>
        <c:crosses val="autoZero"/>
        <c:auto val="1"/>
        <c:lblAlgn val="ctr"/>
        <c:lblOffset val="100"/>
        <c:noMultiLvlLbl val="0"/>
      </c:catAx>
      <c:valAx>
        <c:axId val="917650024"/>
        <c:scaling>
          <c:orientation val="minMax"/>
          <c:max val="28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No of Paitents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917649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Indicators.xlsm]count!PivotTable56</c:name>
    <c:fmtId val="20"/>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SG" sz="1600"/>
              <a:t>% of Patients with Glucose ≥ 140mg/dL</a:t>
            </a:r>
          </a:p>
        </c:rich>
      </c:tx>
      <c:layout>
        <c:manualLayout>
          <c:xMode val="edge"/>
          <c:yMode val="edge"/>
          <c:x val="4.2261944444444442E-2"/>
          <c:y val="5.0396825396825398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dLbl>
          <c:idx val="0"/>
          <c:layout>
            <c:manualLayout>
              <c:x val="0.27679845679012344"/>
              <c:y val="0.355225000000000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pivotFmt>
      <c:pivotFmt>
        <c:idx val="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2"/>
          </a:solidFill>
          <a:ln>
            <a:noFill/>
          </a:ln>
          <a:effectLst/>
        </c:spPr>
      </c:pivotFmt>
      <c:pivotFmt>
        <c:idx val="17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2"/>
          </a:solidFill>
          <a:ln>
            <a:noFill/>
          </a:ln>
          <a:effectLst/>
        </c:spPr>
      </c:pivotFmt>
      <c:pivotFmt>
        <c:idx val="18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2"/>
          </a:solidFill>
          <a:ln>
            <a:noFill/>
          </a:ln>
          <a:effectLst/>
        </c:spPr>
      </c:pivotFmt>
      <c:pivotFmt>
        <c:idx val="18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8"/>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9"/>
        <c:spPr>
          <a:solidFill>
            <a:schemeClr val="accent2"/>
          </a:solidFill>
          <a:ln>
            <a:noFill/>
          </a:ln>
          <a:effectLst/>
        </c:spPr>
        <c:dLbl>
          <c:idx val="0"/>
          <c:layout>
            <c:manualLayout>
              <c:x val="0.16536458333333337"/>
              <c:y val="-2.4565668028202162E-2"/>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1"/>
        <c:spPr>
          <a:solidFill>
            <a:schemeClr val="bg2"/>
          </a:solidFill>
          <a:ln>
            <a:noFill/>
          </a:ln>
          <a:effectLst/>
        </c:spPr>
      </c:pivotFmt>
    </c:pivotFmts>
    <c:plotArea>
      <c:layout>
        <c:manualLayout>
          <c:layoutTarget val="inner"/>
          <c:xMode val="edge"/>
          <c:yMode val="edge"/>
          <c:x val="6.6540575772530128E-2"/>
          <c:y val="0.16781657532305469"/>
          <c:w val="0.88376055555555555"/>
          <c:h val="0.62265694444444442"/>
        </c:manualLayout>
      </c:layout>
      <c:barChart>
        <c:barDir val="bar"/>
        <c:grouping val="percentStacked"/>
        <c:varyColors val="0"/>
        <c:ser>
          <c:idx val="0"/>
          <c:order val="0"/>
          <c:tx>
            <c:strRef>
              <c:f>count!$G$4:$G$5</c:f>
              <c:strCache>
                <c:ptCount val="1"/>
                <c:pt idx="0">
                  <c:v>Prediabetes</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DDA1-4119-A558-65D8C54FCB6E}"/>
              </c:ext>
            </c:extLst>
          </c:dPt>
          <c:dLbls>
            <c:dLbl>
              <c:idx val="0"/>
              <c:layout>
                <c:manualLayout>
                  <c:x val="0.16536458333333337"/>
                  <c:y val="-2.4565668028202162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DA1-4119-A558-65D8C54FCB6E}"/>
                </c:ext>
              </c:extLst>
            </c:dLbl>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rnd" cmpd="sng" algn="ctr">
                      <a:noFill/>
                      <a:prstDash val="solid"/>
                      <a:round/>
                    </a:ln>
                    <a:effectLst/>
                  </c:spPr>
                </c15:leaderLines>
              </c:ext>
            </c:extLst>
          </c:dLbls>
          <c:cat>
            <c:strRef>
              <c:f>count!$F$6</c:f>
              <c:strCache>
                <c:ptCount val="1"/>
                <c:pt idx="0">
                  <c:v>Total</c:v>
                </c:pt>
              </c:strCache>
            </c:strRef>
          </c:cat>
          <c:val>
            <c:numRef>
              <c:f>count!$G$6</c:f>
              <c:numCache>
                <c:formatCode>0%</c:formatCode>
                <c:ptCount val="1"/>
                <c:pt idx="0">
                  <c:v>0.25651041666666669</c:v>
                </c:pt>
              </c:numCache>
            </c:numRef>
          </c:val>
          <c:extLst>
            <c:ext xmlns:c16="http://schemas.microsoft.com/office/drawing/2014/chart" uri="{C3380CC4-5D6E-409C-BE32-E72D297353CC}">
              <c16:uniqueId val="{00000000-DD8D-46E6-A989-69C228F28E67}"/>
            </c:ext>
          </c:extLst>
        </c:ser>
        <c:ser>
          <c:idx val="1"/>
          <c:order val="1"/>
          <c:tx>
            <c:strRef>
              <c:f>count!$H$4:$H$5</c:f>
              <c:strCache>
                <c:ptCount val="1"/>
                <c:pt idx="0">
                  <c:v>Normal Sugar Level</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rnd" cmpd="sng" algn="ctr">
                      <a:solidFill>
                        <a:schemeClr val="tx1"/>
                      </a:solidFill>
                      <a:prstDash val="solid"/>
                      <a:round/>
                    </a:ln>
                    <a:effectLst/>
                  </c:spPr>
                </c15:leaderLines>
              </c:ext>
            </c:extLst>
          </c:dLbls>
          <c:cat>
            <c:strRef>
              <c:f>count!$F$6</c:f>
              <c:strCache>
                <c:ptCount val="1"/>
                <c:pt idx="0">
                  <c:v>Total</c:v>
                </c:pt>
              </c:strCache>
            </c:strRef>
          </c:cat>
          <c:val>
            <c:numRef>
              <c:f>count!$H$6</c:f>
              <c:numCache>
                <c:formatCode>0%</c:formatCode>
                <c:ptCount val="1"/>
                <c:pt idx="0">
                  <c:v>0.74348958333333337</c:v>
                </c:pt>
              </c:numCache>
            </c:numRef>
          </c:val>
          <c:extLst>
            <c:ext xmlns:c16="http://schemas.microsoft.com/office/drawing/2014/chart" uri="{C3380CC4-5D6E-409C-BE32-E72D297353CC}">
              <c16:uniqueId val="{00000004-AE0F-454C-8CEA-2FCC91BF4851}"/>
            </c:ext>
          </c:extLst>
        </c:ser>
        <c:dLbls>
          <c:dLblPos val="ctr"/>
          <c:showLegendKey val="0"/>
          <c:showVal val="1"/>
          <c:showCatName val="0"/>
          <c:showSerName val="0"/>
          <c:showPercent val="0"/>
          <c:showBubbleSize val="0"/>
        </c:dLbls>
        <c:gapWidth val="80"/>
        <c:overlap val="100"/>
        <c:axId val="727118592"/>
        <c:axId val="727120232"/>
      </c:barChart>
      <c:catAx>
        <c:axId val="727118592"/>
        <c:scaling>
          <c:orientation val="minMax"/>
        </c:scaling>
        <c:delete val="1"/>
        <c:axPos val="r"/>
        <c:numFmt formatCode="General" sourceLinked="1"/>
        <c:majorTickMark val="out"/>
        <c:minorTickMark val="none"/>
        <c:tickLblPos val="nextTo"/>
        <c:crossAx val="727120232"/>
        <c:crosses val="max"/>
        <c:auto val="1"/>
        <c:lblAlgn val="ctr"/>
        <c:lblOffset val="100"/>
        <c:noMultiLvlLbl val="0"/>
      </c:catAx>
      <c:valAx>
        <c:axId val="727120232"/>
        <c:scaling>
          <c:orientation val="minMax"/>
          <c:max val="1"/>
          <c:min val="0"/>
        </c:scaling>
        <c:delete val="0"/>
        <c:axPos val="b"/>
        <c:majorGridlines>
          <c:spPr>
            <a:ln w="9525" cap="flat" cmpd="sng" algn="ctr">
              <a:noFill/>
              <a:prstDash val="solid"/>
              <a:round/>
            </a:ln>
            <a:effectLst/>
          </c:spPr>
        </c:majorGridlines>
        <c:numFmt formatCode="0%" sourceLinked="1"/>
        <c:majorTickMark val="out"/>
        <c:minorTickMark val="none"/>
        <c:tickLblPos val="nextTo"/>
        <c:spPr>
          <a:noFill/>
          <a:ln w="9525" cap="rnd" cmpd="sng" algn="ctr">
            <a:solidFill>
              <a:schemeClr val="accent1">
                <a:alpha val="91000"/>
              </a:schemeClr>
            </a:solidFill>
            <a:prstDash val="solid"/>
            <a:round/>
          </a:ln>
          <a:effectLst/>
        </c:spPr>
        <c:txPr>
          <a:bodyPr rot="-600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crossAx val="727118592"/>
        <c:crosses val="autoZero"/>
        <c:crossBetween val="between"/>
        <c:majorUnit val="0.5"/>
      </c:valAx>
      <c:spPr>
        <a:noFill/>
        <a:ln>
          <a:noFill/>
        </a:ln>
        <a:effectLst/>
      </c:spPr>
    </c:plotArea>
    <c:plotVisOnly val="1"/>
    <c:dispBlanksAs val="gap"/>
    <c:showDLblsOverMax val="0"/>
    <c:extLst/>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Indicators.xlsm]count!PivotTable57</c:name>
    <c:fmtId val="10"/>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SG" sz="1600"/>
              <a:t>% of Patients with </a:t>
            </a:r>
            <a:r>
              <a:rPr lang="en-US" sz="1600"/>
              <a:t>blood pressure ≥80mm Hg</a:t>
            </a:r>
          </a:p>
        </c:rich>
      </c:tx>
      <c:layout>
        <c:manualLayout>
          <c:xMode val="edge"/>
          <c:yMode val="edge"/>
          <c:x val="5.2901388888888887E-2"/>
          <c:y val="5.3992361111111109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0"/>
        <c:spPr>
          <a:solidFill>
            <a:schemeClr val="accent2"/>
          </a:solidFill>
          <a:ln>
            <a:noFill/>
          </a:ln>
          <a:effectLst/>
        </c:spPr>
        <c:dLbl>
          <c:idx val="0"/>
          <c:layout>
            <c:manualLayout>
              <c:x val="0.17212384259259259"/>
              <c:y val="8.8354648132219424E-3"/>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bg2"/>
          </a:solidFill>
          <a:ln>
            <a:noFill/>
          </a:ln>
          <a:effectLst/>
        </c:spPr>
      </c:pivotFmt>
    </c:pivotFmts>
    <c:plotArea>
      <c:layout>
        <c:manualLayout>
          <c:layoutTarget val="inner"/>
          <c:xMode val="edge"/>
          <c:yMode val="edge"/>
          <c:x val="5.5621666666666666E-2"/>
          <c:y val="0.19721319444444449"/>
          <c:w val="0.88546000000000002"/>
          <c:h val="0.6422881944444444"/>
        </c:manualLayout>
      </c:layout>
      <c:barChart>
        <c:barDir val="bar"/>
        <c:grouping val="percentStacked"/>
        <c:varyColors val="0"/>
        <c:ser>
          <c:idx val="0"/>
          <c:order val="0"/>
          <c:tx>
            <c:strRef>
              <c:f>count!$G$20:$G$22</c:f>
              <c:strCache>
                <c:ptCount val="1"/>
                <c:pt idx="0">
                  <c:v>Group1</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0-1A10-4369-B8A9-931A09DF4CFA}"/>
              </c:ext>
            </c:extLst>
          </c:dPt>
          <c:dLbls>
            <c:dLbl>
              <c:idx val="0"/>
              <c:layout>
                <c:manualLayout>
                  <c:x val="0.17212384259259259"/>
                  <c:y val="8.8354648132219424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A10-4369-B8A9-931A09DF4CFA}"/>
                </c:ext>
              </c:extLst>
            </c:dLbl>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rnd" cmpd="sng" algn="ctr">
                      <a:noFill/>
                      <a:prstDash val="solid"/>
                      <a:round/>
                    </a:ln>
                    <a:effectLst/>
                  </c:spPr>
                </c15:leaderLines>
              </c:ext>
            </c:extLst>
          </c:dLbls>
          <c:cat>
            <c:strRef>
              <c:f>count!$F$23</c:f>
              <c:strCache>
                <c:ptCount val="1"/>
                <c:pt idx="0">
                  <c:v>Total</c:v>
                </c:pt>
              </c:strCache>
            </c:strRef>
          </c:cat>
          <c:val>
            <c:numRef>
              <c:f>count!$G$23</c:f>
              <c:numCache>
                <c:formatCode>0%</c:formatCode>
                <c:ptCount val="1"/>
                <c:pt idx="0">
                  <c:v>0.26692708333333331</c:v>
                </c:pt>
              </c:numCache>
            </c:numRef>
          </c:val>
          <c:extLst>
            <c:ext xmlns:c16="http://schemas.microsoft.com/office/drawing/2014/chart" uri="{C3380CC4-5D6E-409C-BE32-E72D297353CC}">
              <c16:uniqueId val="{00000000-591A-4294-92EC-F458473A4B4D}"/>
            </c:ext>
          </c:extLst>
        </c:ser>
        <c:ser>
          <c:idx val="1"/>
          <c:order val="1"/>
          <c:tx>
            <c:strRef>
              <c:f>count!$H$20:$H$22</c:f>
              <c:strCache>
                <c:ptCount val="1"/>
                <c:pt idx="0">
                  <c:v>Normal BP</c:v>
                </c:pt>
              </c:strCache>
            </c:strRef>
          </c:tx>
          <c:spPr>
            <a:solidFill>
              <a:schemeClr val="accent4"/>
            </a:solidFill>
            <a:ln>
              <a:noFill/>
            </a:ln>
            <a:effectLst/>
          </c:spPr>
          <c:invertIfNegative val="0"/>
          <c:dPt>
            <c:idx val="0"/>
            <c:invertIfNegative val="0"/>
            <c:bubble3D val="0"/>
            <c:spPr>
              <a:solidFill>
                <a:schemeClr val="bg2"/>
              </a:solidFill>
              <a:ln>
                <a:noFill/>
              </a:ln>
              <a:effectLst/>
            </c:spPr>
            <c:extLst>
              <c:ext xmlns:c16="http://schemas.microsoft.com/office/drawing/2014/chart" uri="{C3380CC4-5D6E-409C-BE32-E72D297353CC}">
                <c16:uniqueId val="{00000003-765B-4A1C-9B20-4DD0D69E2FB4}"/>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rnd" cmpd="sng" algn="ctr">
                      <a:solidFill>
                        <a:schemeClr val="tx1"/>
                      </a:solidFill>
                      <a:prstDash val="solid"/>
                      <a:round/>
                    </a:ln>
                    <a:effectLst/>
                  </c:spPr>
                </c15:leaderLines>
              </c:ext>
            </c:extLst>
          </c:dLbls>
          <c:cat>
            <c:strRef>
              <c:f>count!$F$23</c:f>
              <c:strCache>
                <c:ptCount val="1"/>
                <c:pt idx="0">
                  <c:v>Total</c:v>
                </c:pt>
              </c:strCache>
            </c:strRef>
          </c:cat>
          <c:val>
            <c:numRef>
              <c:f>count!$H$23</c:f>
              <c:numCache>
                <c:formatCode>0%</c:formatCode>
                <c:ptCount val="1"/>
                <c:pt idx="0">
                  <c:v>0.73307291666666663</c:v>
                </c:pt>
              </c:numCache>
            </c:numRef>
          </c:val>
          <c:extLst>
            <c:ext xmlns:c16="http://schemas.microsoft.com/office/drawing/2014/chart" uri="{C3380CC4-5D6E-409C-BE32-E72D297353CC}">
              <c16:uniqueId val="{00000005-6104-454A-B90D-45413BFFE9F3}"/>
            </c:ext>
          </c:extLst>
        </c:ser>
        <c:dLbls>
          <c:dLblPos val="ctr"/>
          <c:showLegendKey val="0"/>
          <c:showVal val="1"/>
          <c:showCatName val="0"/>
          <c:showSerName val="0"/>
          <c:showPercent val="0"/>
          <c:showBubbleSize val="0"/>
        </c:dLbls>
        <c:gapWidth val="80"/>
        <c:overlap val="100"/>
        <c:axId val="727118592"/>
        <c:axId val="727120232"/>
      </c:barChart>
      <c:catAx>
        <c:axId val="727118592"/>
        <c:scaling>
          <c:orientation val="minMax"/>
        </c:scaling>
        <c:delete val="1"/>
        <c:axPos val="r"/>
        <c:numFmt formatCode="General" sourceLinked="1"/>
        <c:majorTickMark val="out"/>
        <c:minorTickMark val="none"/>
        <c:tickLblPos val="nextTo"/>
        <c:crossAx val="727120232"/>
        <c:crosses val="max"/>
        <c:auto val="1"/>
        <c:lblAlgn val="ctr"/>
        <c:lblOffset val="100"/>
        <c:noMultiLvlLbl val="0"/>
      </c:catAx>
      <c:valAx>
        <c:axId val="727120232"/>
        <c:scaling>
          <c:orientation val="minMax"/>
          <c:max val="1"/>
          <c:min val="0"/>
        </c:scaling>
        <c:delete val="0"/>
        <c:axPos val="b"/>
        <c:majorGridlines>
          <c:spPr>
            <a:ln w="9525" cap="flat" cmpd="sng" algn="ctr">
              <a:noFill/>
              <a:prstDash val="solid"/>
              <a:round/>
            </a:ln>
            <a:effectLst/>
          </c:spPr>
        </c:majorGridlines>
        <c:numFmt formatCode="0%" sourceLinked="1"/>
        <c:majorTickMark val="out"/>
        <c:minorTickMark val="none"/>
        <c:tickLblPos val="nextTo"/>
        <c:spPr>
          <a:noFill/>
          <a:ln w="9525" cap="rnd" cmpd="sng" algn="ctr">
            <a:solidFill>
              <a:schemeClr val="accent1">
                <a:alpha val="91000"/>
              </a:schemeClr>
            </a:solidFill>
            <a:prstDash val="solid"/>
            <a:round/>
          </a:ln>
          <a:effectLst/>
        </c:spPr>
        <c:txPr>
          <a:bodyPr rot="-600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crossAx val="727118592"/>
        <c:crosses val="autoZero"/>
        <c:crossBetween val="between"/>
        <c:majorUnit val="0.5"/>
      </c:valAx>
      <c:spPr>
        <a:solidFill>
          <a:schemeClr val="bg1"/>
        </a:solidFill>
        <a:ln>
          <a:noFill/>
        </a:ln>
        <a:effectLst/>
      </c:spPr>
    </c:plotArea>
    <c:plotVisOnly val="1"/>
    <c:dispBlanksAs val="gap"/>
    <c:showDLblsOverMax val="0"/>
    <c:extLst/>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Indicators.xlsm]count!PivotTable58</c:name>
    <c:fmtId val="28"/>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US" sz="1600" b="1"/>
              <a:t>% of Patients with Skin Thickness &gt;23mm</a:t>
            </a:r>
          </a:p>
        </c:rich>
      </c:tx>
      <c:layout>
        <c:manualLayout>
          <c:xMode val="edge"/>
          <c:yMode val="edge"/>
          <c:x val="5.6373055555555558E-2"/>
          <c:y val="5.2916666666666667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a:extLst>
            <a:ext uri="{91240B29-F687-4F45-9708-019B960494DF}">
              <a14:hiddenLine xmlns:a14="http://schemas.microsoft.com/office/drawing/2010/main">
                <a:noFill/>
              </a14:hiddenLine>
            </a:ext>
          </a:extLst>
        </c:spPr>
      </c:pivotFmt>
      <c:pivotFmt>
        <c:idx val="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a:extLst>
            <a:ext uri="{91240B29-F687-4F45-9708-019B960494DF}">
              <a14:hiddenLine xmlns:a14="http://schemas.microsoft.com/office/drawing/2010/main">
                <a:noFill/>
              </a14:hiddenLine>
            </a:ext>
          </a:extLst>
        </c:spPr>
      </c:pivotFmt>
      <c:pivotFmt>
        <c:idx val="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2"/>
          </a:solidFill>
          <a:ln>
            <a:noFill/>
          </a:ln>
          <a:effectLst/>
        </c:spPr>
        <c:dLbl>
          <c:idx val="0"/>
          <c:layout>
            <c:manualLayout>
              <c:x val="0.38511574074074073"/>
              <c:y val="0"/>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bg2"/>
          </a:solidFill>
          <a:ln>
            <a:noFill/>
          </a:ln>
          <a:effectLst/>
        </c:spPr>
      </c:pivotFmt>
    </c:pivotFmts>
    <c:plotArea>
      <c:layout>
        <c:manualLayout>
          <c:layoutTarget val="inner"/>
          <c:xMode val="edge"/>
          <c:yMode val="edge"/>
          <c:x val="6.1727222222222225E-2"/>
          <c:y val="0.19976041666666666"/>
          <c:w val="0.87456999999999996"/>
          <c:h val="0.63974097222222215"/>
        </c:manualLayout>
      </c:layout>
      <c:barChart>
        <c:barDir val="bar"/>
        <c:grouping val="percentStacked"/>
        <c:varyColors val="0"/>
        <c:ser>
          <c:idx val="0"/>
          <c:order val="0"/>
          <c:tx>
            <c:strRef>
              <c:f>count!$L$4:$L$5</c:f>
              <c:strCache>
                <c:ptCount val="1"/>
                <c:pt idx="0">
                  <c:v>Thick</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0-9544-4F1F-B790-7427768A1873}"/>
              </c:ext>
            </c:extLst>
          </c:dPt>
          <c:dLbls>
            <c:dLbl>
              <c:idx val="0"/>
              <c:layout>
                <c:manualLayout>
                  <c:x val="0.38511574074074073"/>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544-4F1F-B790-7427768A1873}"/>
                </c:ext>
              </c:extLst>
            </c:dLbl>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count!$K$6</c:f>
              <c:strCache>
                <c:ptCount val="1"/>
                <c:pt idx="0">
                  <c:v>Total</c:v>
                </c:pt>
              </c:strCache>
            </c:strRef>
          </c:cat>
          <c:val>
            <c:numRef>
              <c:f>count!$L$6</c:f>
              <c:numCache>
                <c:formatCode>0%</c:formatCode>
                <c:ptCount val="1"/>
                <c:pt idx="0">
                  <c:v>0.77604166666666663</c:v>
                </c:pt>
              </c:numCache>
            </c:numRef>
          </c:val>
          <c:extLst>
            <c:ext xmlns:c16="http://schemas.microsoft.com/office/drawing/2014/chart" uri="{C3380CC4-5D6E-409C-BE32-E72D297353CC}">
              <c16:uniqueId val="{00000000-BBFD-4E37-8898-A5B16D64D346}"/>
            </c:ext>
          </c:extLst>
        </c:ser>
        <c:ser>
          <c:idx val="1"/>
          <c:order val="1"/>
          <c:tx>
            <c:strRef>
              <c:f>count!$M$4:$M$5</c:f>
              <c:strCache>
                <c:ptCount val="1"/>
                <c:pt idx="0">
                  <c:v>Normal </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count!$K$6</c:f>
              <c:strCache>
                <c:ptCount val="1"/>
                <c:pt idx="0">
                  <c:v>Total</c:v>
                </c:pt>
              </c:strCache>
            </c:strRef>
          </c:cat>
          <c:val>
            <c:numRef>
              <c:f>count!$M$6</c:f>
              <c:numCache>
                <c:formatCode>0%</c:formatCode>
                <c:ptCount val="1"/>
                <c:pt idx="0">
                  <c:v>0.22395833333333334</c:v>
                </c:pt>
              </c:numCache>
            </c:numRef>
          </c:val>
          <c:extLst>
            <c:ext xmlns:c16="http://schemas.microsoft.com/office/drawing/2014/chart" uri="{C3380CC4-5D6E-409C-BE32-E72D297353CC}">
              <c16:uniqueId val="{00000003-7375-4E95-BD05-7F49F64EFF2B}"/>
            </c:ext>
          </c:extLst>
        </c:ser>
        <c:dLbls>
          <c:dLblPos val="ctr"/>
          <c:showLegendKey val="0"/>
          <c:showVal val="1"/>
          <c:showCatName val="0"/>
          <c:showSerName val="0"/>
          <c:showPercent val="0"/>
          <c:showBubbleSize val="0"/>
        </c:dLbls>
        <c:gapWidth val="80"/>
        <c:overlap val="100"/>
        <c:axId val="237380639"/>
        <c:axId val="237380967"/>
      </c:barChart>
      <c:catAx>
        <c:axId val="237380639"/>
        <c:scaling>
          <c:orientation val="minMax"/>
        </c:scaling>
        <c:delete val="1"/>
        <c:axPos val="l"/>
        <c:numFmt formatCode="General" sourceLinked="1"/>
        <c:majorTickMark val="none"/>
        <c:minorTickMark val="none"/>
        <c:tickLblPos val="nextTo"/>
        <c:crossAx val="237380967"/>
        <c:crosses val="autoZero"/>
        <c:auto val="1"/>
        <c:lblAlgn val="ctr"/>
        <c:lblOffset val="100"/>
        <c:noMultiLvlLbl val="0"/>
      </c:catAx>
      <c:valAx>
        <c:axId val="237380967"/>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crossAx val="237380639"/>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Indicators.xlsm]Frequency!PivotTable16</c:name>
    <c:fmtId val="22"/>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i="0" u="none" strike="noStrike" baseline="0">
                <a:effectLst/>
              </a:rPr>
              <a:t>No of Paitents by </a:t>
            </a:r>
            <a:r>
              <a:rPr lang="en-SG" sz="1600" b="1"/>
              <a:t>BMI Categories  </a:t>
            </a:r>
          </a:p>
        </c:rich>
      </c:tx>
      <c:layout>
        <c:manualLayout>
          <c:xMode val="edge"/>
          <c:yMode val="edge"/>
          <c:x val="0.22765519433657799"/>
          <c:y val="2.3094329341998419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pivotFmt>
    </c:pivotFmts>
    <c:plotArea>
      <c:layout>
        <c:manualLayout>
          <c:layoutTarget val="inner"/>
          <c:xMode val="edge"/>
          <c:yMode val="edge"/>
          <c:x val="0.13432315490212923"/>
          <c:y val="0.10029237387884223"/>
          <c:w val="0.84246310269530322"/>
          <c:h val="0.7538980979662443"/>
        </c:manualLayout>
      </c:layout>
      <c:barChart>
        <c:barDir val="col"/>
        <c:grouping val="clustered"/>
        <c:varyColors val="0"/>
        <c:ser>
          <c:idx val="0"/>
          <c:order val="0"/>
          <c:tx>
            <c:strRef>
              <c:f>Frequency!$B$3:$B$4</c:f>
              <c:strCache>
                <c:ptCount val="1"/>
                <c:pt idx="0">
                  <c:v>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Frequency!$A$5:$A$10</c:f>
              <c:strCache>
                <c:ptCount val="5"/>
                <c:pt idx="0">
                  <c:v>Underweight</c:v>
                </c:pt>
                <c:pt idx="1">
                  <c:v>Healthy</c:v>
                </c:pt>
                <c:pt idx="2">
                  <c:v>Overweight</c:v>
                </c:pt>
                <c:pt idx="3">
                  <c:v>Obesity</c:v>
                </c:pt>
                <c:pt idx="4">
                  <c:v>Obesity Extreme</c:v>
                </c:pt>
              </c:strCache>
            </c:strRef>
          </c:cat>
          <c:val>
            <c:numRef>
              <c:f>Frequency!$B$5:$B$10</c:f>
              <c:numCache>
                <c:formatCode>General</c:formatCode>
                <c:ptCount val="5"/>
                <c:pt idx="0">
                  <c:v>4</c:v>
                </c:pt>
                <c:pt idx="1">
                  <c:v>95</c:v>
                </c:pt>
                <c:pt idx="2">
                  <c:v>139</c:v>
                </c:pt>
                <c:pt idx="3">
                  <c:v>219</c:v>
                </c:pt>
                <c:pt idx="4">
                  <c:v>43</c:v>
                </c:pt>
              </c:numCache>
            </c:numRef>
          </c:val>
          <c:extLst>
            <c:ext xmlns:c16="http://schemas.microsoft.com/office/drawing/2014/chart" uri="{C3380CC4-5D6E-409C-BE32-E72D297353CC}">
              <c16:uniqueId val="{00000000-1E4E-4996-A1CB-97C1AA93FAFE}"/>
            </c:ext>
          </c:extLst>
        </c:ser>
        <c:ser>
          <c:idx val="1"/>
          <c:order val="1"/>
          <c:tx>
            <c:strRef>
              <c:f>Frequency!$C$3:$C$4</c:f>
              <c:strCache>
                <c:ptCount val="1"/>
                <c:pt idx="0">
                  <c:v>1</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Frequency!$A$5:$A$10</c:f>
              <c:strCache>
                <c:ptCount val="5"/>
                <c:pt idx="0">
                  <c:v>Underweight</c:v>
                </c:pt>
                <c:pt idx="1">
                  <c:v>Healthy</c:v>
                </c:pt>
                <c:pt idx="2">
                  <c:v>Overweight</c:v>
                </c:pt>
                <c:pt idx="3">
                  <c:v>Obesity</c:v>
                </c:pt>
                <c:pt idx="4">
                  <c:v>Obesity Extreme</c:v>
                </c:pt>
              </c:strCache>
            </c:strRef>
          </c:cat>
          <c:val>
            <c:numRef>
              <c:f>Frequency!$C$5:$C$10</c:f>
              <c:numCache>
                <c:formatCode>General</c:formatCode>
                <c:ptCount val="5"/>
                <c:pt idx="1">
                  <c:v>7</c:v>
                </c:pt>
                <c:pt idx="2">
                  <c:v>40</c:v>
                </c:pt>
                <c:pt idx="3">
                  <c:v>166</c:v>
                </c:pt>
                <c:pt idx="4">
                  <c:v>55</c:v>
                </c:pt>
              </c:numCache>
            </c:numRef>
          </c:val>
          <c:extLst>
            <c:ext xmlns:c16="http://schemas.microsoft.com/office/drawing/2014/chart" uri="{C3380CC4-5D6E-409C-BE32-E72D297353CC}">
              <c16:uniqueId val="{0000000C-EF9E-4345-9E3F-341DBC8AA844}"/>
            </c:ext>
          </c:extLst>
        </c:ser>
        <c:dLbls>
          <c:showLegendKey val="0"/>
          <c:showVal val="0"/>
          <c:showCatName val="0"/>
          <c:showSerName val="0"/>
          <c:showPercent val="0"/>
          <c:showBubbleSize val="0"/>
        </c:dLbls>
        <c:gapWidth val="100"/>
        <c:axId val="502087743"/>
        <c:axId val="502081511"/>
      </c:barChart>
      <c:catAx>
        <c:axId val="502087743"/>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BMI Categories</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502081511"/>
        <c:crosses val="autoZero"/>
        <c:auto val="1"/>
        <c:lblAlgn val="ctr"/>
        <c:lblOffset val="100"/>
        <c:noMultiLvlLbl val="0"/>
      </c:catAx>
      <c:valAx>
        <c:axId val="5020815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No of Patients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502087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Indicators.xlsm]Frequency!PivotTable20</c:name>
    <c:fmtId val="20"/>
  </c:pivotSource>
  <c:chart>
    <c:title>
      <c:tx>
        <c:rich>
          <a:bodyPr rot="0" spcFirstLastPara="1" vertOverflow="ellipsis" vert="horz" wrap="square" anchor="ctr" anchorCtr="1"/>
          <a:lstStyle/>
          <a:p>
            <a:pPr algn="l">
              <a:defRPr sz="1600" b="1" i="0" u="none" strike="noStrike" kern="1200" spc="0" baseline="0">
                <a:solidFill>
                  <a:schemeClr val="dk1"/>
                </a:solidFill>
                <a:latin typeface="+mn-lt"/>
                <a:ea typeface="+mn-ea"/>
                <a:cs typeface="+mn-cs"/>
              </a:defRPr>
            </a:pPr>
            <a:r>
              <a:rPr lang="en-SG" sz="1600" b="1" i="0" u="none" strike="noStrike" baseline="0">
                <a:effectLst/>
              </a:rPr>
              <a:t>No of Paitents by </a:t>
            </a:r>
            <a:r>
              <a:rPr lang="en-SG" sz="1600" b="1"/>
              <a:t>Blood Pressure Categories </a:t>
            </a:r>
          </a:p>
        </c:rich>
      </c:tx>
      <c:layout>
        <c:manualLayout>
          <c:xMode val="edge"/>
          <c:yMode val="edge"/>
          <c:x val="0.13818738089873225"/>
          <c:y val="2.5193809662751761E-2"/>
        </c:manualLayout>
      </c:layout>
      <c:overlay val="0"/>
      <c:spPr>
        <a:noFill/>
        <a:ln>
          <a:noFill/>
        </a:ln>
        <a:effectLst/>
      </c:spPr>
      <c:txPr>
        <a:bodyPr rot="0" spcFirstLastPara="1" vertOverflow="ellipsis" vert="horz" wrap="square" anchor="ctr" anchorCtr="1"/>
        <a:lstStyle/>
        <a:p>
          <a:pPr algn="l">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345377890417861"/>
          <c:y val="0.10207691881691588"/>
          <c:w val="0.80228192545415511"/>
          <c:h val="0.78300773420200198"/>
        </c:manualLayout>
      </c:layout>
      <c:barChart>
        <c:barDir val="bar"/>
        <c:grouping val="clustered"/>
        <c:varyColors val="0"/>
        <c:ser>
          <c:idx val="0"/>
          <c:order val="0"/>
          <c:tx>
            <c:strRef>
              <c:f>Frequency!$W$3:$W$4</c:f>
              <c:strCache>
                <c:ptCount val="1"/>
                <c:pt idx="0">
                  <c:v>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Frequency!$V$5:$V$9</c:f>
              <c:strCache>
                <c:ptCount val="4"/>
                <c:pt idx="0">
                  <c:v>Normal BP</c:v>
                </c:pt>
                <c:pt idx="1">
                  <c:v>High-Normal BP</c:v>
                </c:pt>
                <c:pt idx="2">
                  <c:v>Stage 1 Hypertension</c:v>
                </c:pt>
                <c:pt idx="3">
                  <c:v>Stage 2 Hypertension</c:v>
                </c:pt>
              </c:strCache>
            </c:strRef>
          </c:cat>
          <c:val>
            <c:numRef>
              <c:f>Frequency!$W$5:$W$9</c:f>
              <c:numCache>
                <c:formatCode>General</c:formatCode>
                <c:ptCount val="4"/>
                <c:pt idx="0">
                  <c:v>385</c:v>
                </c:pt>
                <c:pt idx="1">
                  <c:v>84</c:v>
                </c:pt>
                <c:pt idx="2">
                  <c:v>24</c:v>
                </c:pt>
                <c:pt idx="3">
                  <c:v>7</c:v>
                </c:pt>
              </c:numCache>
            </c:numRef>
          </c:val>
          <c:extLst>
            <c:ext xmlns:c16="http://schemas.microsoft.com/office/drawing/2014/chart" uri="{C3380CC4-5D6E-409C-BE32-E72D297353CC}">
              <c16:uniqueId val="{00000000-CFD4-4A54-98D5-F5CD7D6CE611}"/>
            </c:ext>
          </c:extLst>
        </c:ser>
        <c:ser>
          <c:idx val="1"/>
          <c:order val="1"/>
          <c:tx>
            <c:strRef>
              <c:f>Frequency!$X$3:$X$4</c:f>
              <c:strCache>
                <c:ptCount val="1"/>
                <c:pt idx="0">
                  <c:v>1</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Frequency!$V$5:$V$9</c:f>
              <c:strCache>
                <c:ptCount val="4"/>
                <c:pt idx="0">
                  <c:v>Normal BP</c:v>
                </c:pt>
                <c:pt idx="1">
                  <c:v>High-Normal BP</c:v>
                </c:pt>
                <c:pt idx="2">
                  <c:v>Stage 1 Hypertension</c:v>
                </c:pt>
                <c:pt idx="3">
                  <c:v>Stage 2 Hypertension</c:v>
                </c:pt>
              </c:strCache>
            </c:strRef>
          </c:cat>
          <c:val>
            <c:numRef>
              <c:f>Frequency!$X$5:$X$9</c:f>
              <c:numCache>
                <c:formatCode>General</c:formatCode>
                <c:ptCount val="4"/>
                <c:pt idx="0">
                  <c:v>178</c:v>
                </c:pt>
                <c:pt idx="1">
                  <c:v>61</c:v>
                </c:pt>
                <c:pt idx="2">
                  <c:v>20</c:v>
                </c:pt>
                <c:pt idx="3">
                  <c:v>9</c:v>
                </c:pt>
              </c:numCache>
            </c:numRef>
          </c:val>
          <c:extLst>
            <c:ext xmlns:c16="http://schemas.microsoft.com/office/drawing/2014/chart" uri="{C3380CC4-5D6E-409C-BE32-E72D297353CC}">
              <c16:uniqueId val="{0000000C-E1AB-4CA9-A162-AF0431AF8F1A}"/>
            </c:ext>
          </c:extLst>
        </c:ser>
        <c:dLbls>
          <c:showLegendKey val="0"/>
          <c:showVal val="0"/>
          <c:showCatName val="0"/>
          <c:showSerName val="0"/>
          <c:showPercent val="0"/>
          <c:showBubbleSize val="0"/>
        </c:dLbls>
        <c:gapWidth val="100"/>
        <c:axId val="667832807"/>
        <c:axId val="667835103"/>
      </c:barChart>
      <c:valAx>
        <c:axId val="6678351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b="0" i="0" baseline="0">
                    <a:effectLst/>
                  </a:rPr>
                  <a:t>No of Patients</a:t>
                </a:r>
                <a:endParaRPr lang="en-SG" sz="1400">
                  <a:effectLst/>
                </a:endParaRP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667832807"/>
        <c:crosses val="autoZero"/>
        <c:crossBetween val="between"/>
      </c:valAx>
      <c:catAx>
        <c:axId val="667832807"/>
        <c:scaling>
          <c:orientation val="minMax"/>
        </c:scaling>
        <c:delete val="0"/>
        <c:axPos val="l"/>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Blood Pressure</a:t>
                </a:r>
              </a:p>
            </c:rich>
          </c:tx>
          <c:layout>
            <c:manualLayout>
              <c:xMode val="edge"/>
              <c:yMode val="edge"/>
              <c:x val="8.4413594709726904E-3"/>
              <c:y val="0.3786601488980600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200" b="0" i="0" u="none" strike="noStrike" kern="1200" baseline="0">
                <a:solidFill>
                  <a:schemeClr val="dk1"/>
                </a:solidFill>
                <a:latin typeface="+mn-lt"/>
                <a:ea typeface="+mn-ea"/>
                <a:cs typeface="+mn-cs"/>
              </a:defRPr>
            </a:pPr>
            <a:endParaRPr lang="en-US"/>
          </a:p>
        </c:txPr>
        <c:crossAx val="667835103"/>
        <c:crosses val="autoZero"/>
        <c:auto val="1"/>
        <c:lblAlgn val="ctr"/>
        <c:lblOffset val="100"/>
        <c:noMultiLvlLbl val="0"/>
      </c:catAx>
      <c:spPr>
        <a:noFill/>
        <a:ln>
          <a:noFill/>
        </a:ln>
        <a:effectLst/>
      </c:spPr>
    </c:plotArea>
    <c:legend>
      <c:legendPos val="r"/>
      <c:layout>
        <c:manualLayout>
          <c:xMode val="edge"/>
          <c:yMode val="edge"/>
          <c:x val="0.82840949659356111"/>
          <c:y val="0.42551300319487745"/>
          <c:w val="0.158961172930008"/>
          <c:h val="0.182362499255224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600"/>
            </a:pPr>
            <a:r>
              <a:rPr lang="en-US" sz="1600"/>
              <a:t>Skin Thickness vs BMI</a:t>
            </a:r>
            <a:endParaRPr lang="en-SG" sz="1600"/>
          </a:p>
        </c:rich>
      </c:tx>
      <c:overlay val="0"/>
      <c:spPr>
        <a:noFill/>
        <a:ln>
          <a:noFill/>
        </a:ln>
        <a:effectLst/>
      </c:spPr>
    </c:title>
    <c:autoTitleDeleted val="0"/>
    <c:plotArea>
      <c:layout/>
      <c:scatterChart>
        <c:scatterStyle val="lineMarker"/>
        <c:varyColors val="0"/>
        <c:ser>
          <c:idx val="0"/>
          <c:order val="0"/>
          <c:tx>
            <c:v>0</c:v>
          </c:tx>
          <c:spPr>
            <a:ln w="19050" cap="rnd">
              <a:noFill/>
              <a:round/>
            </a:ln>
            <a:effectLst/>
          </c:spPr>
          <c:marker>
            <c:symbol val="circle"/>
            <c:size val="5"/>
            <c:spPr>
              <a:solidFill>
                <a:schemeClr val="accent1"/>
              </a:solidFill>
              <a:ln w="9525">
                <a:solidFill>
                  <a:schemeClr val="accent1"/>
                </a:solidFill>
              </a:ln>
              <a:effectLst/>
            </c:spPr>
          </c:marker>
          <c:xVal>
            <c:numRef>
              <c:f>diabetes!$R$2:$R$769</c:f>
              <c:numCache>
                <c:formatCode>General</c:formatCode>
                <c:ptCount val="768"/>
                <c:pt idx="0">
                  <c:v>#N/A</c:v>
                </c:pt>
                <c:pt idx="1">
                  <c:v>29</c:v>
                </c:pt>
                <c:pt idx="2">
                  <c:v>#N/A</c:v>
                </c:pt>
                <c:pt idx="3">
                  <c:v>23</c:v>
                </c:pt>
                <c:pt idx="4">
                  <c:v>#N/A</c:v>
                </c:pt>
                <c:pt idx="5">
                  <c:v>29</c:v>
                </c:pt>
                <c:pt idx="6">
                  <c:v>#N/A</c:v>
                </c:pt>
                <c:pt idx="7">
                  <c:v>29</c:v>
                </c:pt>
                <c:pt idx="8">
                  <c:v>#N/A</c:v>
                </c:pt>
                <c:pt idx="9">
                  <c:v>#N/A</c:v>
                </c:pt>
                <c:pt idx="10">
                  <c:v>29</c:v>
                </c:pt>
                <c:pt idx="11">
                  <c:v>#N/A</c:v>
                </c:pt>
                <c:pt idx="12">
                  <c:v>29</c:v>
                </c:pt>
                <c:pt idx="13">
                  <c:v>#N/A</c:v>
                </c:pt>
                <c:pt idx="14">
                  <c:v>#N/A</c:v>
                </c:pt>
                <c:pt idx="15">
                  <c:v>#N/A</c:v>
                </c:pt>
                <c:pt idx="16">
                  <c:v>#N/A</c:v>
                </c:pt>
                <c:pt idx="17">
                  <c:v>#N/A</c:v>
                </c:pt>
                <c:pt idx="18">
                  <c:v>38</c:v>
                </c:pt>
                <c:pt idx="19">
                  <c:v>#N/A</c:v>
                </c:pt>
                <c:pt idx="20">
                  <c:v>41</c:v>
                </c:pt>
                <c:pt idx="21">
                  <c:v>29</c:v>
                </c:pt>
                <c:pt idx="22">
                  <c:v>#N/A</c:v>
                </c:pt>
                <c:pt idx="23">
                  <c:v>#N/A</c:v>
                </c:pt>
                <c:pt idx="24">
                  <c:v>#N/A</c:v>
                </c:pt>
                <c:pt idx="25">
                  <c:v>#N/A</c:v>
                </c:pt>
                <c:pt idx="26">
                  <c:v>#N/A</c:v>
                </c:pt>
                <c:pt idx="27">
                  <c:v>15</c:v>
                </c:pt>
                <c:pt idx="28">
                  <c:v>19</c:v>
                </c:pt>
                <c:pt idx="29">
                  <c:v>29</c:v>
                </c:pt>
                <c:pt idx="30">
                  <c:v>26</c:v>
                </c:pt>
                <c:pt idx="31">
                  <c:v>#N/A</c:v>
                </c:pt>
                <c:pt idx="32">
                  <c:v>11</c:v>
                </c:pt>
                <c:pt idx="33">
                  <c:v>29</c:v>
                </c:pt>
                <c:pt idx="34">
                  <c:v>31</c:v>
                </c:pt>
                <c:pt idx="35">
                  <c:v>33</c:v>
                </c:pt>
                <c:pt idx="36">
                  <c:v>29</c:v>
                </c:pt>
                <c:pt idx="37">
                  <c:v>#N/A</c:v>
                </c:pt>
                <c:pt idx="38">
                  <c:v>#N/A</c:v>
                </c:pt>
                <c:pt idx="39">
                  <c:v>#N/A</c:v>
                </c:pt>
                <c:pt idx="40">
                  <c:v>25</c:v>
                </c:pt>
                <c:pt idx="41">
                  <c:v>29</c:v>
                </c:pt>
                <c:pt idx="42">
                  <c:v>18</c:v>
                </c:pt>
                <c:pt idx="43">
                  <c:v>#N/A</c:v>
                </c:pt>
                <c:pt idx="44">
                  <c:v>29</c:v>
                </c:pt>
                <c:pt idx="45">
                  <c:v>#N/A</c:v>
                </c:pt>
                <c:pt idx="46">
                  <c:v>29</c:v>
                </c:pt>
                <c:pt idx="47">
                  <c:v>27</c:v>
                </c:pt>
                <c:pt idx="48">
                  <c:v>#N/A</c:v>
                </c:pt>
                <c:pt idx="49">
                  <c:v>29</c:v>
                </c:pt>
                <c:pt idx="50">
                  <c:v>11</c:v>
                </c:pt>
                <c:pt idx="51">
                  <c:v>15</c:v>
                </c:pt>
                <c:pt idx="52">
                  <c:v>21</c:v>
                </c:pt>
                <c:pt idx="53">
                  <c:v>#N/A</c:v>
                </c:pt>
                <c:pt idx="54">
                  <c:v>42</c:v>
                </c:pt>
                <c:pt idx="55">
                  <c:v>10</c:v>
                </c:pt>
                <c:pt idx="56">
                  <c:v>#N/A</c:v>
                </c:pt>
                <c:pt idx="57">
                  <c:v>60</c:v>
                </c:pt>
                <c:pt idx="58">
                  <c:v>29</c:v>
                </c:pt>
                <c:pt idx="59">
                  <c:v>41</c:v>
                </c:pt>
                <c:pt idx="60">
                  <c:v>29</c:v>
                </c:pt>
                <c:pt idx="61">
                  <c:v>#N/A</c:v>
                </c:pt>
                <c:pt idx="62">
                  <c:v>29</c:v>
                </c:pt>
                <c:pt idx="63">
                  <c:v>34</c:v>
                </c:pt>
                <c:pt idx="64">
                  <c:v>#N/A</c:v>
                </c:pt>
                <c:pt idx="65">
                  <c:v>27</c:v>
                </c:pt>
                <c:pt idx="66">
                  <c:v>#N/A</c:v>
                </c:pt>
                <c:pt idx="67">
                  <c:v>29</c:v>
                </c:pt>
                <c:pt idx="68">
                  <c:v>13</c:v>
                </c:pt>
                <c:pt idx="69">
                  <c:v>27</c:v>
                </c:pt>
                <c:pt idx="70">
                  <c:v>#N/A</c:v>
                </c:pt>
                <c:pt idx="71">
                  <c:v>35</c:v>
                </c:pt>
                <c:pt idx="72">
                  <c:v>#N/A</c:v>
                </c:pt>
                <c:pt idx="73">
                  <c:v>20</c:v>
                </c:pt>
                <c:pt idx="74">
                  <c:v>30</c:v>
                </c:pt>
                <c:pt idx="75">
                  <c:v>20</c:v>
                </c:pt>
                <c:pt idx="76">
                  <c:v>29</c:v>
                </c:pt>
                <c:pt idx="77">
                  <c:v>33</c:v>
                </c:pt>
                <c:pt idx="78">
                  <c:v>#N/A</c:v>
                </c:pt>
                <c:pt idx="79">
                  <c:v>22</c:v>
                </c:pt>
                <c:pt idx="80">
                  <c:v>13</c:v>
                </c:pt>
                <c:pt idx="81">
                  <c:v>29</c:v>
                </c:pt>
                <c:pt idx="82">
                  <c:v>26</c:v>
                </c:pt>
                <c:pt idx="83">
                  <c:v>28</c:v>
                </c:pt>
                <c:pt idx="84">
                  <c:v>#N/A</c:v>
                </c:pt>
                <c:pt idx="85">
                  <c:v>29</c:v>
                </c:pt>
                <c:pt idx="86">
                  <c:v>54</c:v>
                </c:pt>
                <c:pt idx="87">
                  <c:v>25</c:v>
                </c:pt>
                <c:pt idx="88">
                  <c:v>#N/A</c:v>
                </c:pt>
                <c:pt idx="89">
                  <c:v>19</c:v>
                </c:pt>
                <c:pt idx="90">
                  <c:v>29</c:v>
                </c:pt>
                <c:pt idx="91">
                  <c:v>15</c:v>
                </c:pt>
                <c:pt idx="92">
                  <c:v>40</c:v>
                </c:pt>
                <c:pt idx="93">
                  <c:v>#N/A</c:v>
                </c:pt>
                <c:pt idx="94">
                  <c:v>18</c:v>
                </c:pt>
                <c:pt idx="95">
                  <c:v>27</c:v>
                </c:pt>
                <c:pt idx="96">
                  <c:v>28</c:v>
                </c:pt>
                <c:pt idx="97">
                  <c:v>18</c:v>
                </c:pt>
                <c:pt idx="98">
                  <c:v>30</c:v>
                </c:pt>
                <c:pt idx="99">
                  <c:v>#N/A</c:v>
                </c:pt>
                <c:pt idx="100">
                  <c:v>#N/A</c:v>
                </c:pt>
                <c:pt idx="101">
                  <c:v>29</c:v>
                </c:pt>
                <c:pt idx="102">
                  <c:v>29</c:v>
                </c:pt>
                <c:pt idx="103">
                  <c:v>18</c:v>
                </c:pt>
                <c:pt idx="104">
                  <c:v>29</c:v>
                </c:pt>
                <c:pt idx="105">
                  <c:v>29</c:v>
                </c:pt>
                <c:pt idx="106">
                  <c:v>29</c:v>
                </c:pt>
                <c:pt idx="107">
                  <c:v>28</c:v>
                </c:pt>
                <c:pt idx="108">
                  <c:v>31</c:v>
                </c:pt>
                <c:pt idx="109">
                  <c:v>#N/A</c:v>
                </c:pt>
                <c:pt idx="110">
                  <c:v>#N/A</c:v>
                </c:pt>
                <c:pt idx="111">
                  <c:v>#N/A</c:v>
                </c:pt>
                <c:pt idx="112">
                  <c:v>34</c:v>
                </c:pt>
                <c:pt idx="113">
                  <c:v>29</c:v>
                </c:pt>
                <c:pt idx="114">
                  <c:v>#N/A</c:v>
                </c:pt>
                <c:pt idx="115">
                  <c:v>#N/A</c:v>
                </c:pt>
                <c:pt idx="116">
                  <c:v>#N/A</c:v>
                </c:pt>
                <c:pt idx="117">
                  <c:v>29</c:v>
                </c:pt>
                <c:pt idx="118">
                  <c:v>23</c:v>
                </c:pt>
                <c:pt idx="119">
                  <c:v>15</c:v>
                </c:pt>
                <c:pt idx="120">
                  <c:v>#N/A</c:v>
                </c:pt>
                <c:pt idx="121">
                  <c:v>39</c:v>
                </c:pt>
                <c:pt idx="122">
                  <c:v>30</c:v>
                </c:pt>
                <c:pt idx="123">
                  <c:v>29</c:v>
                </c:pt>
                <c:pt idx="124">
                  <c:v>#N/A</c:v>
                </c:pt>
                <c:pt idx="125">
                  <c:v>#N/A</c:v>
                </c:pt>
                <c:pt idx="126">
                  <c:v>30</c:v>
                </c:pt>
                <c:pt idx="127">
                  <c:v>36</c:v>
                </c:pt>
                <c:pt idx="128">
                  <c:v>#N/A</c:v>
                </c:pt>
                <c:pt idx="129">
                  <c:v>#N/A</c:v>
                </c:pt>
                <c:pt idx="130">
                  <c:v>#N/A</c:v>
                </c:pt>
                <c:pt idx="131">
                  <c:v>#N/A</c:v>
                </c:pt>
                <c:pt idx="132">
                  <c:v>#N/A</c:v>
                </c:pt>
                <c:pt idx="133">
                  <c:v>31</c:v>
                </c:pt>
                <c:pt idx="134">
                  <c:v>13</c:v>
                </c:pt>
                <c:pt idx="135">
                  <c:v>20</c:v>
                </c:pt>
                <c:pt idx="136">
                  <c:v>26</c:v>
                </c:pt>
                <c:pt idx="137">
                  <c:v>25</c:v>
                </c:pt>
                <c:pt idx="138">
                  <c:v>29</c:v>
                </c:pt>
                <c:pt idx="139">
                  <c:v>29</c:v>
                </c:pt>
                <c:pt idx="140">
                  <c:v>29</c:v>
                </c:pt>
                <c:pt idx="141">
                  <c:v>30</c:v>
                </c:pt>
                <c:pt idx="142">
                  <c:v>26</c:v>
                </c:pt>
                <c:pt idx="143">
                  <c:v>#N/A</c:v>
                </c:pt>
                <c:pt idx="144">
                  <c:v>31</c:v>
                </c:pt>
                <c:pt idx="145">
                  <c:v>23</c:v>
                </c:pt>
                <c:pt idx="146">
                  <c:v>37</c:v>
                </c:pt>
                <c:pt idx="147">
                  <c:v>35</c:v>
                </c:pt>
                <c:pt idx="148">
                  <c:v>29</c:v>
                </c:pt>
                <c:pt idx="149">
                  <c:v>17</c:v>
                </c:pt>
                <c:pt idx="150">
                  <c:v>50</c:v>
                </c:pt>
                <c:pt idx="151">
                  <c:v>29</c:v>
                </c:pt>
                <c:pt idx="152">
                  <c:v>#N/A</c:v>
                </c:pt>
                <c:pt idx="153">
                  <c:v>42</c:v>
                </c:pt>
                <c:pt idx="154">
                  <c:v>#N/A</c:v>
                </c:pt>
                <c:pt idx="155">
                  <c:v>#N/A</c:v>
                </c:pt>
                <c:pt idx="156">
                  <c:v>15</c:v>
                </c:pt>
                <c:pt idx="157">
                  <c:v>21</c:v>
                </c:pt>
                <c:pt idx="158">
                  <c:v>19</c:v>
                </c:pt>
                <c:pt idx="159">
                  <c:v>#N/A</c:v>
                </c:pt>
                <c:pt idx="160">
                  <c:v>38</c:v>
                </c:pt>
                <c:pt idx="161">
                  <c:v>40</c:v>
                </c:pt>
                <c:pt idx="162">
                  <c:v>34</c:v>
                </c:pt>
                <c:pt idx="163">
                  <c:v>23</c:v>
                </c:pt>
                <c:pt idx="164">
                  <c:v>#N/A</c:v>
                </c:pt>
                <c:pt idx="165">
                  <c:v>#N/A</c:v>
                </c:pt>
                <c:pt idx="166">
                  <c:v>25</c:v>
                </c:pt>
                <c:pt idx="167">
                  <c:v>29</c:v>
                </c:pt>
                <c:pt idx="168">
                  <c:v>29</c:v>
                </c:pt>
                <c:pt idx="169">
                  <c:v>12</c:v>
                </c:pt>
                <c:pt idx="170">
                  <c:v>#N/A</c:v>
                </c:pt>
                <c:pt idx="171">
                  <c:v>#N/A</c:v>
                </c:pt>
                <c:pt idx="172">
                  <c:v>23</c:v>
                </c:pt>
                <c:pt idx="173">
                  <c:v>42</c:v>
                </c:pt>
                <c:pt idx="174">
                  <c:v>24</c:v>
                </c:pt>
                <c:pt idx="175">
                  <c:v>#N/A</c:v>
                </c:pt>
                <c:pt idx="176">
                  <c:v>29</c:v>
                </c:pt>
                <c:pt idx="177">
                  <c:v>#N/A</c:v>
                </c:pt>
                <c:pt idx="178">
                  <c:v>29</c:v>
                </c:pt>
                <c:pt idx="179">
                  <c:v>#N/A</c:v>
                </c:pt>
                <c:pt idx="180">
                  <c:v>29</c:v>
                </c:pt>
                <c:pt idx="181">
                  <c:v>18</c:v>
                </c:pt>
                <c:pt idx="182">
                  <c:v>20</c:v>
                </c:pt>
                <c:pt idx="183">
                  <c:v>29</c:v>
                </c:pt>
                <c:pt idx="184">
                  <c:v>29</c:v>
                </c:pt>
                <c:pt idx="185">
                  <c:v>#N/A</c:v>
                </c:pt>
                <c:pt idx="186">
                  <c:v>#N/A</c:v>
                </c:pt>
                <c:pt idx="187">
                  <c:v>#N/A</c:v>
                </c:pt>
                <c:pt idx="188">
                  <c:v>#N/A</c:v>
                </c:pt>
                <c:pt idx="189">
                  <c:v>#N/A</c:v>
                </c:pt>
                <c:pt idx="190">
                  <c:v>29</c:v>
                </c:pt>
                <c:pt idx="191">
                  <c:v>44</c:v>
                </c:pt>
                <c:pt idx="192">
                  <c:v>#N/A</c:v>
                </c:pt>
                <c:pt idx="193">
                  <c:v>#N/A</c:v>
                </c:pt>
                <c:pt idx="194">
                  <c:v>20</c:v>
                </c:pt>
                <c:pt idx="195">
                  <c:v>#N/A</c:v>
                </c:pt>
                <c:pt idx="196">
                  <c:v>29</c:v>
                </c:pt>
                <c:pt idx="197">
                  <c:v>#N/A</c:v>
                </c:pt>
                <c:pt idx="198">
                  <c:v>#N/A</c:v>
                </c:pt>
                <c:pt idx="199">
                  <c:v>#N/A</c:v>
                </c:pt>
                <c:pt idx="200">
                  <c:v>16</c:v>
                </c:pt>
                <c:pt idx="201">
                  <c:v>29</c:v>
                </c:pt>
                <c:pt idx="202">
                  <c:v>20</c:v>
                </c:pt>
                <c:pt idx="203">
                  <c:v>16</c:v>
                </c:pt>
                <c:pt idx="204">
                  <c:v>32</c:v>
                </c:pt>
                <c:pt idx="205">
                  <c:v>28</c:v>
                </c:pt>
                <c:pt idx="206">
                  <c:v>#N/A</c:v>
                </c:pt>
                <c:pt idx="207">
                  <c:v>#N/A</c:v>
                </c:pt>
                <c:pt idx="208">
                  <c:v>27</c:v>
                </c:pt>
                <c:pt idx="209">
                  <c:v>#N/A</c:v>
                </c:pt>
                <c:pt idx="210">
                  <c:v>22</c:v>
                </c:pt>
                <c:pt idx="211">
                  <c:v>54</c:v>
                </c:pt>
                <c:pt idx="212">
                  <c:v>31</c:v>
                </c:pt>
                <c:pt idx="213">
                  <c:v>#N/A</c:v>
                </c:pt>
                <c:pt idx="214">
                  <c:v>#N/A</c:v>
                </c:pt>
                <c:pt idx="215">
                  <c:v>#N/A</c:v>
                </c:pt>
                <c:pt idx="216">
                  <c:v>#N/A</c:v>
                </c:pt>
                <c:pt idx="217">
                  <c:v>30</c:v>
                </c:pt>
                <c:pt idx="218">
                  <c:v>#N/A</c:v>
                </c:pt>
                <c:pt idx="219">
                  <c:v>#N/A</c:v>
                </c:pt>
                <c:pt idx="220">
                  <c:v>#N/A</c:v>
                </c:pt>
                <c:pt idx="221">
                  <c:v>#N/A</c:v>
                </c:pt>
                <c:pt idx="222">
                  <c:v>29</c:v>
                </c:pt>
                <c:pt idx="223">
                  <c:v>33</c:v>
                </c:pt>
                <c:pt idx="224">
                  <c:v>15</c:v>
                </c:pt>
                <c:pt idx="225">
                  <c:v>27</c:v>
                </c:pt>
                <c:pt idx="226">
                  <c:v>29</c:v>
                </c:pt>
                <c:pt idx="227">
                  <c:v>#N/A</c:v>
                </c:pt>
                <c:pt idx="228">
                  <c:v>39</c:v>
                </c:pt>
                <c:pt idx="229">
                  <c:v>31</c:v>
                </c:pt>
                <c:pt idx="230">
                  <c:v>#N/A</c:v>
                </c:pt>
                <c:pt idx="231">
                  <c:v>#N/A</c:v>
                </c:pt>
                <c:pt idx="232">
                  <c:v>25</c:v>
                </c:pt>
                <c:pt idx="233">
                  <c:v>29</c:v>
                </c:pt>
                <c:pt idx="234">
                  <c:v>28</c:v>
                </c:pt>
                <c:pt idx="235">
                  <c:v>#N/A</c:v>
                </c:pt>
                <c:pt idx="236">
                  <c:v>#N/A</c:v>
                </c:pt>
                <c:pt idx="237">
                  <c:v>#N/A</c:v>
                </c:pt>
                <c:pt idx="238">
                  <c:v>#N/A</c:v>
                </c:pt>
                <c:pt idx="239">
                  <c:v>29</c:v>
                </c:pt>
                <c:pt idx="240">
                  <c:v>24</c:v>
                </c:pt>
                <c:pt idx="241">
                  <c:v>32</c:v>
                </c:pt>
                <c:pt idx="242">
                  <c:v>#N/A</c:v>
                </c:pt>
                <c:pt idx="243">
                  <c:v>#N/A</c:v>
                </c:pt>
                <c:pt idx="244">
                  <c:v>35</c:v>
                </c:pt>
                <c:pt idx="245">
                  <c:v>#N/A</c:v>
                </c:pt>
                <c:pt idx="246">
                  <c:v>29</c:v>
                </c:pt>
                <c:pt idx="247">
                  <c:v>33</c:v>
                </c:pt>
                <c:pt idx="248">
                  <c:v>33</c:v>
                </c:pt>
                <c:pt idx="249">
                  <c:v>19</c:v>
                </c:pt>
                <c:pt idx="250">
                  <c:v>29</c:v>
                </c:pt>
                <c:pt idx="251">
                  <c:v>29</c:v>
                </c:pt>
                <c:pt idx="252">
                  <c:v>14</c:v>
                </c:pt>
                <c:pt idx="253">
                  <c:v>32</c:v>
                </c:pt>
                <c:pt idx="254">
                  <c:v>#N/A</c:v>
                </c:pt>
                <c:pt idx="255">
                  <c:v>#N/A</c:v>
                </c:pt>
                <c:pt idx="256">
                  <c:v>39</c:v>
                </c:pt>
                <c:pt idx="257">
                  <c:v>22</c:v>
                </c:pt>
                <c:pt idx="258">
                  <c:v>16</c:v>
                </c:pt>
                <c:pt idx="259">
                  <c:v>#N/A</c:v>
                </c:pt>
                <c:pt idx="260">
                  <c:v>15</c:v>
                </c:pt>
                <c:pt idx="261">
                  <c:v>#N/A</c:v>
                </c:pt>
                <c:pt idx="262">
                  <c:v>32</c:v>
                </c:pt>
                <c:pt idx="263">
                  <c:v>15</c:v>
                </c:pt>
                <c:pt idx="264">
                  <c:v>#N/A</c:v>
                </c:pt>
                <c:pt idx="265">
                  <c:v>18</c:v>
                </c:pt>
                <c:pt idx="266">
                  <c:v>#N/A</c:v>
                </c:pt>
                <c:pt idx="267">
                  <c:v>42</c:v>
                </c:pt>
                <c:pt idx="268">
                  <c:v>29</c:v>
                </c:pt>
                <c:pt idx="269">
                  <c:v>#N/A</c:v>
                </c:pt>
                <c:pt idx="270">
                  <c:v>#N/A</c:v>
                </c:pt>
                <c:pt idx="271">
                  <c:v>32</c:v>
                </c:pt>
                <c:pt idx="272">
                  <c:v>29</c:v>
                </c:pt>
                <c:pt idx="273">
                  <c:v>50</c:v>
                </c:pt>
                <c:pt idx="274">
                  <c:v>29</c:v>
                </c:pt>
                <c:pt idx="275">
                  <c:v>52</c:v>
                </c:pt>
                <c:pt idx="276">
                  <c:v>#N/A</c:v>
                </c:pt>
                <c:pt idx="277">
                  <c:v>23</c:v>
                </c:pt>
                <c:pt idx="278">
                  <c:v>29</c:v>
                </c:pt>
                <c:pt idx="279">
                  <c:v>10</c:v>
                </c:pt>
                <c:pt idx="280">
                  <c:v>#N/A</c:v>
                </c:pt>
                <c:pt idx="281">
                  <c:v>28</c:v>
                </c:pt>
                <c:pt idx="282">
                  <c:v>15</c:v>
                </c:pt>
                <c:pt idx="283">
                  <c:v>#N/A</c:v>
                </c:pt>
                <c:pt idx="284">
                  <c:v>#N/A</c:v>
                </c:pt>
                <c:pt idx="285">
                  <c:v>26</c:v>
                </c:pt>
                <c:pt idx="286">
                  <c:v>44</c:v>
                </c:pt>
                <c:pt idx="287">
                  <c:v>#N/A</c:v>
                </c:pt>
                <c:pt idx="288">
                  <c:v>17</c:v>
                </c:pt>
                <c:pt idx="289">
                  <c:v>43</c:v>
                </c:pt>
                <c:pt idx="290">
                  <c:v>29</c:v>
                </c:pt>
                <c:pt idx="291">
                  <c:v>#N/A</c:v>
                </c:pt>
                <c:pt idx="292">
                  <c:v>#N/A</c:v>
                </c:pt>
                <c:pt idx="293">
                  <c:v>#N/A</c:v>
                </c:pt>
                <c:pt idx="294">
                  <c:v>29</c:v>
                </c:pt>
                <c:pt idx="295">
                  <c:v>31</c:v>
                </c:pt>
                <c:pt idx="296">
                  <c:v>#N/A</c:v>
                </c:pt>
                <c:pt idx="297">
                  <c:v>29</c:v>
                </c:pt>
                <c:pt idx="298">
                  <c:v>#N/A</c:v>
                </c:pt>
                <c:pt idx="299">
                  <c:v>29</c:v>
                </c:pt>
                <c:pt idx="300">
                  <c:v>#N/A</c:v>
                </c:pt>
                <c:pt idx="301">
                  <c:v>#N/A</c:v>
                </c:pt>
                <c:pt idx="302">
                  <c:v>41</c:v>
                </c:pt>
                <c:pt idx="303">
                  <c:v>#N/A</c:v>
                </c:pt>
                <c:pt idx="304">
                  <c:v>29</c:v>
                </c:pt>
                <c:pt idx="305">
                  <c:v>37</c:v>
                </c:pt>
                <c:pt idx="306">
                  <c:v>#N/A</c:v>
                </c:pt>
                <c:pt idx="307">
                  <c:v>14</c:v>
                </c:pt>
                <c:pt idx="308">
                  <c:v>#N/A</c:v>
                </c:pt>
                <c:pt idx="309">
                  <c:v>#N/A</c:v>
                </c:pt>
                <c:pt idx="310">
                  <c:v>30</c:v>
                </c:pt>
                <c:pt idx="311">
                  <c:v>37</c:v>
                </c:pt>
                <c:pt idx="312">
                  <c:v>#N/A</c:v>
                </c:pt>
                <c:pt idx="313">
                  <c:v>10</c:v>
                </c:pt>
                <c:pt idx="314">
                  <c:v>#N/A</c:v>
                </c:pt>
                <c:pt idx="315">
                  <c:v>22</c:v>
                </c:pt>
                <c:pt idx="316">
                  <c:v>11</c:v>
                </c:pt>
                <c:pt idx="317">
                  <c:v>#N/A</c:v>
                </c:pt>
                <c:pt idx="318">
                  <c:v>39</c:v>
                </c:pt>
                <c:pt idx="319">
                  <c:v>#N/A</c:v>
                </c:pt>
                <c:pt idx="320">
                  <c:v>12</c:v>
                </c:pt>
                <c:pt idx="321">
                  <c:v>#N/A</c:v>
                </c:pt>
                <c:pt idx="322">
                  <c:v>#N/A</c:v>
                </c:pt>
                <c:pt idx="323">
                  <c:v>#N/A</c:v>
                </c:pt>
                <c:pt idx="324">
                  <c:v>32</c:v>
                </c:pt>
                <c:pt idx="325">
                  <c:v>21</c:v>
                </c:pt>
                <c:pt idx="326">
                  <c:v>#N/A</c:v>
                </c:pt>
                <c:pt idx="327">
                  <c:v>29</c:v>
                </c:pt>
                <c:pt idx="328">
                  <c:v>#N/A</c:v>
                </c:pt>
                <c:pt idx="329">
                  <c:v>32</c:v>
                </c:pt>
                <c:pt idx="330">
                  <c:v>19</c:v>
                </c:pt>
                <c:pt idx="331">
                  <c:v>16</c:v>
                </c:pt>
                <c:pt idx="332">
                  <c:v>#N/A</c:v>
                </c:pt>
                <c:pt idx="333">
                  <c:v>29</c:v>
                </c:pt>
                <c:pt idx="334">
                  <c:v>18</c:v>
                </c:pt>
                <c:pt idx="335">
                  <c:v>43</c:v>
                </c:pt>
                <c:pt idx="336">
                  <c:v>29</c:v>
                </c:pt>
                <c:pt idx="337">
                  <c:v>#N/A</c:v>
                </c:pt>
                <c:pt idx="338">
                  <c:v>#N/A</c:v>
                </c:pt>
                <c:pt idx="339">
                  <c:v>#N/A</c:v>
                </c:pt>
                <c:pt idx="340">
                  <c:v>13</c:v>
                </c:pt>
                <c:pt idx="341">
                  <c:v>21</c:v>
                </c:pt>
                <c:pt idx="342">
                  <c:v>35</c:v>
                </c:pt>
                <c:pt idx="343">
                  <c:v>29</c:v>
                </c:pt>
                <c:pt idx="344">
                  <c:v>29</c:v>
                </c:pt>
                <c:pt idx="345">
                  <c:v>36</c:v>
                </c:pt>
                <c:pt idx="346">
                  <c:v>19</c:v>
                </c:pt>
                <c:pt idx="347">
                  <c:v>29</c:v>
                </c:pt>
                <c:pt idx="348">
                  <c:v>19</c:v>
                </c:pt>
                <c:pt idx="349">
                  <c:v>#N/A</c:v>
                </c:pt>
                <c:pt idx="350">
                  <c:v>29</c:v>
                </c:pt>
                <c:pt idx="351">
                  <c:v>29</c:v>
                </c:pt>
                <c:pt idx="352">
                  <c:v>28</c:v>
                </c:pt>
                <c:pt idx="353">
                  <c:v>12</c:v>
                </c:pt>
                <c:pt idx="354">
                  <c:v>29</c:v>
                </c:pt>
                <c:pt idx="355">
                  <c:v>#N/A</c:v>
                </c:pt>
                <c:pt idx="356">
                  <c:v>#N/A</c:v>
                </c:pt>
                <c:pt idx="357">
                  <c:v>#N/A</c:v>
                </c:pt>
                <c:pt idx="358">
                  <c:v>40</c:v>
                </c:pt>
                <c:pt idx="359">
                  <c:v>#N/A</c:v>
                </c:pt>
                <c:pt idx="360">
                  <c:v>#N/A</c:v>
                </c:pt>
                <c:pt idx="361">
                  <c:v>29</c:v>
                </c:pt>
                <c:pt idx="362">
                  <c:v>37</c:v>
                </c:pt>
                <c:pt idx="363">
                  <c:v>#N/A</c:v>
                </c:pt>
                <c:pt idx="364">
                  <c:v>25</c:v>
                </c:pt>
                <c:pt idx="365">
                  <c:v>28</c:v>
                </c:pt>
                <c:pt idx="366">
                  <c:v>#N/A</c:v>
                </c:pt>
                <c:pt idx="367">
                  <c:v>17</c:v>
                </c:pt>
                <c:pt idx="368">
                  <c:v>16</c:v>
                </c:pt>
                <c:pt idx="369">
                  <c:v>#N/A</c:v>
                </c:pt>
                <c:pt idx="370">
                  <c:v>#N/A</c:v>
                </c:pt>
                <c:pt idx="371">
                  <c:v>23</c:v>
                </c:pt>
                <c:pt idx="372">
                  <c:v>22</c:v>
                </c:pt>
                <c:pt idx="373">
                  <c:v>40</c:v>
                </c:pt>
                <c:pt idx="374">
                  <c:v>43</c:v>
                </c:pt>
                <c:pt idx="375">
                  <c:v>#N/A</c:v>
                </c:pt>
                <c:pt idx="376">
                  <c:v>15</c:v>
                </c:pt>
                <c:pt idx="377">
                  <c:v>37</c:v>
                </c:pt>
                <c:pt idx="378">
                  <c:v>#N/A</c:v>
                </c:pt>
                <c:pt idx="379">
                  <c:v>39</c:v>
                </c:pt>
                <c:pt idx="380">
                  <c:v>30</c:v>
                </c:pt>
                <c:pt idx="381">
                  <c:v>22</c:v>
                </c:pt>
                <c:pt idx="382">
                  <c:v>8</c:v>
                </c:pt>
                <c:pt idx="383">
                  <c:v>18</c:v>
                </c:pt>
                <c:pt idx="384">
                  <c:v>24</c:v>
                </c:pt>
                <c:pt idx="385">
                  <c:v>13</c:v>
                </c:pt>
                <c:pt idx="386">
                  <c:v>#N/A</c:v>
                </c:pt>
                <c:pt idx="387">
                  <c:v>#N/A</c:v>
                </c:pt>
                <c:pt idx="388">
                  <c:v>#N/A</c:v>
                </c:pt>
                <c:pt idx="389">
                  <c:v>23</c:v>
                </c:pt>
                <c:pt idx="390">
                  <c:v>29</c:v>
                </c:pt>
                <c:pt idx="391">
                  <c:v>#N/A</c:v>
                </c:pt>
                <c:pt idx="392">
                  <c:v>14</c:v>
                </c:pt>
                <c:pt idx="393">
                  <c:v>12</c:v>
                </c:pt>
                <c:pt idx="394">
                  <c:v>#N/A</c:v>
                </c:pt>
                <c:pt idx="395">
                  <c:v>24</c:v>
                </c:pt>
                <c:pt idx="396">
                  <c:v>34</c:v>
                </c:pt>
                <c:pt idx="397">
                  <c:v>#N/A</c:v>
                </c:pt>
                <c:pt idx="398">
                  <c:v>29</c:v>
                </c:pt>
                <c:pt idx="399">
                  <c:v>#N/A</c:v>
                </c:pt>
                <c:pt idx="400">
                  <c:v>#N/A</c:v>
                </c:pt>
                <c:pt idx="401">
                  <c:v>29</c:v>
                </c:pt>
                <c:pt idx="402">
                  <c:v>#N/A</c:v>
                </c:pt>
                <c:pt idx="403">
                  <c:v>25</c:v>
                </c:pt>
                <c:pt idx="404">
                  <c:v>#N/A</c:v>
                </c:pt>
                <c:pt idx="405">
                  <c:v>32</c:v>
                </c:pt>
                <c:pt idx="406">
                  <c:v>#N/A</c:v>
                </c:pt>
                <c:pt idx="407">
                  <c:v>29</c:v>
                </c:pt>
                <c:pt idx="408">
                  <c:v>#N/A</c:v>
                </c:pt>
                <c:pt idx="409">
                  <c:v>#N/A</c:v>
                </c:pt>
                <c:pt idx="410">
                  <c:v>39</c:v>
                </c:pt>
                <c:pt idx="411">
                  <c:v>30</c:v>
                </c:pt>
                <c:pt idx="412">
                  <c:v>23</c:v>
                </c:pt>
                <c:pt idx="413">
                  <c:v>22</c:v>
                </c:pt>
                <c:pt idx="414">
                  <c:v>#N/A</c:v>
                </c:pt>
                <c:pt idx="415">
                  <c:v>#N/A</c:v>
                </c:pt>
                <c:pt idx="416">
                  <c:v>21</c:v>
                </c:pt>
                <c:pt idx="417">
                  <c:v>#N/A</c:v>
                </c:pt>
                <c:pt idx="418">
                  <c:v>29</c:v>
                </c:pt>
                <c:pt idx="419">
                  <c:v>#N/A</c:v>
                </c:pt>
                <c:pt idx="420">
                  <c:v>41</c:v>
                </c:pt>
                <c:pt idx="421">
                  <c:v>18</c:v>
                </c:pt>
                <c:pt idx="422">
                  <c:v>46</c:v>
                </c:pt>
                <c:pt idx="423">
                  <c:v>22</c:v>
                </c:pt>
                <c:pt idx="424">
                  <c:v>#N/A</c:v>
                </c:pt>
                <c:pt idx="425">
                  <c:v>#N/A</c:v>
                </c:pt>
                <c:pt idx="426">
                  <c:v>29</c:v>
                </c:pt>
                <c:pt idx="427">
                  <c:v>#N/A</c:v>
                </c:pt>
                <c:pt idx="428">
                  <c:v>46</c:v>
                </c:pt>
                <c:pt idx="429">
                  <c:v>#N/A</c:v>
                </c:pt>
                <c:pt idx="430">
                  <c:v>29</c:v>
                </c:pt>
                <c:pt idx="431">
                  <c:v>16</c:v>
                </c:pt>
                <c:pt idx="432">
                  <c:v>11</c:v>
                </c:pt>
                <c:pt idx="433">
                  <c:v>29</c:v>
                </c:pt>
                <c:pt idx="434">
                  <c:v>8</c:v>
                </c:pt>
                <c:pt idx="435">
                  <c:v>#N/A</c:v>
                </c:pt>
                <c:pt idx="436">
                  <c:v>33</c:v>
                </c:pt>
                <c:pt idx="437">
                  <c:v>29</c:v>
                </c:pt>
                <c:pt idx="438">
                  <c:v>15</c:v>
                </c:pt>
                <c:pt idx="439">
                  <c:v>29</c:v>
                </c:pt>
                <c:pt idx="440">
                  <c:v>#N/A</c:v>
                </c:pt>
                <c:pt idx="441">
                  <c:v>23</c:v>
                </c:pt>
                <c:pt idx="442">
                  <c:v>27</c:v>
                </c:pt>
                <c:pt idx="443">
                  <c:v>#N/A</c:v>
                </c:pt>
                <c:pt idx="444">
                  <c:v>#N/A</c:v>
                </c:pt>
                <c:pt idx="445">
                  <c:v>#N/A</c:v>
                </c:pt>
                <c:pt idx="446">
                  <c:v>12</c:v>
                </c:pt>
                <c:pt idx="447">
                  <c:v>45</c:v>
                </c:pt>
                <c:pt idx="448">
                  <c:v>#N/A</c:v>
                </c:pt>
                <c:pt idx="449">
                  <c:v>18</c:v>
                </c:pt>
                <c:pt idx="450">
                  <c:v>13</c:v>
                </c:pt>
                <c:pt idx="451">
                  <c:v>#N/A</c:v>
                </c:pt>
                <c:pt idx="452">
                  <c:v>32</c:v>
                </c:pt>
                <c:pt idx="453">
                  <c:v>29</c:v>
                </c:pt>
                <c:pt idx="454">
                  <c:v>28</c:v>
                </c:pt>
                <c:pt idx="455">
                  <c:v>#N/A</c:v>
                </c:pt>
                <c:pt idx="456">
                  <c:v>29</c:v>
                </c:pt>
                <c:pt idx="457">
                  <c:v>28</c:v>
                </c:pt>
                <c:pt idx="458">
                  <c:v>#N/A</c:v>
                </c:pt>
                <c:pt idx="459">
                  <c:v>33</c:v>
                </c:pt>
                <c:pt idx="460">
                  <c:v>22</c:v>
                </c:pt>
                <c:pt idx="461">
                  <c:v>29</c:v>
                </c:pt>
                <c:pt idx="462">
                  <c:v>40</c:v>
                </c:pt>
                <c:pt idx="463">
                  <c:v>30</c:v>
                </c:pt>
                <c:pt idx="464">
                  <c:v>29</c:v>
                </c:pt>
                <c:pt idx="465">
                  <c:v>13</c:v>
                </c:pt>
                <c:pt idx="466">
                  <c:v>10</c:v>
                </c:pt>
                <c:pt idx="467">
                  <c:v>36</c:v>
                </c:pt>
                <c:pt idx="468">
                  <c:v>#N/A</c:v>
                </c:pt>
                <c:pt idx="469">
                  <c:v>41</c:v>
                </c:pt>
                <c:pt idx="470">
                  <c:v>40</c:v>
                </c:pt>
                <c:pt idx="471">
                  <c:v>38</c:v>
                </c:pt>
                <c:pt idx="472">
                  <c:v>27</c:v>
                </c:pt>
                <c:pt idx="473">
                  <c:v>29</c:v>
                </c:pt>
                <c:pt idx="474">
                  <c:v>29</c:v>
                </c:pt>
                <c:pt idx="475">
                  <c:v>27</c:v>
                </c:pt>
                <c:pt idx="476">
                  <c:v>#N/A</c:v>
                </c:pt>
                <c:pt idx="477">
                  <c:v>17</c:v>
                </c:pt>
                <c:pt idx="478">
                  <c:v>38</c:v>
                </c:pt>
                <c:pt idx="479">
                  <c:v>31</c:v>
                </c:pt>
                <c:pt idx="480">
                  <c:v>#N/A</c:v>
                </c:pt>
                <c:pt idx="481">
                  <c:v>37</c:v>
                </c:pt>
                <c:pt idx="482">
                  <c:v>22</c:v>
                </c:pt>
                <c:pt idx="483">
                  <c:v>31</c:v>
                </c:pt>
                <c:pt idx="484">
                  <c:v>#N/A</c:v>
                </c:pt>
                <c:pt idx="485">
                  <c:v>#N/A</c:v>
                </c:pt>
                <c:pt idx="486">
                  <c:v>41</c:v>
                </c:pt>
                <c:pt idx="487">
                  <c:v>32</c:v>
                </c:pt>
                <c:pt idx="488">
                  <c:v>17</c:v>
                </c:pt>
                <c:pt idx="489">
                  <c:v>29</c:v>
                </c:pt>
                <c:pt idx="490">
                  <c:v>28</c:v>
                </c:pt>
                <c:pt idx="491">
                  <c:v>30</c:v>
                </c:pt>
                <c:pt idx="492">
                  <c:v>38</c:v>
                </c:pt>
                <c:pt idx="493">
                  <c:v>#N/A</c:v>
                </c:pt>
                <c:pt idx="494">
                  <c:v>29</c:v>
                </c:pt>
                <c:pt idx="495">
                  <c:v>29</c:v>
                </c:pt>
                <c:pt idx="496">
                  <c:v>29</c:v>
                </c:pt>
                <c:pt idx="497">
                  <c:v>15</c:v>
                </c:pt>
                <c:pt idx="498">
                  <c:v>#N/A</c:v>
                </c:pt>
                <c:pt idx="499">
                  <c:v>32</c:v>
                </c:pt>
                <c:pt idx="500">
                  <c:v>19</c:v>
                </c:pt>
                <c:pt idx="501">
                  <c:v>32</c:v>
                </c:pt>
                <c:pt idx="502">
                  <c:v>#N/A</c:v>
                </c:pt>
                <c:pt idx="503">
                  <c:v>25</c:v>
                </c:pt>
                <c:pt idx="504">
                  <c:v>39</c:v>
                </c:pt>
                <c:pt idx="505">
                  <c:v>29</c:v>
                </c:pt>
                <c:pt idx="506">
                  <c:v>#N/A</c:v>
                </c:pt>
                <c:pt idx="507">
                  <c:v>23</c:v>
                </c:pt>
                <c:pt idx="508">
                  <c:v>23</c:v>
                </c:pt>
                <c:pt idx="509">
                  <c:v>29</c:v>
                </c:pt>
                <c:pt idx="510">
                  <c:v>#N/A</c:v>
                </c:pt>
                <c:pt idx="511">
                  <c:v>17</c:v>
                </c:pt>
                <c:pt idx="512">
                  <c:v>29</c:v>
                </c:pt>
                <c:pt idx="513">
                  <c:v>29</c:v>
                </c:pt>
                <c:pt idx="514">
                  <c:v>19</c:v>
                </c:pt>
                <c:pt idx="515">
                  <c:v>#N/A</c:v>
                </c:pt>
                <c:pt idx="516">
                  <c:v>#N/A</c:v>
                </c:pt>
                <c:pt idx="517">
                  <c:v>29</c:v>
                </c:pt>
                <c:pt idx="518">
                  <c:v>29</c:v>
                </c:pt>
                <c:pt idx="519">
                  <c:v>7</c:v>
                </c:pt>
                <c:pt idx="520">
                  <c:v>32</c:v>
                </c:pt>
                <c:pt idx="521">
                  <c:v>33</c:v>
                </c:pt>
                <c:pt idx="522">
                  <c:v>29</c:v>
                </c:pt>
                <c:pt idx="523">
                  <c:v>#N/A</c:v>
                </c:pt>
                <c:pt idx="524">
                  <c:v>29</c:v>
                </c:pt>
                <c:pt idx="525">
                  <c:v>18</c:v>
                </c:pt>
                <c:pt idx="526">
                  <c:v>19</c:v>
                </c:pt>
                <c:pt idx="527">
                  <c:v>15</c:v>
                </c:pt>
                <c:pt idx="528">
                  <c:v>31</c:v>
                </c:pt>
                <c:pt idx="529">
                  <c:v>29</c:v>
                </c:pt>
                <c:pt idx="530">
                  <c:v>18</c:v>
                </c:pt>
                <c:pt idx="531">
                  <c:v>29</c:v>
                </c:pt>
                <c:pt idx="532">
                  <c:v>52</c:v>
                </c:pt>
                <c:pt idx="533">
                  <c:v>29</c:v>
                </c:pt>
                <c:pt idx="534">
                  <c:v>30</c:v>
                </c:pt>
                <c:pt idx="535">
                  <c:v>#N/A</c:v>
                </c:pt>
                <c:pt idx="536">
                  <c:v>29</c:v>
                </c:pt>
                <c:pt idx="537">
                  <c:v>29</c:v>
                </c:pt>
                <c:pt idx="538">
                  <c:v>37</c:v>
                </c:pt>
                <c:pt idx="539">
                  <c:v>#N/A</c:v>
                </c:pt>
                <c:pt idx="540">
                  <c:v>#N/A</c:v>
                </c:pt>
                <c:pt idx="541">
                  <c:v>#N/A</c:v>
                </c:pt>
                <c:pt idx="542">
                  <c:v>#N/A</c:v>
                </c:pt>
                <c:pt idx="543">
                  <c:v>23</c:v>
                </c:pt>
                <c:pt idx="544">
                  <c:v>29</c:v>
                </c:pt>
                <c:pt idx="545">
                  <c:v>#N/A</c:v>
                </c:pt>
                <c:pt idx="546">
                  <c:v>#N/A</c:v>
                </c:pt>
                <c:pt idx="547">
                  <c:v>21</c:v>
                </c:pt>
                <c:pt idx="548">
                  <c:v>43</c:v>
                </c:pt>
                <c:pt idx="549">
                  <c:v>31</c:v>
                </c:pt>
                <c:pt idx="550">
                  <c:v>28</c:v>
                </c:pt>
                <c:pt idx="551">
                  <c:v>30</c:v>
                </c:pt>
                <c:pt idx="552">
                  <c:v>29</c:v>
                </c:pt>
                <c:pt idx="553">
                  <c:v>24</c:v>
                </c:pt>
                <c:pt idx="554">
                  <c:v>23</c:v>
                </c:pt>
                <c:pt idx="555">
                  <c:v>33</c:v>
                </c:pt>
                <c:pt idx="556">
                  <c:v>40</c:v>
                </c:pt>
                <c:pt idx="557">
                  <c:v>29</c:v>
                </c:pt>
                <c:pt idx="558">
                  <c:v>40</c:v>
                </c:pt>
                <c:pt idx="559">
                  <c:v>29</c:v>
                </c:pt>
                <c:pt idx="560">
                  <c:v>#N/A</c:v>
                </c:pt>
                <c:pt idx="561">
                  <c:v>#N/A</c:v>
                </c:pt>
                <c:pt idx="562">
                  <c:v>34</c:v>
                </c:pt>
                <c:pt idx="563">
                  <c:v>19</c:v>
                </c:pt>
                <c:pt idx="564">
                  <c:v>29</c:v>
                </c:pt>
                <c:pt idx="565">
                  <c:v>14</c:v>
                </c:pt>
                <c:pt idx="566">
                  <c:v>30</c:v>
                </c:pt>
                <c:pt idx="567">
                  <c:v>32</c:v>
                </c:pt>
                <c:pt idx="568">
                  <c:v>29</c:v>
                </c:pt>
                <c:pt idx="569">
                  <c:v>#N/A</c:v>
                </c:pt>
                <c:pt idx="570">
                  <c:v>29</c:v>
                </c:pt>
                <c:pt idx="571">
                  <c:v>29</c:v>
                </c:pt>
                <c:pt idx="572">
                  <c:v>31</c:v>
                </c:pt>
                <c:pt idx="573">
                  <c:v>17</c:v>
                </c:pt>
                <c:pt idx="574">
                  <c:v>30</c:v>
                </c:pt>
                <c:pt idx="575">
                  <c:v>47</c:v>
                </c:pt>
                <c:pt idx="576">
                  <c:v>20</c:v>
                </c:pt>
                <c:pt idx="577">
                  <c:v>#N/A</c:v>
                </c:pt>
                <c:pt idx="578">
                  <c:v>29</c:v>
                </c:pt>
                <c:pt idx="579">
                  <c:v>#N/A</c:v>
                </c:pt>
                <c:pt idx="580">
                  <c:v>#N/A</c:v>
                </c:pt>
                <c:pt idx="581">
                  <c:v>27</c:v>
                </c:pt>
                <c:pt idx="582">
                  <c:v>17</c:v>
                </c:pt>
                <c:pt idx="583">
                  <c:v>29</c:v>
                </c:pt>
                <c:pt idx="584">
                  <c:v>#N/A</c:v>
                </c:pt>
                <c:pt idx="585">
                  <c:v>11</c:v>
                </c:pt>
                <c:pt idx="586">
                  <c:v>#N/A</c:v>
                </c:pt>
                <c:pt idx="587">
                  <c:v>29</c:v>
                </c:pt>
                <c:pt idx="588">
                  <c:v>#N/A</c:v>
                </c:pt>
                <c:pt idx="589">
                  <c:v>29</c:v>
                </c:pt>
                <c:pt idx="590">
                  <c:v>#N/A</c:v>
                </c:pt>
                <c:pt idx="591">
                  <c:v>50</c:v>
                </c:pt>
                <c:pt idx="592">
                  <c:v>#N/A</c:v>
                </c:pt>
                <c:pt idx="593">
                  <c:v>22</c:v>
                </c:pt>
                <c:pt idx="594">
                  <c:v>45</c:v>
                </c:pt>
                <c:pt idx="595">
                  <c:v>#N/A</c:v>
                </c:pt>
                <c:pt idx="596">
                  <c:v>29</c:v>
                </c:pt>
                <c:pt idx="597">
                  <c:v>19</c:v>
                </c:pt>
                <c:pt idx="598">
                  <c:v>#N/A</c:v>
                </c:pt>
                <c:pt idx="599">
                  <c:v>18</c:v>
                </c:pt>
                <c:pt idx="600">
                  <c:v>19</c:v>
                </c:pt>
                <c:pt idx="601">
                  <c:v>29</c:v>
                </c:pt>
                <c:pt idx="602">
                  <c:v>36</c:v>
                </c:pt>
                <c:pt idx="603">
                  <c:v>#N/A</c:v>
                </c:pt>
                <c:pt idx="604">
                  <c:v>#N/A</c:v>
                </c:pt>
                <c:pt idx="605">
                  <c:v>32</c:v>
                </c:pt>
                <c:pt idx="606">
                  <c:v>#N/A</c:v>
                </c:pt>
                <c:pt idx="607">
                  <c:v>25</c:v>
                </c:pt>
                <c:pt idx="608">
                  <c:v>39</c:v>
                </c:pt>
                <c:pt idx="609">
                  <c:v>13</c:v>
                </c:pt>
                <c:pt idx="610">
                  <c:v>21</c:v>
                </c:pt>
                <c:pt idx="611">
                  <c:v>#N/A</c:v>
                </c:pt>
                <c:pt idx="612">
                  <c:v>#N/A</c:v>
                </c:pt>
                <c:pt idx="613">
                  <c:v>28</c:v>
                </c:pt>
                <c:pt idx="614">
                  <c:v>#N/A</c:v>
                </c:pt>
                <c:pt idx="615">
                  <c:v>29</c:v>
                </c:pt>
                <c:pt idx="616">
                  <c:v>29</c:v>
                </c:pt>
                <c:pt idx="617">
                  <c:v>13</c:v>
                </c:pt>
                <c:pt idx="618">
                  <c:v>#N/A</c:v>
                </c:pt>
                <c:pt idx="619">
                  <c:v>#N/A</c:v>
                </c:pt>
                <c:pt idx="620">
                  <c:v>42</c:v>
                </c:pt>
                <c:pt idx="621">
                  <c:v>20</c:v>
                </c:pt>
                <c:pt idx="622">
                  <c:v>29</c:v>
                </c:pt>
                <c:pt idx="623">
                  <c:v>27</c:v>
                </c:pt>
                <c:pt idx="624">
                  <c:v>29</c:v>
                </c:pt>
                <c:pt idx="625">
                  <c:v>47</c:v>
                </c:pt>
                <c:pt idx="626">
                  <c:v>29</c:v>
                </c:pt>
                <c:pt idx="627">
                  <c:v>29</c:v>
                </c:pt>
                <c:pt idx="628">
                  <c:v>29</c:v>
                </c:pt>
                <c:pt idx="629">
                  <c:v>22</c:v>
                </c:pt>
                <c:pt idx="630">
                  <c:v>#N/A</c:v>
                </c:pt>
                <c:pt idx="631">
                  <c:v>40</c:v>
                </c:pt>
                <c:pt idx="632">
                  <c:v>29</c:v>
                </c:pt>
                <c:pt idx="633">
                  <c:v>17</c:v>
                </c:pt>
                <c:pt idx="634">
                  <c:v>29</c:v>
                </c:pt>
                <c:pt idx="635">
                  <c:v>#N/A</c:v>
                </c:pt>
                <c:pt idx="636">
                  <c:v>29</c:v>
                </c:pt>
                <c:pt idx="637">
                  <c:v>18</c:v>
                </c:pt>
                <c:pt idx="638">
                  <c:v>#N/A</c:v>
                </c:pt>
                <c:pt idx="639">
                  <c:v>12</c:v>
                </c:pt>
                <c:pt idx="640">
                  <c:v>17</c:v>
                </c:pt>
                <c:pt idx="641">
                  <c:v>29</c:v>
                </c:pt>
                <c:pt idx="642">
                  <c:v>#N/A</c:v>
                </c:pt>
                <c:pt idx="643">
                  <c:v>29</c:v>
                </c:pt>
                <c:pt idx="644">
                  <c:v>30</c:v>
                </c:pt>
                <c:pt idx="645">
                  <c:v>35</c:v>
                </c:pt>
                <c:pt idx="646">
                  <c:v>#N/A</c:v>
                </c:pt>
                <c:pt idx="647">
                  <c:v>#N/A</c:v>
                </c:pt>
                <c:pt idx="648">
                  <c:v>#N/A</c:v>
                </c:pt>
                <c:pt idx="649">
                  <c:v>25</c:v>
                </c:pt>
                <c:pt idx="650">
                  <c:v>25</c:v>
                </c:pt>
                <c:pt idx="651">
                  <c:v>23</c:v>
                </c:pt>
                <c:pt idx="652">
                  <c:v>40</c:v>
                </c:pt>
                <c:pt idx="653">
                  <c:v>29</c:v>
                </c:pt>
                <c:pt idx="654">
                  <c:v>28</c:v>
                </c:pt>
                <c:pt idx="655">
                  <c:v>#N/A</c:v>
                </c:pt>
                <c:pt idx="656">
                  <c:v>35</c:v>
                </c:pt>
                <c:pt idx="657">
                  <c:v>48</c:v>
                </c:pt>
                <c:pt idx="658">
                  <c:v>29</c:v>
                </c:pt>
                <c:pt idx="659">
                  <c:v>#N/A</c:v>
                </c:pt>
                <c:pt idx="660">
                  <c:v>29</c:v>
                </c:pt>
                <c:pt idx="661">
                  <c:v>#N/A</c:v>
                </c:pt>
                <c:pt idx="662">
                  <c:v>#N/A</c:v>
                </c:pt>
                <c:pt idx="663">
                  <c:v>#N/A</c:v>
                </c:pt>
                <c:pt idx="664">
                  <c:v>#N/A</c:v>
                </c:pt>
                <c:pt idx="665">
                  <c:v>45</c:v>
                </c:pt>
                <c:pt idx="666">
                  <c:v>#N/A</c:v>
                </c:pt>
                <c:pt idx="667">
                  <c:v>#N/A</c:v>
                </c:pt>
                <c:pt idx="668">
                  <c:v>33</c:v>
                </c:pt>
                <c:pt idx="669">
                  <c:v>30</c:v>
                </c:pt>
                <c:pt idx="670">
                  <c:v>26</c:v>
                </c:pt>
                <c:pt idx="671">
                  <c:v>10</c:v>
                </c:pt>
                <c:pt idx="672">
                  <c:v>23</c:v>
                </c:pt>
                <c:pt idx="673">
                  <c:v>35</c:v>
                </c:pt>
                <c:pt idx="674">
                  <c:v>29</c:v>
                </c:pt>
                <c:pt idx="675">
                  <c:v>#N/A</c:v>
                </c:pt>
                <c:pt idx="676">
                  <c:v>#N/A</c:v>
                </c:pt>
                <c:pt idx="677">
                  <c:v>29</c:v>
                </c:pt>
                <c:pt idx="678">
                  <c:v>#N/A</c:v>
                </c:pt>
                <c:pt idx="679">
                  <c:v>17</c:v>
                </c:pt>
                <c:pt idx="680">
                  <c:v>28</c:v>
                </c:pt>
                <c:pt idx="681">
                  <c:v>#N/A</c:v>
                </c:pt>
                <c:pt idx="682">
                  <c:v>39</c:v>
                </c:pt>
                <c:pt idx="683">
                  <c:v>#N/A</c:v>
                </c:pt>
                <c:pt idx="684">
                  <c:v>29</c:v>
                </c:pt>
                <c:pt idx="685">
                  <c:v>26</c:v>
                </c:pt>
                <c:pt idx="686">
                  <c:v>29</c:v>
                </c:pt>
                <c:pt idx="687">
                  <c:v>19</c:v>
                </c:pt>
                <c:pt idx="688">
                  <c:v>26</c:v>
                </c:pt>
                <c:pt idx="689">
                  <c:v>#N/A</c:v>
                </c:pt>
                <c:pt idx="690">
                  <c:v>29</c:v>
                </c:pt>
                <c:pt idx="691">
                  <c:v>#N/A</c:v>
                </c:pt>
                <c:pt idx="692">
                  <c:v>32</c:v>
                </c:pt>
                <c:pt idx="693">
                  <c:v>#N/A</c:v>
                </c:pt>
                <c:pt idx="694">
                  <c:v>29</c:v>
                </c:pt>
                <c:pt idx="695">
                  <c:v>#N/A</c:v>
                </c:pt>
                <c:pt idx="696">
                  <c:v>#N/A</c:v>
                </c:pt>
                <c:pt idx="697">
                  <c:v>29</c:v>
                </c:pt>
                <c:pt idx="698">
                  <c:v>11</c:v>
                </c:pt>
                <c:pt idx="699">
                  <c:v>29</c:v>
                </c:pt>
                <c:pt idx="700">
                  <c:v>27</c:v>
                </c:pt>
                <c:pt idx="701">
                  <c:v>#N/A</c:v>
                </c:pt>
                <c:pt idx="702">
                  <c:v>#N/A</c:v>
                </c:pt>
                <c:pt idx="703">
                  <c:v>29</c:v>
                </c:pt>
                <c:pt idx="704">
                  <c:v>20</c:v>
                </c:pt>
                <c:pt idx="705">
                  <c:v>36</c:v>
                </c:pt>
                <c:pt idx="706">
                  <c:v>#N/A</c:v>
                </c:pt>
                <c:pt idx="707">
                  <c:v>21</c:v>
                </c:pt>
                <c:pt idx="708">
                  <c:v>#N/A</c:v>
                </c:pt>
                <c:pt idx="709">
                  <c:v>#N/A</c:v>
                </c:pt>
                <c:pt idx="710">
                  <c:v>13</c:v>
                </c:pt>
                <c:pt idx="711">
                  <c:v>27</c:v>
                </c:pt>
                <c:pt idx="712">
                  <c:v>#N/A</c:v>
                </c:pt>
                <c:pt idx="713">
                  <c:v>20</c:v>
                </c:pt>
                <c:pt idx="714">
                  <c:v>29</c:v>
                </c:pt>
                <c:pt idx="715">
                  <c:v>#N/A</c:v>
                </c:pt>
                <c:pt idx="716">
                  <c:v>#N/A</c:v>
                </c:pt>
                <c:pt idx="717">
                  <c:v>18</c:v>
                </c:pt>
                <c:pt idx="718">
                  <c:v>46</c:v>
                </c:pt>
                <c:pt idx="719">
                  <c:v>#N/A</c:v>
                </c:pt>
                <c:pt idx="720">
                  <c:v>19</c:v>
                </c:pt>
                <c:pt idx="721">
                  <c:v>36</c:v>
                </c:pt>
                <c:pt idx="722">
                  <c:v>#N/A</c:v>
                </c:pt>
                <c:pt idx="723">
                  <c:v>30</c:v>
                </c:pt>
                <c:pt idx="724">
                  <c:v>29</c:v>
                </c:pt>
                <c:pt idx="725">
                  <c:v>40</c:v>
                </c:pt>
                <c:pt idx="726">
                  <c:v>29</c:v>
                </c:pt>
                <c:pt idx="727">
                  <c:v>26</c:v>
                </c:pt>
                <c:pt idx="728">
                  <c:v>29</c:v>
                </c:pt>
                <c:pt idx="729">
                  <c:v>29</c:v>
                </c:pt>
                <c:pt idx="730">
                  <c:v>#N/A</c:v>
                </c:pt>
                <c:pt idx="731">
                  <c:v>#N/A</c:v>
                </c:pt>
                <c:pt idx="732">
                  <c:v>#N/A</c:v>
                </c:pt>
                <c:pt idx="733">
                  <c:v>27</c:v>
                </c:pt>
                <c:pt idx="734">
                  <c:v>29</c:v>
                </c:pt>
                <c:pt idx="735">
                  <c:v>32</c:v>
                </c:pt>
                <c:pt idx="736">
                  <c:v>27</c:v>
                </c:pt>
                <c:pt idx="737">
                  <c:v>23</c:v>
                </c:pt>
                <c:pt idx="738">
                  <c:v>17</c:v>
                </c:pt>
                <c:pt idx="739">
                  <c:v>#N/A</c:v>
                </c:pt>
                <c:pt idx="740">
                  <c:v>#N/A</c:v>
                </c:pt>
                <c:pt idx="741">
                  <c:v>20</c:v>
                </c:pt>
                <c:pt idx="742">
                  <c:v>18</c:v>
                </c:pt>
                <c:pt idx="743">
                  <c:v>#N/A</c:v>
                </c:pt>
                <c:pt idx="744">
                  <c:v>37</c:v>
                </c:pt>
                <c:pt idx="745">
                  <c:v>33</c:v>
                </c:pt>
                <c:pt idx="746">
                  <c:v>#N/A</c:v>
                </c:pt>
                <c:pt idx="747">
                  <c:v>41</c:v>
                </c:pt>
                <c:pt idx="748">
                  <c:v>#N/A</c:v>
                </c:pt>
                <c:pt idx="749">
                  <c:v>#N/A</c:v>
                </c:pt>
                <c:pt idx="750">
                  <c:v>#N/A</c:v>
                </c:pt>
                <c:pt idx="751">
                  <c:v>39</c:v>
                </c:pt>
                <c:pt idx="752">
                  <c:v>24</c:v>
                </c:pt>
                <c:pt idx="753">
                  <c:v>#N/A</c:v>
                </c:pt>
                <c:pt idx="754">
                  <c:v>#N/A</c:v>
                </c:pt>
                <c:pt idx="755">
                  <c:v>#N/A</c:v>
                </c:pt>
                <c:pt idx="756">
                  <c:v>41</c:v>
                </c:pt>
                <c:pt idx="757">
                  <c:v>#N/A</c:v>
                </c:pt>
                <c:pt idx="758">
                  <c:v>29</c:v>
                </c:pt>
                <c:pt idx="759">
                  <c:v>#N/A</c:v>
                </c:pt>
                <c:pt idx="760">
                  <c:v>26</c:v>
                </c:pt>
                <c:pt idx="761">
                  <c:v>#N/A</c:v>
                </c:pt>
                <c:pt idx="762">
                  <c:v>29</c:v>
                </c:pt>
                <c:pt idx="763">
                  <c:v>48</c:v>
                </c:pt>
                <c:pt idx="764">
                  <c:v>27</c:v>
                </c:pt>
                <c:pt idx="765">
                  <c:v>23</c:v>
                </c:pt>
                <c:pt idx="766">
                  <c:v>#N/A</c:v>
                </c:pt>
                <c:pt idx="767">
                  <c:v>31</c:v>
                </c:pt>
              </c:numCache>
            </c:numRef>
          </c:xVal>
          <c:yVal>
            <c:numRef>
              <c:f>diabetes!$G$2:$G$769</c:f>
              <c:numCache>
                <c:formatCode>General</c:formatCode>
                <c:ptCount val="768"/>
                <c:pt idx="0">
                  <c:v>33.6</c:v>
                </c:pt>
                <c:pt idx="1">
                  <c:v>26.6</c:v>
                </c:pt>
                <c:pt idx="2">
                  <c:v>23.3</c:v>
                </c:pt>
                <c:pt idx="3">
                  <c:v>28.1</c:v>
                </c:pt>
                <c:pt idx="4">
                  <c:v>43.1</c:v>
                </c:pt>
                <c:pt idx="5">
                  <c:v>25.6</c:v>
                </c:pt>
                <c:pt idx="6">
                  <c:v>31</c:v>
                </c:pt>
                <c:pt idx="7">
                  <c:v>35.299999999999997</c:v>
                </c:pt>
                <c:pt idx="8">
                  <c:v>30.5</c:v>
                </c:pt>
                <c:pt idx="9">
                  <c:v>32.299999999999997</c:v>
                </c:pt>
                <c:pt idx="10">
                  <c:v>37.6</c:v>
                </c:pt>
                <c:pt idx="11">
                  <c:v>38</c:v>
                </c:pt>
                <c:pt idx="12">
                  <c:v>27.1</c:v>
                </c:pt>
                <c:pt idx="13">
                  <c:v>30.1</c:v>
                </c:pt>
                <c:pt idx="14">
                  <c:v>25.8</c:v>
                </c:pt>
                <c:pt idx="15">
                  <c:v>30</c:v>
                </c:pt>
                <c:pt idx="16">
                  <c:v>45.8</c:v>
                </c:pt>
                <c:pt idx="17">
                  <c:v>29.6</c:v>
                </c:pt>
                <c:pt idx="18">
                  <c:v>43.3</c:v>
                </c:pt>
                <c:pt idx="19">
                  <c:v>34.6</c:v>
                </c:pt>
                <c:pt idx="20">
                  <c:v>39.299999999999997</c:v>
                </c:pt>
                <c:pt idx="21">
                  <c:v>35.4</c:v>
                </c:pt>
                <c:pt idx="22">
                  <c:v>39.799999999999997</c:v>
                </c:pt>
                <c:pt idx="23">
                  <c:v>29</c:v>
                </c:pt>
                <c:pt idx="24">
                  <c:v>36.6</c:v>
                </c:pt>
                <c:pt idx="25">
                  <c:v>31.1</c:v>
                </c:pt>
                <c:pt idx="26">
                  <c:v>39.4</c:v>
                </c:pt>
                <c:pt idx="27">
                  <c:v>23.2</c:v>
                </c:pt>
                <c:pt idx="28">
                  <c:v>22.2</c:v>
                </c:pt>
                <c:pt idx="29">
                  <c:v>34.1</c:v>
                </c:pt>
                <c:pt idx="30">
                  <c:v>36</c:v>
                </c:pt>
                <c:pt idx="31">
                  <c:v>31.6</c:v>
                </c:pt>
                <c:pt idx="32">
                  <c:v>24.8</c:v>
                </c:pt>
                <c:pt idx="33">
                  <c:v>19.899999999999999</c:v>
                </c:pt>
                <c:pt idx="34">
                  <c:v>27.6</c:v>
                </c:pt>
                <c:pt idx="35">
                  <c:v>24</c:v>
                </c:pt>
                <c:pt idx="36">
                  <c:v>33.200000000000003</c:v>
                </c:pt>
                <c:pt idx="37">
                  <c:v>32.9</c:v>
                </c:pt>
                <c:pt idx="38">
                  <c:v>38.200000000000003</c:v>
                </c:pt>
                <c:pt idx="39">
                  <c:v>37.1</c:v>
                </c:pt>
                <c:pt idx="40">
                  <c:v>34</c:v>
                </c:pt>
                <c:pt idx="41">
                  <c:v>40.200000000000003</c:v>
                </c:pt>
                <c:pt idx="42">
                  <c:v>22.7</c:v>
                </c:pt>
                <c:pt idx="43">
                  <c:v>45.4</c:v>
                </c:pt>
                <c:pt idx="44">
                  <c:v>27.4</c:v>
                </c:pt>
                <c:pt idx="45">
                  <c:v>42</c:v>
                </c:pt>
                <c:pt idx="46">
                  <c:v>29.7</c:v>
                </c:pt>
                <c:pt idx="47">
                  <c:v>28</c:v>
                </c:pt>
                <c:pt idx="48">
                  <c:v>39.1</c:v>
                </c:pt>
                <c:pt idx="49">
                  <c:v>32.299999999999997</c:v>
                </c:pt>
                <c:pt idx="50">
                  <c:v>19.399999999999999</c:v>
                </c:pt>
                <c:pt idx="51">
                  <c:v>24.2</c:v>
                </c:pt>
                <c:pt idx="52">
                  <c:v>24.4</c:v>
                </c:pt>
                <c:pt idx="53">
                  <c:v>33.700000000000003</c:v>
                </c:pt>
                <c:pt idx="54">
                  <c:v>34.700000000000003</c:v>
                </c:pt>
                <c:pt idx="55">
                  <c:v>23</c:v>
                </c:pt>
                <c:pt idx="56">
                  <c:v>37.700000000000003</c:v>
                </c:pt>
                <c:pt idx="57">
                  <c:v>46.8</c:v>
                </c:pt>
                <c:pt idx="58">
                  <c:v>40.5</c:v>
                </c:pt>
                <c:pt idx="59">
                  <c:v>41.5</c:v>
                </c:pt>
                <c:pt idx="60">
                  <c:v>32.299999999999997</c:v>
                </c:pt>
                <c:pt idx="61">
                  <c:v>32.9</c:v>
                </c:pt>
                <c:pt idx="62">
                  <c:v>25</c:v>
                </c:pt>
                <c:pt idx="63">
                  <c:v>25.4</c:v>
                </c:pt>
                <c:pt idx="64">
                  <c:v>32.799999999999997</c:v>
                </c:pt>
                <c:pt idx="65">
                  <c:v>29</c:v>
                </c:pt>
                <c:pt idx="66">
                  <c:v>32.5</c:v>
                </c:pt>
                <c:pt idx="67">
                  <c:v>42.7</c:v>
                </c:pt>
                <c:pt idx="68">
                  <c:v>19.600000000000001</c:v>
                </c:pt>
                <c:pt idx="69">
                  <c:v>28.9</c:v>
                </c:pt>
                <c:pt idx="70">
                  <c:v>32.9</c:v>
                </c:pt>
                <c:pt idx="71">
                  <c:v>28.6</c:v>
                </c:pt>
                <c:pt idx="72">
                  <c:v>43.4</c:v>
                </c:pt>
                <c:pt idx="73">
                  <c:v>35.1</c:v>
                </c:pt>
                <c:pt idx="74">
                  <c:v>32</c:v>
                </c:pt>
                <c:pt idx="75">
                  <c:v>24.7</c:v>
                </c:pt>
                <c:pt idx="76">
                  <c:v>32.6</c:v>
                </c:pt>
                <c:pt idx="77">
                  <c:v>37.700000000000003</c:v>
                </c:pt>
                <c:pt idx="78">
                  <c:v>43.2</c:v>
                </c:pt>
                <c:pt idx="79">
                  <c:v>25</c:v>
                </c:pt>
                <c:pt idx="80">
                  <c:v>22.4</c:v>
                </c:pt>
                <c:pt idx="81">
                  <c:v>32.299999999999997</c:v>
                </c:pt>
                <c:pt idx="82">
                  <c:v>29.3</c:v>
                </c:pt>
                <c:pt idx="83">
                  <c:v>24.6</c:v>
                </c:pt>
                <c:pt idx="84">
                  <c:v>48.8</c:v>
                </c:pt>
                <c:pt idx="85">
                  <c:v>32.4</c:v>
                </c:pt>
                <c:pt idx="86">
                  <c:v>36.6</c:v>
                </c:pt>
                <c:pt idx="87">
                  <c:v>38.5</c:v>
                </c:pt>
                <c:pt idx="88">
                  <c:v>37.1</c:v>
                </c:pt>
                <c:pt idx="89">
                  <c:v>26.5</c:v>
                </c:pt>
                <c:pt idx="90">
                  <c:v>19.100000000000001</c:v>
                </c:pt>
                <c:pt idx="91">
                  <c:v>32</c:v>
                </c:pt>
                <c:pt idx="92">
                  <c:v>46.7</c:v>
                </c:pt>
                <c:pt idx="93">
                  <c:v>23.8</c:v>
                </c:pt>
                <c:pt idx="94">
                  <c:v>24.7</c:v>
                </c:pt>
                <c:pt idx="95">
                  <c:v>33.9</c:v>
                </c:pt>
                <c:pt idx="96">
                  <c:v>31.6</c:v>
                </c:pt>
                <c:pt idx="97">
                  <c:v>20.399999999999999</c:v>
                </c:pt>
                <c:pt idx="98">
                  <c:v>28.7</c:v>
                </c:pt>
                <c:pt idx="99">
                  <c:v>49.7</c:v>
                </c:pt>
                <c:pt idx="100">
                  <c:v>39</c:v>
                </c:pt>
                <c:pt idx="101">
                  <c:v>26.1</c:v>
                </c:pt>
                <c:pt idx="102">
                  <c:v>22.5</c:v>
                </c:pt>
                <c:pt idx="103">
                  <c:v>26.6</c:v>
                </c:pt>
                <c:pt idx="104">
                  <c:v>39.6</c:v>
                </c:pt>
                <c:pt idx="105">
                  <c:v>28.7</c:v>
                </c:pt>
                <c:pt idx="106">
                  <c:v>22.4</c:v>
                </c:pt>
                <c:pt idx="107">
                  <c:v>29.5</c:v>
                </c:pt>
                <c:pt idx="108">
                  <c:v>34.299999999999997</c:v>
                </c:pt>
                <c:pt idx="109">
                  <c:v>37.4</c:v>
                </c:pt>
                <c:pt idx="110">
                  <c:v>33.299999999999997</c:v>
                </c:pt>
                <c:pt idx="111">
                  <c:v>34</c:v>
                </c:pt>
                <c:pt idx="112">
                  <c:v>31.2</c:v>
                </c:pt>
                <c:pt idx="113">
                  <c:v>34</c:v>
                </c:pt>
                <c:pt idx="114">
                  <c:v>30.5</c:v>
                </c:pt>
                <c:pt idx="115">
                  <c:v>31.2</c:v>
                </c:pt>
                <c:pt idx="116">
                  <c:v>34</c:v>
                </c:pt>
                <c:pt idx="117">
                  <c:v>33.700000000000003</c:v>
                </c:pt>
                <c:pt idx="118">
                  <c:v>28.2</c:v>
                </c:pt>
                <c:pt idx="119">
                  <c:v>23.2</c:v>
                </c:pt>
                <c:pt idx="120">
                  <c:v>53.2</c:v>
                </c:pt>
                <c:pt idx="121">
                  <c:v>34.200000000000003</c:v>
                </c:pt>
                <c:pt idx="122">
                  <c:v>33.6</c:v>
                </c:pt>
                <c:pt idx="123">
                  <c:v>26.8</c:v>
                </c:pt>
                <c:pt idx="124">
                  <c:v>33.299999999999997</c:v>
                </c:pt>
                <c:pt idx="125">
                  <c:v>55</c:v>
                </c:pt>
                <c:pt idx="126">
                  <c:v>42.9</c:v>
                </c:pt>
                <c:pt idx="127">
                  <c:v>33.299999999999997</c:v>
                </c:pt>
                <c:pt idx="128">
                  <c:v>34.5</c:v>
                </c:pt>
                <c:pt idx="129">
                  <c:v>27.9</c:v>
                </c:pt>
                <c:pt idx="130">
                  <c:v>29.7</c:v>
                </c:pt>
                <c:pt idx="131">
                  <c:v>33.299999999999997</c:v>
                </c:pt>
                <c:pt idx="132">
                  <c:v>34.5</c:v>
                </c:pt>
                <c:pt idx="133">
                  <c:v>38.299999999999997</c:v>
                </c:pt>
                <c:pt idx="134">
                  <c:v>21.1</c:v>
                </c:pt>
                <c:pt idx="135">
                  <c:v>33.799999999999997</c:v>
                </c:pt>
                <c:pt idx="136">
                  <c:v>30.8</c:v>
                </c:pt>
                <c:pt idx="137">
                  <c:v>28.7</c:v>
                </c:pt>
                <c:pt idx="138">
                  <c:v>31.2</c:v>
                </c:pt>
                <c:pt idx="139">
                  <c:v>36.9</c:v>
                </c:pt>
                <c:pt idx="140">
                  <c:v>21.1</c:v>
                </c:pt>
                <c:pt idx="141">
                  <c:v>39.5</c:v>
                </c:pt>
                <c:pt idx="142">
                  <c:v>32.5</c:v>
                </c:pt>
                <c:pt idx="143">
                  <c:v>32.4</c:v>
                </c:pt>
                <c:pt idx="144">
                  <c:v>32.799999999999997</c:v>
                </c:pt>
                <c:pt idx="145">
                  <c:v>32.299999999999997</c:v>
                </c:pt>
                <c:pt idx="146">
                  <c:v>32.799999999999997</c:v>
                </c:pt>
                <c:pt idx="147">
                  <c:v>30.5</c:v>
                </c:pt>
                <c:pt idx="148">
                  <c:v>33.700000000000003</c:v>
                </c:pt>
                <c:pt idx="149">
                  <c:v>27.3</c:v>
                </c:pt>
                <c:pt idx="150">
                  <c:v>37.4</c:v>
                </c:pt>
                <c:pt idx="151">
                  <c:v>21.9</c:v>
                </c:pt>
                <c:pt idx="152">
                  <c:v>34.299999999999997</c:v>
                </c:pt>
                <c:pt idx="153">
                  <c:v>40.6</c:v>
                </c:pt>
                <c:pt idx="154">
                  <c:v>47.9</c:v>
                </c:pt>
                <c:pt idx="155">
                  <c:v>50</c:v>
                </c:pt>
                <c:pt idx="156">
                  <c:v>24.6</c:v>
                </c:pt>
                <c:pt idx="157">
                  <c:v>25.2</c:v>
                </c:pt>
                <c:pt idx="158">
                  <c:v>29</c:v>
                </c:pt>
                <c:pt idx="159">
                  <c:v>40.9</c:v>
                </c:pt>
                <c:pt idx="160">
                  <c:v>29.7</c:v>
                </c:pt>
                <c:pt idx="161">
                  <c:v>37.200000000000003</c:v>
                </c:pt>
                <c:pt idx="162">
                  <c:v>44.2</c:v>
                </c:pt>
                <c:pt idx="163">
                  <c:v>29.7</c:v>
                </c:pt>
                <c:pt idx="164">
                  <c:v>31.6</c:v>
                </c:pt>
                <c:pt idx="165">
                  <c:v>29.9</c:v>
                </c:pt>
                <c:pt idx="166">
                  <c:v>32.5</c:v>
                </c:pt>
                <c:pt idx="167">
                  <c:v>29.6</c:v>
                </c:pt>
                <c:pt idx="168">
                  <c:v>31.9</c:v>
                </c:pt>
                <c:pt idx="169">
                  <c:v>28.4</c:v>
                </c:pt>
                <c:pt idx="170">
                  <c:v>30.8</c:v>
                </c:pt>
                <c:pt idx="171">
                  <c:v>35.4</c:v>
                </c:pt>
                <c:pt idx="172">
                  <c:v>28.9</c:v>
                </c:pt>
                <c:pt idx="173">
                  <c:v>43.5</c:v>
                </c:pt>
                <c:pt idx="174">
                  <c:v>29.7</c:v>
                </c:pt>
                <c:pt idx="175">
                  <c:v>32.700000000000003</c:v>
                </c:pt>
                <c:pt idx="176">
                  <c:v>31.2</c:v>
                </c:pt>
                <c:pt idx="177">
                  <c:v>67.099999999999994</c:v>
                </c:pt>
                <c:pt idx="178">
                  <c:v>45</c:v>
                </c:pt>
                <c:pt idx="179">
                  <c:v>39.1</c:v>
                </c:pt>
                <c:pt idx="180">
                  <c:v>23.2</c:v>
                </c:pt>
                <c:pt idx="181">
                  <c:v>34.9</c:v>
                </c:pt>
                <c:pt idx="182">
                  <c:v>27.7</c:v>
                </c:pt>
                <c:pt idx="183">
                  <c:v>26.8</c:v>
                </c:pt>
                <c:pt idx="184">
                  <c:v>27.6</c:v>
                </c:pt>
                <c:pt idx="185">
                  <c:v>35.9</c:v>
                </c:pt>
                <c:pt idx="186">
                  <c:v>30.1</c:v>
                </c:pt>
                <c:pt idx="187">
                  <c:v>32</c:v>
                </c:pt>
                <c:pt idx="188">
                  <c:v>27.9</c:v>
                </c:pt>
                <c:pt idx="189">
                  <c:v>31.6</c:v>
                </c:pt>
                <c:pt idx="190">
                  <c:v>22.6</c:v>
                </c:pt>
                <c:pt idx="191">
                  <c:v>33.1</c:v>
                </c:pt>
                <c:pt idx="192">
                  <c:v>30.4</c:v>
                </c:pt>
                <c:pt idx="193">
                  <c:v>52.3</c:v>
                </c:pt>
                <c:pt idx="194">
                  <c:v>24.4</c:v>
                </c:pt>
                <c:pt idx="195">
                  <c:v>39.4</c:v>
                </c:pt>
                <c:pt idx="196">
                  <c:v>24.3</c:v>
                </c:pt>
                <c:pt idx="197">
                  <c:v>22.9</c:v>
                </c:pt>
                <c:pt idx="198">
                  <c:v>34.799999999999997</c:v>
                </c:pt>
                <c:pt idx="199">
                  <c:v>30.9</c:v>
                </c:pt>
                <c:pt idx="200">
                  <c:v>31</c:v>
                </c:pt>
                <c:pt idx="201">
                  <c:v>40.1</c:v>
                </c:pt>
                <c:pt idx="202">
                  <c:v>27.3</c:v>
                </c:pt>
                <c:pt idx="203">
                  <c:v>20.399999999999999</c:v>
                </c:pt>
                <c:pt idx="204">
                  <c:v>37.700000000000003</c:v>
                </c:pt>
                <c:pt idx="205">
                  <c:v>23.9</c:v>
                </c:pt>
                <c:pt idx="206">
                  <c:v>37.5</c:v>
                </c:pt>
                <c:pt idx="207">
                  <c:v>37.700000000000003</c:v>
                </c:pt>
                <c:pt idx="208">
                  <c:v>33.200000000000003</c:v>
                </c:pt>
                <c:pt idx="209">
                  <c:v>35.5</c:v>
                </c:pt>
                <c:pt idx="210">
                  <c:v>27.7</c:v>
                </c:pt>
                <c:pt idx="211">
                  <c:v>42.8</c:v>
                </c:pt>
                <c:pt idx="212">
                  <c:v>34.200000000000003</c:v>
                </c:pt>
                <c:pt idx="213">
                  <c:v>42.6</c:v>
                </c:pt>
                <c:pt idx="214">
                  <c:v>34.200000000000003</c:v>
                </c:pt>
                <c:pt idx="215">
                  <c:v>41.8</c:v>
                </c:pt>
                <c:pt idx="216">
                  <c:v>35.799999999999997</c:v>
                </c:pt>
                <c:pt idx="217">
                  <c:v>30</c:v>
                </c:pt>
                <c:pt idx="218">
                  <c:v>29</c:v>
                </c:pt>
                <c:pt idx="219">
                  <c:v>37.799999999999997</c:v>
                </c:pt>
                <c:pt idx="220">
                  <c:v>34.6</c:v>
                </c:pt>
                <c:pt idx="221">
                  <c:v>31.6</c:v>
                </c:pt>
                <c:pt idx="222">
                  <c:v>25.2</c:v>
                </c:pt>
                <c:pt idx="223">
                  <c:v>28.8</c:v>
                </c:pt>
                <c:pt idx="224">
                  <c:v>23.6</c:v>
                </c:pt>
                <c:pt idx="225">
                  <c:v>34.6</c:v>
                </c:pt>
                <c:pt idx="226">
                  <c:v>35.700000000000003</c:v>
                </c:pt>
                <c:pt idx="227">
                  <c:v>37.200000000000003</c:v>
                </c:pt>
                <c:pt idx="228">
                  <c:v>36.700000000000003</c:v>
                </c:pt>
                <c:pt idx="229">
                  <c:v>45.2</c:v>
                </c:pt>
                <c:pt idx="230">
                  <c:v>44</c:v>
                </c:pt>
                <c:pt idx="231">
                  <c:v>46.2</c:v>
                </c:pt>
                <c:pt idx="232">
                  <c:v>25.4</c:v>
                </c:pt>
                <c:pt idx="233">
                  <c:v>35</c:v>
                </c:pt>
                <c:pt idx="234">
                  <c:v>29.7</c:v>
                </c:pt>
                <c:pt idx="235">
                  <c:v>43.6</c:v>
                </c:pt>
                <c:pt idx="236">
                  <c:v>35.9</c:v>
                </c:pt>
                <c:pt idx="237">
                  <c:v>44.1</c:v>
                </c:pt>
                <c:pt idx="238">
                  <c:v>30.8</c:v>
                </c:pt>
                <c:pt idx="239">
                  <c:v>18.399999999999999</c:v>
                </c:pt>
                <c:pt idx="240">
                  <c:v>29.2</c:v>
                </c:pt>
                <c:pt idx="241">
                  <c:v>33.1</c:v>
                </c:pt>
                <c:pt idx="242">
                  <c:v>25.6</c:v>
                </c:pt>
                <c:pt idx="243">
                  <c:v>27.1</c:v>
                </c:pt>
                <c:pt idx="244">
                  <c:v>38.200000000000003</c:v>
                </c:pt>
                <c:pt idx="245">
                  <c:v>30</c:v>
                </c:pt>
                <c:pt idx="246">
                  <c:v>31.2</c:v>
                </c:pt>
                <c:pt idx="247">
                  <c:v>52.3</c:v>
                </c:pt>
                <c:pt idx="248">
                  <c:v>35.4</c:v>
                </c:pt>
                <c:pt idx="249">
                  <c:v>30.1</c:v>
                </c:pt>
                <c:pt idx="250">
                  <c:v>31.2</c:v>
                </c:pt>
                <c:pt idx="251">
                  <c:v>28</c:v>
                </c:pt>
                <c:pt idx="252">
                  <c:v>24.4</c:v>
                </c:pt>
                <c:pt idx="253">
                  <c:v>35.799999999999997</c:v>
                </c:pt>
                <c:pt idx="254">
                  <c:v>27.6</c:v>
                </c:pt>
                <c:pt idx="255">
                  <c:v>33.6</c:v>
                </c:pt>
                <c:pt idx="256">
                  <c:v>30.1</c:v>
                </c:pt>
                <c:pt idx="257">
                  <c:v>28.7</c:v>
                </c:pt>
                <c:pt idx="258">
                  <c:v>25.9</c:v>
                </c:pt>
                <c:pt idx="259">
                  <c:v>33.299999999999997</c:v>
                </c:pt>
                <c:pt idx="260">
                  <c:v>30.9</c:v>
                </c:pt>
                <c:pt idx="261">
                  <c:v>30</c:v>
                </c:pt>
                <c:pt idx="262">
                  <c:v>32.1</c:v>
                </c:pt>
                <c:pt idx="263">
                  <c:v>32.4</c:v>
                </c:pt>
                <c:pt idx="264">
                  <c:v>32</c:v>
                </c:pt>
                <c:pt idx="265">
                  <c:v>33.6</c:v>
                </c:pt>
                <c:pt idx="266">
                  <c:v>36.299999999999997</c:v>
                </c:pt>
                <c:pt idx="267">
                  <c:v>40</c:v>
                </c:pt>
                <c:pt idx="268">
                  <c:v>25.1</c:v>
                </c:pt>
                <c:pt idx="269">
                  <c:v>27.5</c:v>
                </c:pt>
                <c:pt idx="270">
                  <c:v>45.6</c:v>
                </c:pt>
                <c:pt idx="271">
                  <c:v>25.2</c:v>
                </c:pt>
                <c:pt idx="272">
                  <c:v>23</c:v>
                </c:pt>
                <c:pt idx="273">
                  <c:v>33.200000000000003</c:v>
                </c:pt>
                <c:pt idx="274">
                  <c:v>34.200000000000003</c:v>
                </c:pt>
                <c:pt idx="275">
                  <c:v>40.5</c:v>
                </c:pt>
                <c:pt idx="276">
                  <c:v>26.5</c:v>
                </c:pt>
                <c:pt idx="277">
                  <c:v>27.8</c:v>
                </c:pt>
                <c:pt idx="278">
                  <c:v>24.9</c:v>
                </c:pt>
                <c:pt idx="279">
                  <c:v>25.3</c:v>
                </c:pt>
                <c:pt idx="280">
                  <c:v>37.9</c:v>
                </c:pt>
                <c:pt idx="281">
                  <c:v>35.9</c:v>
                </c:pt>
                <c:pt idx="282">
                  <c:v>32.4</c:v>
                </c:pt>
                <c:pt idx="283">
                  <c:v>30.4</c:v>
                </c:pt>
                <c:pt idx="284">
                  <c:v>27</c:v>
                </c:pt>
                <c:pt idx="285">
                  <c:v>26</c:v>
                </c:pt>
                <c:pt idx="286">
                  <c:v>38.700000000000003</c:v>
                </c:pt>
                <c:pt idx="287">
                  <c:v>45.6</c:v>
                </c:pt>
                <c:pt idx="288">
                  <c:v>20.8</c:v>
                </c:pt>
                <c:pt idx="289">
                  <c:v>36.1</c:v>
                </c:pt>
                <c:pt idx="290">
                  <c:v>36.9</c:v>
                </c:pt>
                <c:pt idx="291">
                  <c:v>36.6</c:v>
                </c:pt>
                <c:pt idx="292">
                  <c:v>43.3</c:v>
                </c:pt>
                <c:pt idx="293">
                  <c:v>40.5</c:v>
                </c:pt>
                <c:pt idx="294">
                  <c:v>21.9</c:v>
                </c:pt>
                <c:pt idx="295">
                  <c:v>35.5</c:v>
                </c:pt>
                <c:pt idx="296">
                  <c:v>28</c:v>
                </c:pt>
                <c:pt idx="297">
                  <c:v>30.7</c:v>
                </c:pt>
                <c:pt idx="298">
                  <c:v>36.6</c:v>
                </c:pt>
                <c:pt idx="299">
                  <c:v>23.6</c:v>
                </c:pt>
                <c:pt idx="300">
                  <c:v>32.299999999999997</c:v>
                </c:pt>
                <c:pt idx="301">
                  <c:v>31.6</c:v>
                </c:pt>
                <c:pt idx="302">
                  <c:v>35.799999999999997</c:v>
                </c:pt>
                <c:pt idx="303">
                  <c:v>52.9</c:v>
                </c:pt>
                <c:pt idx="304">
                  <c:v>21</c:v>
                </c:pt>
                <c:pt idx="305">
                  <c:v>39.700000000000003</c:v>
                </c:pt>
                <c:pt idx="306">
                  <c:v>25.5</c:v>
                </c:pt>
                <c:pt idx="307">
                  <c:v>24.8</c:v>
                </c:pt>
                <c:pt idx="308">
                  <c:v>30.5</c:v>
                </c:pt>
                <c:pt idx="309">
                  <c:v>32.9</c:v>
                </c:pt>
                <c:pt idx="310">
                  <c:v>26.2</c:v>
                </c:pt>
                <c:pt idx="311">
                  <c:v>39.4</c:v>
                </c:pt>
                <c:pt idx="312">
                  <c:v>26.6</c:v>
                </c:pt>
                <c:pt idx="313">
                  <c:v>29.5</c:v>
                </c:pt>
                <c:pt idx="314">
                  <c:v>35.9</c:v>
                </c:pt>
                <c:pt idx="315">
                  <c:v>34.1</c:v>
                </c:pt>
                <c:pt idx="316">
                  <c:v>19.3</c:v>
                </c:pt>
                <c:pt idx="317">
                  <c:v>30.5</c:v>
                </c:pt>
                <c:pt idx="318">
                  <c:v>38.1</c:v>
                </c:pt>
                <c:pt idx="319">
                  <c:v>23.5</c:v>
                </c:pt>
                <c:pt idx="320">
                  <c:v>27.5</c:v>
                </c:pt>
                <c:pt idx="321">
                  <c:v>31.6</c:v>
                </c:pt>
                <c:pt idx="322">
                  <c:v>27.4</c:v>
                </c:pt>
                <c:pt idx="323">
                  <c:v>26.8</c:v>
                </c:pt>
                <c:pt idx="324">
                  <c:v>35.700000000000003</c:v>
                </c:pt>
                <c:pt idx="325">
                  <c:v>25.6</c:v>
                </c:pt>
                <c:pt idx="326">
                  <c:v>35.1</c:v>
                </c:pt>
                <c:pt idx="327">
                  <c:v>35.1</c:v>
                </c:pt>
                <c:pt idx="328">
                  <c:v>45.5</c:v>
                </c:pt>
                <c:pt idx="329">
                  <c:v>30.8</c:v>
                </c:pt>
                <c:pt idx="330">
                  <c:v>23.1</c:v>
                </c:pt>
                <c:pt idx="331">
                  <c:v>32.700000000000003</c:v>
                </c:pt>
                <c:pt idx="332">
                  <c:v>43.3</c:v>
                </c:pt>
                <c:pt idx="333">
                  <c:v>23.6</c:v>
                </c:pt>
                <c:pt idx="334">
                  <c:v>23.9</c:v>
                </c:pt>
                <c:pt idx="335">
                  <c:v>47.9</c:v>
                </c:pt>
                <c:pt idx="336">
                  <c:v>33.799999999999997</c:v>
                </c:pt>
                <c:pt idx="337">
                  <c:v>31.2</c:v>
                </c:pt>
                <c:pt idx="338">
                  <c:v>34.200000000000003</c:v>
                </c:pt>
                <c:pt idx="339">
                  <c:v>39.9</c:v>
                </c:pt>
                <c:pt idx="340">
                  <c:v>25.9</c:v>
                </c:pt>
                <c:pt idx="341">
                  <c:v>25.9</c:v>
                </c:pt>
                <c:pt idx="342">
                  <c:v>32</c:v>
                </c:pt>
                <c:pt idx="343">
                  <c:v>34.700000000000003</c:v>
                </c:pt>
                <c:pt idx="344">
                  <c:v>36.799999999999997</c:v>
                </c:pt>
                <c:pt idx="345">
                  <c:v>38.5</c:v>
                </c:pt>
                <c:pt idx="346">
                  <c:v>28.7</c:v>
                </c:pt>
                <c:pt idx="347">
                  <c:v>23.5</c:v>
                </c:pt>
                <c:pt idx="348">
                  <c:v>21.8</c:v>
                </c:pt>
                <c:pt idx="349">
                  <c:v>41</c:v>
                </c:pt>
                <c:pt idx="350">
                  <c:v>42.2</c:v>
                </c:pt>
                <c:pt idx="351">
                  <c:v>31.2</c:v>
                </c:pt>
                <c:pt idx="352">
                  <c:v>34.4</c:v>
                </c:pt>
                <c:pt idx="353">
                  <c:v>27.2</c:v>
                </c:pt>
                <c:pt idx="354">
                  <c:v>42.7</c:v>
                </c:pt>
                <c:pt idx="355">
                  <c:v>30.4</c:v>
                </c:pt>
                <c:pt idx="356">
                  <c:v>33.299999999999997</c:v>
                </c:pt>
                <c:pt idx="357">
                  <c:v>39.9</c:v>
                </c:pt>
                <c:pt idx="358">
                  <c:v>35.299999999999997</c:v>
                </c:pt>
                <c:pt idx="359">
                  <c:v>36.5</c:v>
                </c:pt>
                <c:pt idx="360">
                  <c:v>31.2</c:v>
                </c:pt>
                <c:pt idx="361">
                  <c:v>29.8</c:v>
                </c:pt>
                <c:pt idx="362">
                  <c:v>39.200000000000003</c:v>
                </c:pt>
                <c:pt idx="363">
                  <c:v>38.5</c:v>
                </c:pt>
                <c:pt idx="364">
                  <c:v>34.9</c:v>
                </c:pt>
                <c:pt idx="365">
                  <c:v>34</c:v>
                </c:pt>
                <c:pt idx="366">
                  <c:v>27.6</c:v>
                </c:pt>
                <c:pt idx="367">
                  <c:v>21</c:v>
                </c:pt>
                <c:pt idx="368">
                  <c:v>27.5</c:v>
                </c:pt>
                <c:pt idx="369">
                  <c:v>32.799999999999997</c:v>
                </c:pt>
                <c:pt idx="370">
                  <c:v>38.4</c:v>
                </c:pt>
                <c:pt idx="371">
                  <c:v>32.299999999999997</c:v>
                </c:pt>
                <c:pt idx="372">
                  <c:v>35.799999999999997</c:v>
                </c:pt>
                <c:pt idx="373">
                  <c:v>34.9</c:v>
                </c:pt>
                <c:pt idx="374">
                  <c:v>36.200000000000003</c:v>
                </c:pt>
                <c:pt idx="375">
                  <c:v>39.200000000000003</c:v>
                </c:pt>
                <c:pt idx="376">
                  <c:v>25.2</c:v>
                </c:pt>
                <c:pt idx="377">
                  <c:v>37.200000000000003</c:v>
                </c:pt>
                <c:pt idx="378">
                  <c:v>48.3</c:v>
                </c:pt>
                <c:pt idx="379">
                  <c:v>43.4</c:v>
                </c:pt>
                <c:pt idx="380">
                  <c:v>30.8</c:v>
                </c:pt>
                <c:pt idx="381">
                  <c:v>20</c:v>
                </c:pt>
                <c:pt idx="382">
                  <c:v>25.4</c:v>
                </c:pt>
                <c:pt idx="383">
                  <c:v>25.1</c:v>
                </c:pt>
                <c:pt idx="384">
                  <c:v>24.3</c:v>
                </c:pt>
                <c:pt idx="385">
                  <c:v>22.3</c:v>
                </c:pt>
                <c:pt idx="386">
                  <c:v>32.299999999999997</c:v>
                </c:pt>
                <c:pt idx="387">
                  <c:v>43.3</c:v>
                </c:pt>
                <c:pt idx="388">
                  <c:v>32</c:v>
                </c:pt>
                <c:pt idx="389">
                  <c:v>31.6</c:v>
                </c:pt>
                <c:pt idx="390">
                  <c:v>32</c:v>
                </c:pt>
                <c:pt idx="391">
                  <c:v>45.7</c:v>
                </c:pt>
                <c:pt idx="392">
                  <c:v>23.7</c:v>
                </c:pt>
                <c:pt idx="393">
                  <c:v>22.1</c:v>
                </c:pt>
                <c:pt idx="394">
                  <c:v>32.9</c:v>
                </c:pt>
                <c:pt idx="395">
                  <c:v>27.7</c:v>
                </c:pt>
                <c:pt idx="396">
                  <c:v>24.7</c:v>
                </c:pt>
                <c:pt idx="397">
                  <c:v>34.299999999999997</c:v>
                </c:pt>
                <c:pt idx="398">
                  <c:v>21.1</c:v>
                </c:pt>
                <c:pt idx="399">
                  <c:v>34.9</c:v>
                </c:pt>
                <c:pt idx="400">
                  <c:v>32</c:v>
                </c:pt>
                <c:pt idx="401">
                  <c:v>24.2</c:v>
                </c:pt>
                <c:pt idx="402">
                  <c:v>35</c:v>
                </c:pt>
                <c:pt idx="403">
                  <c:v>31.6</c:v>
                </c:pt>
                <c:pt idx="404">
                  <c:v>32.9</c:v>
                </c:pt>
                <c:pt idx="405">
                  <c:v>42.1</c:v>
                </c:pt>
                <c:pt idx="406">
                  <c:v>28.9</c:v>
                </c:pt>
                <c:pt idx="407">
                  <c:v>21.9</c:v>
                </c:pt>
                <c:pt idx="408">
                  <c:v>25.9</c:v>
                </c:pt>
                <c:pt idx="409">
                  <c:v>42.4</c:v>
                </c:pt>
                <c:pt idx="410">
                  <c:v>35.700000000000003</c:v>
                </c:pt>
                <c:pt idx="411">
                  <c:v>34.4</c:v>
                </c:pt>
                <c:pt idx="412">
                  <c:v>42.4</c:v>
                </c:pt>
                <c:pt idx="413">
                  <c:v>26.2</c:v>
                </c:pt>
                <c:pt idx="414">
                  <c:v>34.6</c:v>
                </c:pt>
                <c:pt idx="415">
                  <c:v>35.700000000000003</c:v>
                </c:pt>
                <c:pt idx="416">
                  <c:v>27.2</c:v>
                </c:pt>
                <c:pt idx="417">
                  <c:v>38.5</c:v>
                </c:pt>
                <c:pt idx="418">
                  <c:v>18.2</c:v>
                </c:pt>
                <c:pt idx="419">
                  <c:v>26.4</c:v>
                </c:pt>
                <c:pt idx="420">
                  <c:v>45.3</c:v>
                </c:pt>
                <c:pt idx="421">
                  <c:v>26</c:v>
                </c:pt>
                <c:pt idx="422">
                  <c:v>40.6</c:v>
                </c:pt>
                <c:pt idx="423">
                  <c:v>30.8</c:v>
                </c:pt>
                <c:pt idx="424">
                  <c:v>42.9</c:v>
                </c:pt>
                <c:pt idx="425">
                  <c:v>37</c:v>
                </c:pt>
                <c:pt idx="426">
                  <c:v>32.299999999999997</c:v>
                </c:pt>
                <c:pt idx="427">
                  <c:v>34.1</c:v>
                </c:pt>
                <c:pt idx="428">
                  <c:v>40.6</c:v>
                </c:pt>
                <c:pt idx="429">
                  <c:v>35</c:v>
                </c:pt>
                <c:pt idx="430">
                  <c:v>22.2</c:v>
                </c:pt>
                <c:pt idx="431">
                  <c:v>30.4</c:v>
                </c:pt>
                <c:pt idx="432">
                  <c:v>30</c:v>
                </c:pt>
                <c:pt idx="433">
                  <c:v>25.6</c:v>
                </c:pt>
                <c:pt idx="434">
                  <c:v>24.5</c:v>
                </c:pt>
                <c:pt idx="435">
                  <c:v>42.4</c:v>
                </c:pt>
                <c:pt idx="436">
                  <c:v>37.4</c:v>
                </c:pt>
                <c:pt idx="437">
                  <c:v>29.9</c:v>
                </c:pt>
                <c:pt idx="438">
                  <c:v>18.2</c:v>
                </c:pt>
                <c:pt idx="439">
                  <c:v>36.799999999999997</c:v>
                </c:pt>
                <c:pt idx="440">
                  <c:v>34.299999999999997</c:v>
                </c:pt>
                <c:pt idx="441">
                  <c:v>32.200000000000003</c:v>
                </c:pt>
                <c:pt idx="442">
                  <c:v>33.200000000000003</c:v>
                </c:pt>
                <c:pt idx="443">
                  <c:v>30.5</c:v>
                </c:pt>
                <c:pt idx="444">
                  <c:v>29.7</c:v>
                </c:pt>
                <c:pt idx="445">
                  <c:v>59.4</c:v>
                </c:pt>
                <c:pt idx="446">
                  <c:v>25.3</c:v>
                </c:pt>
                <c:pt idx="447">
                  <c:v>36.5</c:v>
                </c:pt>
                <c:pt idx="448">
                  <c:v>33.6</c:v>
                </c:pt>
                <c:pt idx="449">
                  <c:v>30.5</c:v>
                </c:pt>
                <c:pt idx="450">
                  <c:v>21.2</c:v>
                </c:pt>
                <c:pt idx="451">
                  <c:v>28.9</c:v>
                </c:pt>
                <c:pt idx="452">
                  <c:v>39.9</c:v>
                </c:pt>
                <c:pt idx="453">
                  <c:v>19.600000000000001</c:v>
                </c:pt>
                <c:pt idx="454">
                  <c:v>37.799999999999997</c:v>
                </c:pt>
                <c:pt idx="455">
                  <c:v>33.6</c:v>
                </c:pt>
                <c:pt idx="456">
                  <c:v>26.7</c:v>
                </c:pt>
                <c:pt idx="457">
                  <c:v>30.2</c:v>
                </c:pt>
                <c:pt idx="458">
                  <c:v>37.6</c:v>
                </c:pt>
                <c:pt idx="459">
                  <c:v>25.9</c:v>
                </c:pt>
                <c:pt idx="460">
                  <c:v>20.8</c:v>
                </c:pt>
                <c:pt idx="461">
                  <c:v>21.8</c:v>
                </c:pt>
                <c:pt idx="462">
                  <c:v>35.299999999999997</c:v>
                </c:pt>
                <c:pt idx="463">
                  <c:v>27.6</c:v>
                </c:pt>
                <c:pt idx="464">
                  <c:v>24</c:v>
                </c:pt>
                <c:pt idx="465">
                  <c:v>21.8</c:v>
                </c:pt>
                <c:pt idx="466">
                  <c:v>27.8</c:v>
                </c:pt>
                <c:pt idx="467">
                  <c:v>36.799999999999997</c:v>
                </c:pt>
                <c:pt idx="468">
                  <c:v>30</c:v>
                </c:pt>
                <c:pt idx="469">
                  <c:v>46.1</c:v>
                </c:pt>
                <c:pt idx="470">
                  <c:v>41.3</c:v>
                </c:pt>
                <c:pt idx="471">
                  <c:v>33.200000000000003</c:v>
                </c:pt>
                <c:pt idx="472">
                  <c:v>38.799999999999997</c:v>
                </c:pt>
                <c:pt idx="473">
                  <c:v>29.9</c:v>
                </c:pt>
                <c:pt idx="474">
                  <c:v>28.9</c:v>
                </c:pt>
                <c:pt idx="475">
                  <c:v>27.3</c:v>
                </c:pt>
                <c:pt idx="476">
                  <c:v>33.700000000000003</c:v>
                </c:pt>
                <c:pt idx="477">
                  <c:v>23.8</c:v>
                </c:pt>
                <c:pt idx="478">
                  <c:v>25.9</c:v>
                </c:pt>
                <c:pt idx="479">
                  <c:v>28</c:v>
                </c:pt>
                <c:pt idx="480">
                  <c:v>35.5</c:v>
                </c:pt>
                <c:pt idx="481">
                  <c:v>35.200000000000003</c:v>
                </c:pt>
                <c:pt idx="482">
                  <c:v>27.8</c:v>
                </c:pt>
                <c:pt idx="483">
                  <c:v>38.200000000000003</c:v>
                </c:pt>
                <c:pt idx="484">
                  <c:v>44.2</c:v>
                </c:pt>
                <c:pt idx="485">
                  <c:v>42.3</c:v>
                </c:pt>
                <c:pt idx="486">
                  <c:v>40.700000000000003</c:v>
                </c:pt>
                <c:pt idx="487">
                  <c:v>46.5</c:v>
                </c:pt>
                <c:pt idx="488">
                  <c:v>25.6</c:v>
                </c:pt>
                <c:pt idx="489">
                  <c:v>26.1</c:v>
                </c:pt>
                <c:pt idx="490">
                  <c:v>36.799999999999997</c:v>
                </c:pt>
                <c:pt idx="491">
                  <c:v>33.5</c:v>
                </c:pt>
                <c:pt idx="492">
                  <c:v>32.799999999999997</c:v>
                </c:pt>
                <c:pt idx="493">
                  <c:v>28.9</c:v>
                </c:pt>
                <c:pt idx="494">
                  <c:v>32.299999999999997</c:v>
                </c:pt>
                <c:pt idx="495">
                  <c:v>26.6</c:v>
                </c:pt>
                <c:pt idx="496">
                  <c:v>26</c:v>
                </c:pt>
                <c:pt idx="497">
                  <c:v>30.1</c:v>
                </c:pt>
                <c:pt idx="498">
                  <c:v>25.1</c:v>
                </c:pt>
                <c:pt idx="499">
                  <c:v>29.3</c:v>
                </c:pt>
                <c:pt idx="500">
                  <c:v>25.2</c:v>
                </c:pt>
                <c:pt idx="501">
                  <c:v>37.200000000000003</c:v>
                </c:pt>
                <c:pt idx="502">
                  <c:v>39</c:v>
                </c:pt>
                <c:pt idx="503">
                  <c:v>33.299999999999997</c:v>
                </c:pt>
                <c:pt idx="504">
                  <c:v>37.299999999999997</c:v>
                </c:pt>
                <c:pt idx="505">
                  <c:v>33.299999999999997</c:v>
                </c:pt>
                <c:pt idx="506">
                  <c:v>36.5</c:v>
                </c:pt>
                <c:pt idx="507">
                  <c:v>28.6</c:v>
                </c:pt>
                <c:pt idx="508">
                  <c:v>30.4</c:v>
                </c:pt>
                <c:pt idx="509">
                  <c:v>25</c:v>
                </c:pt>
                <c:pt idx="510">
                  <c:v>29.7</c:v>
                </c:pt>
                <c:pt idx="511">
                  <c:v>22.1</c:v>
                </c:pt>
                <c:pt idx="512">
                  <c:v>24.2</c:v>
                </c:pt>
                <c:pt idx="513">
                  <c:v>27.3</c:v>
                </c:pt>
                <c:pt idx="514">
                  <c:v>25.6</c:v>
                </c:pt>
                <c:pt idx="515">
                  <c:v>31.6</c:v>
                </c:pt>
                <c:pt idx="516">
                  <c:v>30.3</c:v>
                </c:pt>
                <c:pt idx="517">
                  <c:v>37.6</c:v>
                </c:pt>
                <c:pt idx="518">
                  <c:v>32.799999999999997</c:v>
                </c:pt>
                <c:pt idx="519">
                  <c:v>19.600000000000001</c:v>
                </c:pt>
                <c:pt idx="520">
                  <c:v>25</c:v>
                </c:pt>
                <c:pt idx="521">
                  <c:v>33.200000000000003</c:v>
                </c:pt>
                <c:pt idx="522">
                  <c:v>32.299999999999997</c:v>
                </c:pt>
                <c:pt idx="523">
                  <c:v>34.200000000000003</c:v>
                </c:pt>
                <c:pt idx="524">
                  <c:v>31.6</c:v>
                </c:pt>
                <c:pt idx="525">
                  <c:v>21.8</c:v>
                </c:pt>
                <c:pt idx="526">
                  <c:v>18.2</c:v>
                </c:pt>
                <c:pt idx="527">
                  <c:v>26.3</c:v>
                </c:pt>
                <c:pt idx="528">
                  <c:v>30.8</c:v>
                </c:pt>
                <c:pt idx="529">
                  <c:v>24.6</c:v>
                </c:pt>
                <c:pt idx="530">
                  <c:v>29.8</c:v>
                </c:pt>
                <c:pt idx="531">
                  <c:v>45.3</c:v>
                </c:pt>
                <c:pt idx="532">
                  <c:v>41.3</c:v>
                </c:pt>
                <c:pt idx="533">
                  <c:v>29.8</c:v>
                </c:pt>
                <c:pt idx="534">
                  <c:v>33.299999999999997</c:v>
                </c:pt>
                <c:pt idx="535">
                  <c:v>32.9</c:v>
                </c:pt>
                <c:pt idx="536">
                  <c:v>29.6</c:v>
                </c:pt>
                <c:pt idx="537">
                  <c:v>21.7</c:v>
                </c:pt>
                <c:pt idx="538">
                  <c:v>36.299999999999997</c:v>
                </c:pt>
                <c:pt idx="539">
                  <c:v>36.4</c:v>
                </c:pt>
                <c:pt idx="540">
                  <c:v>39.4</c:v>
                </c:pt>
                <c:pt idx="541">
                  <c:v>32.4</c:v>
                </c:pt>
                <c:pt idx="542">
                  <c:v>34.9</c:v>
                </c:pt>
                <c:pt idx="543">
                  <c:v>39.5</c:v>
                </c:pt>
                <c:pt idx="544">
                  <c:v>32</c:v>
                </c:pt>
                <c:pt idx="545">
                  <c:v>34.5</c:v>
                </c:pt>
                <c:pt idx="546">
                  <c:v>43.6</c:v>
                </c:pt>
                <c:pt idx="547">
                  <c:v>33.1</c:v>
                </c:pt>
                <c:pt idx="548">
                  <c:v>32.799999999999997</c:v>
                </c:pt>
                <c:pt idx="549">
                  <c:v>28.5</c:v>
                </c:pt>
                <c:pt idx="550">
                  <c:v>27.4</c:v>
                </c:pt>
                <c:pt idx="551">
                  <c:v>31.9</c:v>
                </c:pt>
                <c:pt idx="552">
                  <c:v>27.8</c:v>
                </c:pt>
                <c:pt idx="553">
                  <c:v>29.9</c:v>
                </c:pt>
                <c:pt idx="554">
                  <c:v>36.9</c:v>
                </c:pt>
                <c:pt idx="555">
                  <c:v>25.5</c:v>
                </c:pt>
                <c:pt idx="556">
                  <c:v>38.1</c:v>
                </c:pt>
                <c:pt idx="557">
                  <c:v>27.8</c:v>
                </c:pt>
                <c:pt idx="558">
                  <c:v>46.2</c:v>
                </c:pt>
                <c:pt idx="559">
                  <c:v>30.1</c:v>
                </c:pt>
                <c:pt idx="560">
                  <c:v>33.799999999999997</c:v>
                </c:pt>
                <c:pt idx="561">
                  <c:v>41.3</c:v>
                </c:pt>
                <c:pt idx="562">
                  <c:v>37.6</c:v>
                </c:pt>
                <c:pt idx="563">
                  <c:v>26.9</c:v>
                </c:pt>
                <c:pt idx="564">
                  <c:v>32.4</c:v>
                </c:pt>
                <c:pt idx="565">
                  <c:v>26.1</c:v>
                </c:pt>
                <c:pt idx="566">
                  <c:v>38.6</c:v>
                </c:pt>
                <c:pt idx="567">
                  <c:v>32</c:v>
                </c:pt>
                <c:pt idx="568">
                  <c:v>31.3</c:v>
                </c:pt>
                <c:pt idx="569">
                  <c:v>34.299999999999997</c:v>
                </c:pt>
                <c:pt idx="570">
                  <c:v>32.5</c:v>
                </c:pt>
                <c:pt idx="571">
                  <c:v>22.6</c:v>
                </c:pt>
                <c:pt idx="572">
                  <c:v>29.5</c:v>
                </c:pt>
                <c:pt idx="573">
                  <c:v>34.700000000000003</c:v>
                </c:pt>
                <c:pt idx="574">
                  <c:v>30.1</c:v>
                </c:pt>
                <c:pt idx="575">
                  <c:v>35.5</c:v>
                </c:pt>
                <c:pt idx="576">
                  <c:v>24</c:v>
                </c:pt>
                <c:pt idx="577">
                  <c:v>42.9</c:v>
                </c:pt>
                <c:pt idx="578">
                  <c:v>27</c:v>
                </c:pt>
                <c:pt idx="579">
                  <c:v>34.700000000000003</c:v>
                </c:pt>
                <c:pt idx="580">
                  <c:v>42.1</c:v>
                </c:pt>
                <c:pt idx="581">
                  <c:v>25</c:v>
                </c:pt>
                <c:pt idx="582">
                  <c:v>26.5</c:v>
                </c:pt>
                <c:pt idx="583">
                  <c:v>38.700000000000003</c:v>
                </c:pt>
                <c:pt idx="584">
                  <c:v>28.7</c:v>
                </c:pt>
                <c:pt idx="585">
                  <c:v>22.5</c:v>
                </c:pt>
                <c:pt idx="586">
                  <c:v>34.9</c:v>
                </c:pt>
                <c:pt idx="587">
                  <c:v>24.3</c:v>
                </c:pt>
                <c:pt idx="588">
                  <c:v>33.299999999999997</c:v>
                </c:pt>
                <c:pt idx="589">
                  <c:v>21.1</c:v>
                </c:pt>
                <c:pt idx="590">
                  <c:v>46.8</c:v>
                </c:pt>
                <c:pt idx="591">
                  <c:v>39.4</c:v>
                </c:pt>
                <c:pt idx="592">
                  <c:v>34.4</c:v>
                </c:pt>
                <c:pt idx="593">
                  <c:v>28.5</c:v>
                </c:pt>
                <c:pt idx="594">
                  <c:v>33.6</c:v>
                </c:pt>
                <c:pt idx="595">
                  <c:v>32</c:v>
                </c:pt>
                <c:pt idx="596">
                  <c:v>45.3</c:v>
                </c:pt>
                <c:pt idx="597">
                  <c:v>27.8</c:v>
                </c:pt>
                <c:pt idx="598">
                  <c:v>36.799999999999997</c:v>
                </c:pt>
                <c:pt idx="599">
                  <c:v>23.1</c:v>
                </c:pt>
                <c:pt idx="600">
                  <c:v>27.1</c:v>
                </c:pt>
                <c:pt idx="601">
                  <c:v>23.7</c:v>
                </c:pt>
                <c:pt idx="602">
                  <c:v>27.8</c:v>
                </c:pt>
                <c:pt idx="603">
                  <c:v>35.200000000000003</c:v>
                </c:pt>
                <c:pt idx="604">
                  <c:v>28.4</c:v>
                </c:pt>
                <c:pt idx="605">
                  <c:v>35.799999999999997</c:v>
                </c:pt>
                <c:pt idx="606">
                  <c:v>40</c:v>
                </c:pt>
                <c:pt idx="607">
                  <c:v>19.5</c:v>
                </c:pt>
                <c:pt idx="608">
                  <c:v>41.5</c:v>
                </c:pt>
                <c:pt idx="609">
                  <c:v>24</c:v>
                </c:pt>
                <c:pt idx="610">
                  <c:v>30.9</c:v>
                </c:pt>
                <c:pt idx="611">
                  <c:v>32.9</c:v>
                </c:pt>
                <c:pt idx="612">
                  <c:v>38.200000000000003</c:v>
                </c:pt>
                <c:pt idx="613">
                  <c:v>32.5</c:v>
                </c:pt>
                <c:pt idx="614">
                  <c:v>36.1</c:v>
                </c:pt>
                <c:pt idx="615">
                  <c:v>25.8</c:v>
                </c:pt>
                <c:pt idx="616">
                  <c:v>28.7</c:v>
                </c:pt>
                <c:pt idx="617">
                  <c:v>20.100000000000001</c:v>
                </c:pt>
                <c:pt idx="618">
                  <c:v>28.2</c:v>
                </c:pt>
                <c:pt idx="619">
                  <c:v>32.4</c:v>
                </c:pt>
                <c:pt idx="620">
                  <c:v>38.4</c:v>
                </c:pt>
                <c:pt idx="621">
                  <c:v>24.2</c:v>
                </c:pt>
                <c:pt idx="622">
                  <c:v>40.799999999999997</c:v>
                </c:pt>
                <c:pt idx="623">
                  <c:v>43.5</c:v>
                </c:pt>
                <c:pt idx="624">
                  <c:v>30.8</c:v>
                </c:pt>
                <c:pt idx="625">
                  <c:v>37.700000000000003</c:v>
                </c:pt>
                <c:pt idx="626">
                  <c:v>24.7</c:v>
                </c:pt>
                <c:pt idx="627">
                  <c:v>32.4</c:v>
                </c:pt>
                <c:pt idx="628">
                  <c:v>34.6</c:v>
                </c:pt>
                <c:pt idx="629">
                  <c:v>24.7</c:v>
                </c:pt>
                <c:pt idx="630">
                  <c:v>27.4</c:v>
                </c:pt>
                <c:pt idx="631">
                  <c:v>34.5</c:v>
                </c:pt>
                <c:pt idx="632">
                  <c:v>26.2</c:v>
                </c:pt>
                <c:pt idx="633">
                  <c:v>27.5</c:v>
                </c:pt>
                <c:pt idx="634">
                  <c:v>25.9</c:v>
                </c:pt>
                <c:pt idx="635">
                  <c:v>31.2</c:v>
                </c:pt>
                <c:pt idx="636">
                  <c:v>28.8</c:v>
                </c:pt>
                <c:pt idx="637">
                  <c:v>31.6</c:v>
                </c:pt>
                <c:pt idx="638">
                  <c:v>40.9</c:v>
                </c:pt>
                <c:pt idx="639">
                  <c:v>19.5</c:v>
                </c:pt>
                <c:pt idx="640">
                  <c:v>29.3</c:v>
                </c:pt>
                <c:pt idx="641">
                  <c:v>34.299999999999997</c:v>
                </c:pt>
                <c:pt idx="642">
                  <c:v>29.5</c:v>
                </c:pt>
                <c:pt idx="643">
                  <c:v>28</c:v>
                </c:pt>
                <c:pt idx="644">
                  <c:v>27.6</c:v>
                </c:pt>
                <c:pt idx="645">
                  <c:v>39.4</c:v>
                </c:pt>
                <c:pt idx="646">
                  <c:v>23.4</c:v>
                </c:pt>
                <c:pt idx="647">
                  <c:v>37.799999999999997</c:v>
                </c:pt>
                <c:pt idx="648">
                  <c:v>28.3</c:v>
                </c:pt>
                <c:pt idx="649">
                  <c:v>26.4</c:v>
                </c:pt>
                <c:pt idx="650">
                  <c:v>25.2</c:v>
                </c:pt>
                <c:pt idx="651">
                  <c:v>33.799999999999997</c:v>
                </c:pt>
                <c:pt idx="652">
                  <c:v>34.1</c:v>
                </c:pt>
                <c:pt idx="653">
                  <c:v>26.8</c:v>
                </c:pt>
                <c:pt idx="654">
                  <c:v>34.200000000000003</c:v>
                </c:pt>
                <c:pt idx="655">
                  <c:v>38.700000000000003</c:v>
                </c:pt>
                <c:pt idx="656">
                  <c:v>21.8</c:v>
                </c:pt>
                <c:pt idx="657">
                  <c:v>38.9</c:v>
                </c:pt>
                <c:pt idx="658">
                  <c:v>39</c:v>
                </c:pt>
                <c:pt idx="659">
                  <c:v>34.200000000000003</c:v>
                </c:pt>
                <c:pt idx="660">
                  <c:v>27.7</c:v>
                </c:pt>
                <c:pt idx="661">
                  <c:v>42.9</c:v>
                </c:pt>
                <c:pt idx="662">
                  <c:v>37.6</c:v>
                </c:pt>
                <c:pt idx="663">
                  <c:v>37.9</c:v>
                </c:pt>
                <c:pt idx="664">
                  <c:v>33.700000000000003</c:v>
                </c:pt>
                <c:pt idx="665">
                  <c:v>34.799999999999997</c:v>
                </c:pt>
                <c:pt idx="666">
                  <c:v>32.5</c:v>
                </c:pt>
                <c:pt idx="667">
                  <c:v>27.5</c:v>
                </c:pt>
                <c:pt idx="668">
                  <c:v>34</c:v>
                </c:pt>
                <c:pt idx="669">
                  <c:v>30.9</c:v>
                </c:pt>
                <c:pt idx="670">
                  <c:v>33.6</c:v>
                </c:pt>
                <c:pt idx="671">
                  <c:v>25.4</c:v>
                </c:pt>
                <c:pt idx="672">
                  <c:v>35.5</c:v>
                </c:pt>
                <c:pt idx="673">
                  <c:v>57.3</c:v>
                </c:pt>
                <c:pt idx="674">
                  <c:v>35.6</c:v>
                </c:pt>
                <c:pt idx="675">
                  <c:v>30.9</c:v>
                </c:pt>
                <c:pt idx="676">
                  <c:v>24.8</c:v>
                </c:pt>
                <c:pt idx="677">
                  <c:v>35.299999999999997</c:v>
                </c:pt>
                <c:pt idx="678">
                  <c:v>36</c:v>
                </c:pt>
                <c:pt idx="679">
                  <c:v>24.2</c:v>
                </c:pt>
                <c:pt idx="680">
                  <c:v>24.2</c:v>
                </c:pt>
                <c:pt idx="681">
                  <c:v>49.6</c:v>
                </c:pt>
                <c:pt idx="682">
                  <c:v>44.6</c:v>
                </c:pt>
                <c:pt idx="683">
                  <c:v>32.299999999999997</c:v>
                </c:pt>
                <c:pt idx="684">
                  <c:v>32.299999999999997</c:v>
                </c:pt>
                <c:pt idx="685">
                  <c:v>33.200000000000003</c:v>
                </c:pt>
                <c:pt idx="686">
                  <c:v>23.1</c:v>
                </c:pt>
                <c:pt idx="687">
                  <c:v>28.3</c:v>
                </c:pt>
                <c:pt idx="688">
                  <c:v>24.1</c:v>
                </c:pt>
                <c:pt idx="689">
                  <c:v>46.1</c:v>
                </c:pt>
                <c:pt idx="690">
                  <c:v>24.6</c:v>
                </c:pt>
                <c:pt idx="691">
                  <c:v>42.3</c:v>
                </c:pt>
                <c:pt idx="692">
                  <c:v>39.1</c:v>
                </c:pt>
                <c:pt idx="693">
                  <c:v>38.5</c:v>
                </c:pt>
                <c:pt idx="694">
                  <c:v>23.5</c:v>
                </c:pt>
                <c:pt idx="695">
                  <c:v>30.4</c:v>
                </c:pt>
                <c:pt idx="696">
                  <c:v>29.9</c:v>
                </c:pt>
                <c:pt idx="697">
                  <c:v>25</c:v>
                </c:pt>
                <c:pt idx="698">
                  <c:v>34.5</c:v>
                </c:pt>
                <c:pt idx="699">
                  <c:v>44.5</c:v>
                </c:pt>
                <c:pt idx="700">
                  <c:v>35.9</c:v>
                </c:pt>
                <c:pt idx="701">
                  <c:v>27.6</c:v>
                </c:pt>
                <c:pt idx="702">
                  <c:v>35</c:v>
                </c:pt>
                <c:pt idx="703">
                  <c:v>38.5</c:v>
                </c:pt>
                <c:pt idx="704">
                  <c:v>28.4</c:v>
                </c:pt>
                <c:pt idx="705">
                  <c:v>39.799999999999997</c:v>
                </c:pt>
                <c:pt idx="706">
                  <c:v>32.299999999999997</c:v>
                </c:pt>
                <c:pt idx="707">
                  <c:v>34.4</c:v>
                </c:pt>
                <c:pt idx="708">
                  <c:v>32.799999999999997</c:v>
                </c:pt>
                <c:pt idx="709">
                  <c:v>38</c:v>
                </c:pt>
                <c:pt idx="710">
                  <c:v>31.2</c:v>
                </c:pt>
                <c:pt idx="711">
                  <c:v>29.6</c:v>
                </c:pt>
                <c:pt idx="712">
                  <c:v>41.2</c:v>
                </c:pt>
                <c:pt idx="713">
                  <c:v>26.4</c:v>
                </c:pt>
                <c:pt idx="714">
                  <c:v>29.5</c:v>
                </c:pt>
                <c:pt idx="715">
                  <c:v>33.9</c:v>
                </c:pt>
                <c:pt idx="716">
                  <c:v>33.799999999999997</c:v>
                </c:pt>
                <c:pt idx="717">
                  <c:v>23.1</c:v>
                </c:pt>
                <c:pt idx="718">
                  <c:v>35.5</c:v>
                </c:pt>
                <c:pt idx="719">
                  <c:v>35.6</c:v>
                </c:pt>
                <c:pt idx="720">
                  <c:v>29.3</c:v>
                </c:pt>
                <c:pt idx="721">
                  <c:v>38.1</c:v>
                </c:pt>
                <c:pt idx="722">
                  <c:v>29.3</c:v>
                </c:pt>
                <c:pt idx="723">
                  <c:v>39.1</c:v>
                </c:pt>
                <c:pt idx="724">
                  <c:v>32.799999999999997</c:v>
                </c:pt>
                <c:pt idx="725">
                  <c:v>39.4</c:v>
                </c:pt>
                <c:pt idx="726">
                  <c:v>36.1</c:v>
                </c:pt>
                <c:pt idx="727">
                  <c:v>32.4</c:v>
                </c:pt>
                <c:pt idx="728">
                  <c:v>22.9</c:v>
                </c:pt>
                <c:pt idx="729">
                  <c:v>30.1</c:v>
                </c:pt>
                <c:pt idx="730">
                  <c:v>28.4</c:v>
                </c:pt>
                <c:pt idx="731">
                  <c:v>28.4</c:v>
                </c:pt>
                <c:pt idx="732">
                  <c:v>44.5</c:v>
                </c:pt>
                <c:pt idx="733">
                  <c:v>29</c:v>
                </c:pt>
                <c:pt idx="734">
                  <c:v>23.3</c:v>
                </c:pt>
                <c:pt idx="735">
                  <c:v>35.4</c:v>
                </c:pt>
                <c:pt idx="736">
                  <c:v>27.4</c:v>
                </c:pt>
                <c:pt idx="737">
                  <c:v>32</c:v>
                </c:pt>
                <c:pt idx="738">
                  <c:v>36.6</c:v>
                </c:pt>
                <c:pt idx="739">
                  <c:v>39.5</c:v>
                </c:pt>
                <c:pt idx="740">
                  <c:v>42.3</c:v>
                </c:pt>
                <c:pt idx="741">
                  <c:v>30.8</c:v>
                </c:pt>
                <c:pt idx="742">
                  <c:v>28.5</c:v>
                </c:pt>
                <c:pt idx="743">
                  <c:v>32.700000000000003</c:v>
                </c:pt>
                <c:pt idx="744">
                  <c:v>40.6</c:v>
                </c:pt>
                <c:pt idx="745">
                  <c:v>30</c:v>
                </c:pt>
                <c:pt idx="746">
                  <c:v>49.3</c:v>
                </c:pt>
                <c:pt idx="747">
                  <c:v>46.3</c:v>
                </c:pt>
                <c:pt idx="748">
                  <c:v>36.4</c:v>
                </c:pt>
                <c:pt idx="749">
                  <c:v>24.3</c:v>
                </c:pt>
                <c:pt idx="750">
                  <c:v>31.2</c:v>
                </c:pt>
                <c:pt idx="751">
                  <c:v>39</c:v>
                </c:pt>
                <c:pt idx="752">
                  <c:v>26</c:v>
                </c:pt>
                <c:pt idx="753">
                  <c:v>43.3</c:v>
                </c:pt>
                <c:pt idx="754">
                  <c:v>32.4</c:v>
                </c:pt>
                <c:pt idx="755">
                  <c:v>36.5</c:v>
                </c:pt>
                <c:pt idx="756">
                  <c:v>32</c:v>
                </c:pt>
                <c:pt idx="757">
                  <c:v>36.299999999999997</c:v>
                </c:pt>
                <c:pt idx="758">
                  <c:v>37.5</c:v>
                </c:pt>
                <c:pt idx="759">
                  <c:v>35.5</c:v>
                </c:pt>
                <c:pt idx="760">
                  <c:v>28.4</c:v>
                </c:pt>
                <c:pt idx="761">
                  <c:v>44</c:v>
                </c:pt>
                <c:pt idx="762">
                  <c:v>22.5</c:v>
                </c:pt>
                <c:pt idx="763">
                  <c:v>32.9</c:v>
                </c:pt>
                <c:pt idx="764">
                  <c:v>36.799999999999997</c:v>
                </c:pt>
                <c:pt idx="765">
                  <c:v>26.2</c:v>
                </c:pt>
                <c:pt idx="766">
                  <c:v>30.1</c:v>
                </c:pt>
                <c:pt idx="767">
                  <c:v>30.4</c:v>
                </c:pt>
              </c:numCache>
            </c:numRef>
          </c:yVal>
          <c:smooth val="0"/>
          <c:extLst>
            <c:ext xmlns:c16="http://schemas.microsoft.com/office/drawing/2014/chart" uri="{C3380CC4-5D6E-409C-BE32-E72D297353CC}">
              <c16:uniqueId val="{00000004-FBCD-4B6A-83BB-61742DB7B2FC}"/>
            </c:ext>
          </c:extLst>
        </c:ser>
        <c:ser>
          <c:idx val="1"/>
          <c:order val="1"/>
          <c:tx>
            <c:v>1</c:v>
          </c:tx>
          <c:spPr>
            <a:ln w="25400" cap="rnd">
              <a:noFill/>
              <a:round/>
            </a:ln>
            <a:effectLst/>
          </c:spPr>
          <c:marker>
            <c:symbol val="circle"/>
            <c:size val="5"/>
            <c:spPr>
              <a:solidFill>
                <a:schemeClr val="accent2"/>
              </a:solidFill>
              <a:ln w="9525">
                <a:solidFill>
                  <a:schemeClr val="accent2"/>
                </a:solidFill>
              </a:ln>
              <a:effectLst/>
            </c:spPr>
          </c:marker>
          <c:xVal>
            <c:numRef>
              <c:f>diabetes!$S$2:$S$769</c:f>
              <c:numCache>
                <c:formatCode>General</c:formatCode>
                <c:ptCount val="768"/>
                <c:pt idx="0">
                  <c:v>35</c:v>
                </c:pt>
                <c:pt idx="1">
                  <c:v>#N/A</c:v>
                </c:pt>
                <c:pt idx="2">
                  <c:v>29</c:v>
                </c:pt>
                <c:pt idx="3">
                  <c:v>#N/A</c:v>
                </c:pt>
                <c:pt idx="4">
                  <c:v>35</c:v>
                </c:pt>
                <c:pt idx="5">
                  <c:v>#N/A</c:v>
                </c:pt>
                <c:pt idx="6">
                  <c:v>32</c:v>
                </c:pt>
                <c:pt idx="7">
                  <c:v>#N/A</c:v>
                </c:pt>
                <c:pt idx="8">
                  <c:v>45</c:v>
                </c:pt>
                <c:pt idx="9">
                  <c:v>29</c:v>
                </c:pt>
                <c:pt idx="10">
                  <c:v>#N/A</c:v>
                </c:pt>
                <c:pt idx="11">
                  <c:v>29</c:v>
                </c:pt>
                <c:pt idx="12">
                  <c:v>#N/A</c:v>
                </c:pt>
                <c:pt idx="13">
                  <c:v>23</c:v>
                </c:pt>
                <c:pt idx="14">
                  <c:v>19</c:v>
                </c:pt>
                <c:pt idx="15">
                  <c:v>29</c:v>
                </c:pt>
                <c:pt idx="16">
                  <c:v>47</c:v>
                </c:pt>
                <c:pt idx="17">
                  <c:v>29</c:v>
                </c:pt>
                <c:pt idx="18">
                  <c:v>#N/A</c:v>
                </c:pt>
                <c:pt idx="19">
                  <c:v>30</c:v>
                </c:pt>
                <c:pt idx="20">
                  <c:v>#N/A</c:v>
                </c:pt>
                <c:pt idx="21">
                  <c:v>#N/A</c:v>
                </c:pt>
                <c:pt idx="22">
                  <c:v>29</c:v>
                </c:pt>
                <c:pt idx="23">
                  <c:v>35</c:v>
                </c:pt>
                <c:pt idx="24">
                  <c:v>33</c:v>
                </c:pt>
                <c:pt idx="25">
                  <c:v>26</c:v>
                </c:pt>
                <c:pt idx="26">
                  <c:v>29</c:v>
                </c:pt>
                <c:pt idx="27">
                  <c:v>#N/A</c:v>
                </c:pt>
                <c:pt idx="28">
                  <c:v>#N/A</c:v>
                </c:pt>
                <c:pt idx="29">
                  <c:v>#N/A</c:v>
                </c:pt>
                <c:pt idx="30">
                  <c:v>#N/A</c:v>
                </c:pt>
                <c:pt idx="31">
                  <c:v>36</c:v>
                </c:pt>
                <c:pt idx="32">
                  <c:v>#N/A</c:v>
                </c:pt>
                <c:pt idx="33">
                  <c:v>#N/A</c:v>
                </c:pt>
                <c:pt idx="34">
                  <c:v>#N/A</c:v>
                </c:pt>
                <c:pt idx="35">
                  <c:v>#N/A</c:v>
                </c:pt>
                <c:pt idx="36">
                  <c:v>#N/A</c:v>
                </c:pt>
                <c:pt idx="37">
                  <c:v>37</c:v>
                </c:pt>
                <c:pt idx="38">
                  <c:v>42</c:v>
                </c:pt>
                <c:pt idx="39">
                  <c:v>47</c:v>
                </c:pt>
                <c:pt idx="40">
                  <c:v>#N/A</c:v>
                </c:pt>
                <c:pt idx="41">
                  <c:v>#N/A</c:v>
                </c:pt>
                <c:pt idx="42">
                  <c:v>#N/A</c:v>
                </c:pt>
                <c:pt idx="43">
                  <c:v>24</c:v>
                </c:pt>
                <c:pt idx="44">
                  <c:v>#N/A</c:v>
                </c:pt>
                <c:pt idx="45">
                  <c:v>39</c:v>
                </c:pt>
                <c:pt idx="46">
                  <c:v>#N/A</c:v>
                </c:pt>
                <c:pt idx="47">
                  <c:v>#N/A</c:v>
                </c:pt>
                <c:pt idx="48">
                  <c:v>32</c:v>
                </c:pt>
                <c:pt idx="49">
                  <c:v>#N/A</c:v>
                </c:pt>
                <c:pt idx="50">
                  <c:v>#N/A</c:v>
                </c:pt>
                <c:pt idx="51">
                  <c:v>#N/A</c:v>
                </c:pt>
                <c:pt idx="52">
                  <c:v>#N/A</c:v>
                </c:pt>
                <c:pt idx="53">
                  <c:v>34</c:v>
                </c:pt>
                <c:pt idx="54">
                  <c:v>#N/A</c:v>
                </c:pt>
                <c:pt idx="55">
                  <c:v>#N/A</c:v>
                </c:pt>
                <c:pt idx="56">
                  <c:v>39</c:v>
                </c:pt>
                <c:pt idx="57">
                  <c:v>#N/A</c:v>
                </c:pt>
                <c:pt idx="58">
                  <c:v>#N/A</c:v>
                </c:pt>
                <c:pt idx="59">
                  <c:v>#N/A</c:v>
                </c:pt>
                <c:pt idx="60">
                  <c:v>#N/A</c:v>
                </c:pt>
                <c:pt idx="61">
                  <c:v>29</c:v>
                </c:pt>
                <c:pt idx="62">
                  <c:v>#N/A</c:v>
                </c:pt>
                <c:pt idx="63">
                  <c:v>#N/A</c:v>
                </c:pt>
                <c:pt idx="64">
                  <c:v>29</c:v>
                </c:pt>
                <c:pt idx="65">
                  <c:v>#N/A</c:v>
                </c:pt>
                <c:pt idx="66">
                  <c:v>30</c:v>
                </c:pt>
                <c:pt idx="67">
                  <c:v>#N/A</c:v>
                </c:pt>
                <c:pt idx="68">
                  <c:v>#N/A</c:v>
                </c:pt>
                <c:pt idx="69">
                  <c:v>#N/A</c:v>
                </c:pt>
                <c:pt idx="70">
                  <c:v>20</c:v>
                </c:pt>
                <c:pt idx="71">
                  <c:v>#N/A</c:v>
                </c:pt>
                <c:pt idx="72">
                  <c:v>29</c:v>
                </c:pt>
                <c:pt idx="73">
                  <c:v>#N/A</c:v>
                </c:pt>
                <c:pt idx="74">
                  <c:v>#N/A</c:v>
                </c:pt>
                <c:pt idx="75">
                  <c:v>#N/A</c:v>
                </c:pt>
                <c:pt idx="76">
                  <c:v>#N/A</c:v>
                </c:pt>
                <c:pt idx="77">
                  <c:v>#N/A</c:v>
                </c:pt>
                <c:pt idx="78">
                  <c:v>29</c:v>
                </c:pt>
                <c:pt idx="79">
                  <c:v>#N/A</c:v>
                </c:pt>
                <c:pt idx="80">
                  <c:v>#N/A</c:v>
                </c:pt>
                <c:pt idx="81">
                  <c:v>#N/A</c:v>
                </c:pt>
                <c:pt idx="82">
                  <c:v>#N/A</c:v>
                </c:pt>
                <c:pt idx="83">
                  <c:v>#N/A</c:v>
                </c:pt>
                <c:pt idx="84">
                  <c:v>29</c:v>
                </c:pt>
                <c:pt idx="85">
                  <c:v>#N/A</c:v>
                </c:pt>
                <c:pt idx="86">
                  <c:v>#N/A</c:v>
                </c:pt>
                <c:pt idx="87">
                  <c:v>#N/A</c:v>
                </c:pt>
                <c:pt idx="88">
                  <c:v>32</c:v>
                </c:pt>
                <c:pt idx="89">
                  <c:v>#N/A</c:v>
                </c:pt>
                <c:pt idx="90">
                  <c:v>#N/A</c:v>
                </c:pt>
                <c:pt idx="91">
                  <c:v>#N/A</c:v>
                </c:pt>
                <c:pt idx="92">
                  <c:v>#N/A</c:v>
                </c:pt>
                <c:pt idx="93">
                  <c:v>29</c:v>
                </c:pt>
                <c:pt idx="94">
                  <c:v>#N/A</c:v>
                </c:pt>
                <c:pt idx="95">
                  <c:v>#N/A</c:v>
                </c:pt>
                <c:pt idx="96">
                  <c:v>#N/A</c:v>
                </c:pt>
                <c:pt idx="97">
                  <c:v>#N/A</c:v>
                </c:pt>
                <c:pt idx="98">
                  <c:v>#N/A</c:v>
                </c:pt>
                <c:pt idx="99">
                  <c:v>51</c:v>
                </c:pt>
                <c:pt idx="100">
                  <c:v>29</c:v>
                </c:pt>
                <c:pt idx="101">
                  <c:v>#N/A</c:v>
                </c:pt>
                <c:pt idx="102">
                  <c:v>#N/A</c:v>
                </c:pt>
                <c:pt idx="103">
                  <c:v>#N/A</c:v>
                </c:pt>
                <c:pt idx="104">
                  <c:v>#N/A</c:v>
                </c:pt>
                <c:pt idx="105">
                  <c:v>#N/A</c:v>
                </c:pt>
                <c:pt idx="106">
                  <c:v>#N/A</c:v>
                </c:pt>
                <c:pt idx="107">
                  <c:v>#N/A</c:v>
                </c:pt>
                <c:pt idx="108">
                  <c:v>#N/A</c:v>
                </c:pt>
                <c:pt idx="109">
                  <c:v>25</c:v>
                </c:pt>
                <c:pt idx="110">
                  <c:v>33</c:v>
                </c:pt>
                <c:pt idx="111">
                  <c:v>26</c:v>
                </c:pt>
                <c:pt idx="112">
                  <c:v>#N/A</c:v>
                </c:pt>
                <c:pt idx="113">
                  <c:v>#N/A</c:v>
                </c:pt>
                <c:pt idx="114">
                  <c:v>32</c:v>
                </c:pt>
                <c:pt idx="115">
                  <c:v>29</c:v>
                </c:pt>
                <c:pt idx="116">
                  <c:v>29</c:v>
                </c:pt>
                <c:pt idx="117">
                  <c:v>#N/A</c:v>
                </c:pt>
                <c:pt idx="118">
                  <c:v>#N/A</c:v>
                </c:pt>
                <c:pt idx="119">
                  <c:v>#N/A</c:v>
                </c:pt>
                <c:pt idx="120">
                  <c:v>56</c:v>
                </c:pt>
                <c:pt idx="121">
                  <c:v>#N/A</c:v>
                </c:pt>
                <c:pt idx="122">
                  <c:v>#N/A</c:v>
                </c:pt>
                <c:pt idx="123">
                  <c:v>#N/A</c:v>
                </c:pt>
                <c:pt idx="124">
                  <c:v>29</c:v>
                </c:pt>
                <c:pt idx="125">
                  <c:v>42</c:v>
                </c:pt>
                <c:pt idx="126">
                  <c:v>#N/A</c:v>
                </c:pt>
                <c:pt idx="127">
                  <c:v>#N/A</c:v>
                </c:pt>
                <c:pt idx="128">
                  <c:v>24</c:v>
                </c:pt>
                <c:pt idx="129">
                  <c:v>29</c:v>
                </c:pt>
                <c:pt idx="130">
                  <c:v>14</c:v>
                </c:pt>
                <c:pt idx="131">
                  <c:v>29</c:v>
                </c:pt>
                <c:pt idx="132">
                  <c:v>37</c:v>
                </c:pt>
                <c:pt idx="133">
                  <c:v>#N/A</c:v>
                </c:pt>
                <c:pt idx="134">
                  <c:v>#N/A</c:v>
                </c:pt>
                <c:pt idx="135">
                  <c:v>#N/A</c:v>
                </c:pt>
                <c:pt idx="136">
                  <c:v>#N/A</c:v>
                </c:pt>
                <c:pt idx="137">
                  <c:v>#N/A</c:v>
                </c:pt>
                <c:pt idx="138">
                  <c:v>#N/A</c:v>
                </c:pt>
                <c:pt idx="139">
                  <c:v>#N/A</c:v>
                </c:pt>
                <c:pt idx="140">
                  <c:v>#N/A</c:v>
                </c:pt>
                <c:pt idx="141">
                  <c:v>#N/A</c:v>
                </c:pt>
                <c:pt idx="142">
                  <c:v>#N/A</c:v>
                </c:pt>
                <c:pt idx="143">
                  <c:v>29</c:v>
                </c:pt>
                <c:pt idx="144">
                  <c:v>#N/A</c:v>
                </c:pt>
                <c:pt idx="145">
                  <c:v>#N/A</c:v>
                </c:pt>
                <c:pt idx="146">
                  <c:v>#N/A</c:v>
                </c:pt>
                <c:pt idx="147">
                  <c:v>#N/A</c:v>
                </c:pt>
                <c:pt idx="148">
                  <c:v>#N/A</c:v>
                </c:pt>
                <c:pt idx="149">
                  <c:v>#N/A</c:v>
                </c:pt>
                <c:pt idx="150">
                  <c:v>#N/A</c:v>
                </c:pt>
                <c:pt idx="151">
                  <c:v>#N/A</c:v>
                </c:pt>
                <c:pt idx="152">
                  <c:v>28</c:v>
                </c:pt>
                <c:pt idx="153">
                  <c:v>#N/A</c:v>
                </c:pt>
                <c:pt idx="154">
                  <c:v>29</c:v>
                </c:pt>
                <c:pt idx="155">
                  <c:v>44</c:v>
                </c:pt>
                <c:pt idx="156">
                  <c:v>#N/A</c:v>
                </c:pt>
                <c:pt idx="157">
                  <c:v>#N/A</c:v>
                </c:pt>
                <c:pt idx="158">
                  <c:v>#N/A</c:v>
                </c:pt>
                <c:pt idx="159">
                  <c:v>41</c:v>
                </c:pt>
                <c:pt idx="160">
                  <c:v>#N/A</c:v>
                </c:pt>
                <c:pt idx="161">
                  <c:v>#N/A</c:v>
                </c:pt>
                <c:pt idx="162">
                  <c:v>#N/A</c:v>
                </c:pt>
                <c:pt idx="163">
                  <c:v>#N/A</c:v>
                </c:pt>
                <c:pt idx="164">
                  <c:v>29</c:v>
                </c:pt>
                <c:pt idx="165">
                  <c:v>18</c:v>
                </c:pt>
                <c:pt idx="166">
                  <c:v>#N/A</c:v>
                </c:pt>
                <c:pt idx="167">
                  <c:v>#N/A</c:v>
                </c:pt>
                <c:pt idx="168">
                  <c:v>#N/A</c:v>
                </c:pt>
                <c:pt idx="169">
                  <c:v>#N/A</c:v>
                </c:pt>
                <c:pt idx="170">
                  <c:v>29</c:v>
                </c:pt>
                <c:pt idx="171">
                  <c:v>23</c:v>
                </c:pt>
                <c:pt idx="172">
                  <c:v>#N/A</c:v>
                </c:pt>
                <c:pt idx="173">
                  <c:v>#N/A</c:v>
                </c:pt>
                <c:pt idx="174">
                  <c:v>#N/A</c:v>
                </c:pt>
                <c:pt idx="175">
                  <c:v>42</c:v>
                </c:pt>
                <c:pt idx="176">
                  <c:v>#N/A</c:v>
                </c:pt>
                <c:pt idx="177">
                  <c:v>46</c:v>
                </c:pt>
                <c:pt idx="178">
                  <c:v>#N/A</c:v>
                </c:pt>
                <c:pt idx="179">
                  <c:v>29</c:v>
                </c:pt>
                <c:pt idx="180">
                  <c:v>#N/A</c:v>
                </c:pt>
                <c:pt idx="181">
                  <c:v>#N/A</c:v>
                </c:pt>
                <c:pt idx="182">
                  <c:v>#N/A</c:v>
                </c:pt>
                <c:pt idx="183">
                  <c:v>#N/A</c:v>
                </c:pt>
                <c:pt idx="184">
                  <c:v>#N/A</c:v>
                </c:pt>
                <c:pt idx="185">
                  <c:v>28</c:v>
                </c:pt>
                <c:pt idx="186">
                  <c:v>36</c:v>
                </c:pt>
                <c:pt idx="187">
                  <c:v>41</c:v>
                </c:pt>
                <c:pt idx="188">
                  <c:v>39</c:v>
                </c:pt>
                <c:pt idx="189">
                  <c:v>35</c:v>
                </c:pt>
                <c:pt idx="190">
                  <c:v>#N/A</c:v>
                </c:pt>
                <c:pt idx="191">
                  <c:v>#N/A</c:v>
                </c:pt>
                <c:pt idx="192">
                  <c:v>29</c:v>
                </c:pt>
                <c:pt idx="193">
                  <c:v>29</c:v>
                </c:pt>
                <c:pt idx="194">
                  <c:v>#N/A</c:v>
                </c:pt>
                <c:pt idx="195">
                  <c:v>41</c:v>
                </c:pt>
                <c:pt idx="196">
                  <c:v>#N/A</c:v>
                </c:pt>
                <c:pt idx="197">
                  <c:v>13</c:v>
                </c:pt>
                <c:pt idx="198">
                  <c:v>44</c:v>
                </c:pt>
                <c:pt idx="199">
                  <c:v>27</c:v>
                </c:pt>
                <c:pt idx="200">
                  <c:v>#N/A</c:v>
                </c:pt>
                <c:pt idx="201">
                  <c:v>#N/A</c:v>
                </c:pt>
                <c:pt idx="202">
                  <c:v>#N/A</c:v>
                </c:pt>
                <c:pt idx="203">
                  <c:v>#N/A</c:v>
                </c:pt>
                <c:pt idx="204">
                  <c:v>#N/A</c:v>
                </c:pt>
                <c:pt idx="205">
                  <c:v>#N/A</c:v>
                </c:pt>
                <c:pt idx="206">
                  <c:v>29</c:v>
                </c:pt>
                <c:pt idx="207">
                  <c:v>29</c:v>
                </c:pt>
                <c:pt idx="208">
                  <c:v>#N/A</c:v>
                </c:pt>
                <c:pt idx="209">
                  <c:v>33</c:v>
                </c:pt>
                <c:pt idx="210">
                  <c:v>#N/A</c:v>
                </c:pt>
                <c:pt idx="211">
                  <c:v>#N/A</c:v>
                </c:pt>
                <c:pt idx="212">
                  <c:v>#N/A</c:v>
                </c:pt>
                <c:pt idx="213">
                  <c:v>26</c:v>
                </c:pt>
                <c:pt idx="214">
                  <c:v>32</c:v>
                </c:pt>
                <c:pt idx="215">
                  <c:v>40</c:v>
                </c:pt>
                <c:pt idx="216">
                  <c:v>41</c:v>
                </c:pt>
                <c:pt idx="217">
                  <c:v>#N/A</c:v>
                </c:pt>
                <c:pt idx="218">
                  <c:v>22</c:v>
                </c:pt>
                <c:pt idx="219">
                  <c:v>29</c:v>
                </c:pt>
                <c:pt idx="220">
                  <c:v>29</c:v>
                </c:pt>
                <c:pt idx="221">
                  <c:v>29</c:v>
                </c:pt>
                <c:pt idx="222">
                  <c:v>#N/A</c:v>
                </c:pt>
                <c:pt idx="223">
                  <c:v>#N/A</c:v>
                </c:pt>
                <c:pt idx="224">
                  <c:v>#N/A</c:v>
                </c:pt>
                <c:pt idx="225">
                  <c:v>#N/A</c:v>
                </c:pt>
                <c:pt idx="226">
                  <c:v>#N/A</c:v>
                </c:pt>
                <c:pt idx="227">
                  <c:v>38</c:v>
                </c:pt>
                <c:pt idx="228">
                  <c:v>#N/A</c:v>
                </c:pt>
                <c:pt idx="229">
                  <c:v>#N/A</c:v>
                </c:pt>
                <c:pt idx="230">
                  <c:v>29</c:v>
                </c:pt>
                <c:pt idx="231">
                  <c:v>37</c:v>
                </c:pt>
                <c:pt idx="232">
                  <c:v>#N/A</c:v>
                </c:pt>
                <c:pt idx="233">
                  <c:v>#N/A</c:v>
                </c:pt>
                <c:pt idx="234">
                  <c:v>#N/A</c:v>
                </c:pt>
                <c:pt idx="235">
                  <c:v>29</c:v>
                </c:pt>
                <c:pt idx="236">
                  <c:v>21</c:v>
                </c:pt>
                <c:pt idx="237">
                  <c:v>27</c:v>
                </c:pt>
                <c:pt idx="238">
                  <c:v>21</c:v>
                </c:pt>
                <c:pt idx="239">
                  <c:v>#N/A</c:v>
                </c:pt>
                <c:pt idx="240">
                  <c:v>#N/A</c:v>
                </c:pt>
                <c:pt idx="241">
                  <c:v>#N/A</c:v>
                </c:pt>
                <c:pt idx="242">
                  <c:v>29</c:v>
                </c:pt>
                <c:pt idx="243">
                  <c:v>22</c:v>
                </c:pt>
                <c:pt idx="244">
                  <c:v>#N/A</c:v>
                </c:pt>
                <c:pt idx="245">
                  <c:v>15</c:v>
                </c:pt>
                <c:pt idx="246">
                  <c:v>#N/A</c:v>
                </c:pt>
                <c:pt idx="247">
                  <c:v>#N/A</c:v>
                </c:pt>
                <c:pt idx="248">
                  <c:v>#N/A</c:v>
                </c:pt>
                <c:pt idx="249">
                  <c:v>#N/A</c:v>
                </c:pt>
                <c:pt idx="250">
                  <c:v>#N/A</c:v>
                </c:pt>
                <c:pt idx="251">
                  <c:v>#N/A</c:v>
                </c:pt>
                <c:pt idx="252">
                  <c:v>#N/A</c:v>
                </c:pt>
                <c:pt idx="253">
                  <c:v>#N/A</c:v>
                </c:pt>
                <c:pt idx="254">
                  <c:v>7</c:v>
                </c:pt>
                <c:pt idx="255">
                  <c:v>35</c:v>
                </c:pt>
                <c:pt idx="256">
                  <c:v>#N/A</c:v>
                </c:pt>
                <c:pt idx="257">
                  <c:v>#N/A</c:v>
                </c:pt>
                <c:pt idx="258">
                  <c:v>#N/A</c:v>
                </c:pt>
                <c:pt idx="259">
                  <c:v>28</c:v>
                </c:pt>
                <c:pt idx="260">
                  <c:v>#N/A</c:v>
                </c:pt>
                <c:pt idx="261">
                  <c:v>29</c:v>
                </c:pt>
                <c:pt idx="262">
                  <c:v>#N/A</c:v>
                </c:pt>
                <c:pt idx="263">
                  <c:v>#N/A</c:v>
                </c:pt>
                <c:pt idx="264">
                  <c:v>29</c:v>
                </c:pt>
                <c:pt idx="265">
                  <c:v>#N/A</c:v>
                </c:pt>
                <c:pt idx="266">
                  <c:v>29</c:v>
                </c:pt>
                <c:pt idx="267">
                  <c:v>#N/A</c:v>
                </c:pt>
                <c:pt idx="268">
                  <c:v>#N/A</c:v>
                </c:pt>
                <c:pt idx="269">
                  <c:v>29</c:v>
                </c:pt>
                <c:pt idx="270">
                  <c:v>37</c:v>
                </c:pt>
                <c:pt idx="271">
                  <c:v>#N/A</c:v>
                </c:pt>
                <c:pt idx="272">
                  <c:v>#N/A</c:v>
                </c:pt>
                <c:pt idx="273">
                  <c:v>#N/A</c:v>
                </c:pt>
                <c:pt idx="274">
                  <c:v>#N/A</c:v>
                </c:pt>
                <c:pt idx="275">
                  <c:v>#N/A</c:v>
                </c:pt>
                <c:pt idx="276">
                  <c:v>24</c:v>
                </c:pt>
                <c:pt idx="277">
                  <c:v>#N/A</c:v>
                </c:pt>
                <c:pt idx="278">
                  <c:v>#N/A</c:v>
                </c:pt>
                <c:pt idx="279">
                  <c:v>#N/A</c:v>
                </c:pt>
                <c:pt idx="280">
                  <c:v>29</c:v>
                </c:pt>
                <c:pt idx="281">
                  <c:v>#N/A</c:v>
                </c:pt>
                <c:pt idx="282">
                  <c:v>#N/A</c:v>
                </c:pt>
                <c:pt idx="283">
                  <c:v>29</c:v>
                </c:pt>
                <c:pt idx="284">
                  <c:v>29</c:v>
                </c:pt>
                <c:pt idx="285">
                  <c:v>#N/A</c:v>
                </c:pt>
                <c:pt idx="286">
                  <c:v>#N/A</c:v>
                </c:pt>
                <c:pt idx="287">
                  <c:v>39</c:v>
                </c:pt>
                <c:pt idx="288">
                  <c:v>#N/A</c:v>
                </c:pt>
                <c:pt idx="289">
                  <c:v>#N/A</c:v>
                </c:pt>
                <c:pt idx="290">
                  <c:v>#N/A</c:v>
                </c:pt>
                <c:pt idx="291">
                  <c:v>30</c:v>
                </c:pt>
                <c:pt idx="292">
                  <c:v>37</c:v>
                </c:pt>
                <c:pt idx="293">
                  <c:v>45</c:v>
                </c:pt>
                <c:pt idx="294">
                  <c:v>#N/A</c:v>
                </c:pt>
                <c:pt idx="295">
                  <c:v>#N/A</c:v>
                </c:pt>
                <c:pt idx="296">
                  <c:v>38</c:v>
                </c:pt>
                <c:pt idx="297">
                  <c:v>#N/A</c:v>
                </c:pt>
                <c:pt idx="298">
                  <c:v>25</c:v>
                </c:pt>
                <c:pt idx="299">
                  <c:v>#N/A</c:v>
                </c:pt>
                <c:pt idx="300">
                  <c:v>29</c:v>
                </c:pt>
                <c:pt idx="301">
                  <c:v>33</c:v>
                </c:pt>
                <c:pt idx="302">
                  <c:v>#N/A</c:v>
                </c:pt>
                <c:pt idx="303">
                  <c:v>29</c:v>
                </c:pt>
                <c:pt idx="304">
                  <c:v>#N/A</c:v>
                </c:pt>
                <c:pt idx="305">
                  <c:v>#N/A</c:v>
                </c:pt>
                <c:pt idx="306">
                  <c:v>23</c:v>
                </c:pt>
                <c:pt idx="307">
                  <c:v>#N/A</c:v>
                </c:pt>
                <c:pt idx="308">
                  <c:v>19</c:v>
                </c:pt>
                <c:pt idx="309">
                  <c:v>28</c:v>
                </c:pt>
                <c:pt idx="310">
                  <c:v>#N/A</c:v>
                </c:pt>
                <c:pt idx="311">
                  <c:v>#N/A</c:v>
                </c:pt>
                <c:pt idx="312">
                  <c:v>17</c:v>
                </c:pt>
                <c:pt idx="313">
                  <c:v>#N/A</c:v>
                </c:pt>
                <c:pt idx="314">
                  <c:v>31</c:v>
                </c:pt>
                <c:pt idx="315">
                  <c:v>#N/A</c:v>
                </c:pt>
                <c:pt idx="316">
                  <c:v>#N/A</c:v>
                </c:pt>
                <c:pt idx="317">
                  <c:v>29</c:v>
                </c:pt>
                <c:pt idx="318">
                  <c:v>#N/A</c:v>
                </c:pt>
                <c:pt idx="319">
                  <c:v>29</c:v>
                </c:pt>
                <c:pt idx="320">
                  <c:v>#N/A</c:v>
                </c:pt>
                <c:pt idx="321">
                  <c:v>30</c:v>
                </c:pt>
                <c:pt idx="322">
                  <c:v>20</c:v>
                </c:pt>
                <c:pt idx="323">
                  <c:v>33</c:v>
                </c:pt>
                <c:pt idx="324">
                  <c:v>#N/A</c:v>
                </c:pt>
                <c:pt idx="325">
                  <c:v>#N/A</c:v>
                </c:pt>
                <c:pt idx="326">
                  <c:v>32</c:v>
                </c:pt>
                <c:pt idx="327">
                  <c:v>#N/A</c:v>
                </c:pt>
                <c:pt idx="328">
                  <c:v>36</c:v>
                </c:pt>
                <c:pt idx="329">
                  <c:v>#N/A</c:v>
                </c:pt>
                <c:pt idx="330">
                  <c:v>#N/A</c:v>
                </c:pt>
                <c:pt idx="331">
                  <c:v>#N/A</c:v>
                </c:pt>
                <c:pt idx="332">
                  <c:v>29</c:v>
                </c:pt>
                <c:pt idx="333">
                  <c:v>#N/A</c:v>
                </c:pt>
                <c:pt idx="334">
                  <c:v>#N/A</c:v>
                </c:pt>
                <c:pt idx="335">
                  <c:v>#N/A</c:v>
                </c:pt>
                <c:pt idx="336">
                  <c:v>#N/A</c:v>
                </c:pt>
                <c:pt idx="337">
                  <c:v>29</c:v>
                </c:pt>
                <c:pt idx="338">
                  <c:v>34</c:v>
                </c:pt>
                <c:pt idx="339">
                  <c:v>29</c:v>
                </c:pt>
                <c:pt idx="340">
                  <c:v>#N/A</c:v>
                </c:pt>
                <c:pt idx="341">
                  <c:v>#N/A</c:v>
                </c:pt>
                <c:pt idx="342">
                  <c:v>#N/A</c:v>
                </c:pt>
                <c:pt idx="343">
                  <c:v>#N/A</c:v>
                </c:pt>
                <c:pt idx="344">
                  <c:v>#N/A</c:v>
                </c:pt>
                <c:pt idx="345">
                  <c:v>#N/A</c:v>
                </c:pt>
                <c:pt idx="346">
                  <c:v>#N/A</c:v>
                </c:pt>
                <c:pt idx="347">
                  <c:v>#N/A</c:v>
                </c:pt>
                <c:pt idx="348">
                  <c:v>#N/A</c:v>
                </c:pt>
                <c:pt idx="349">
                  <c:v>32</c:v>
                </c:pt>
                <c:pt idx="350">
                  <c:v>#N/A</c:v>
                </c:pt>
                <c:pt idx="351">
                  <c:v>#N/A</c:v>
                </c:pt>
                <c:pt idx="352">
                  <c:v>#N/A</c:v>
                </c:pt>
                <c:pt idx="353">
                  <c:v>#N/A</c:v>
                </c:pt>
                <c:pt idx="354">
                  <c:v>#N/A</c:v>
                </c:pt>
                <c:pt idx="355">
                  <c:v>29</c:v>
                </c:pt>
                <c:pt idx="356">
                  <c:v>40</c:v>
                </c:pt>
                <c:pt idx="357">
                  <c:v>30</c:v>
                </c:pt>
                <c:pt idx="358">
                  <c:v>#N/A</c:v>
                </c:pt>
                <c:pt idx="359">
                  <c:v>36</c:v>
                </c:pt>
                <c:pt idx="360">
                  <c:v>33</c:v>
                </c:pt>
                <c:pt idx="361">
                  <c:v>#N/A</c:v>
                </c:pt>
                <c:pt idx="362">
                  <c:v>#N/A</c:v>
                </c:pt>
                <c:pt idx="363">
                  <c:v>29</c:v>
                </c:pt>
                <c:pt idx="364">
                  <c:v>#N/A</c:v>
                </c:pt>
                <c:pt idx="365">
                  <c:v>#N/A</c:v>
                </c:pt>
                <c:pt idx="366">
                  <c:v>29</c:v>
                </c:pt>
                <c:pt idx="367">
                  <c:v>#N/A</c:v>
                </c:pt>
                <c:pt idx="368">
                  <c:v>#N/A</c:v>
                </c:pt>
                <c:pt idx="369">
                  <c:v>28</c:v>
                </c:pt>
                <c:pt idx="370">
                  <c:v>48</c:v>
                </c:pt>
                <c:pt idx="371">
                  <c:v>#N/A</c:v>
                </c:pt>
                <c:pt idx="372">
                  <c:v>#N/A</c:v>
                </c:pt>
                <c:pt idx="373">
                  <c:v>#N/A</c:v>
                </c:pt>
                <c:pt idx="374">
                  <c:v>#N/A</c:v>
                </c:pt>
                <c:pt idx="375">
                  <c:v>43</c:v>
                </c:pt>
                <c:pt idx="376">
                  <c:v>#N/A</c:v>
                </c:pt>
                <c:pt idx="377">
                  <c:v>#N/A</c:v>
                </c:pt>
                <c:pt idx="378">
                  <c:v>29</c:v>
                </c:pt>
                <c:pt idx="379">
                  <c:v>#N/A</c:v>
                </c:pt>
                <c:pt idx="380">
                  <c:v>#N/A</c:v>
                </c:pt>
                <c:pt idx="381">
                  <c:v>#N/A</c:v>
                </c:pt>
                <c:pt idx="382">
                  <c:v>#N/A</c:v>
                </c:pt>
                <c:pt idx="383">
                  <c:v>#N/A</c:v>
                </c:pt>
                <c:pt idx="384">
                  <c:v>#N/A</c:v>
                </c:pt>
                <c:pt idx="385">
                  <c:v>#N/A</c:v>
                </c:pt>
                <c:pt idx="386">
                  <c:v>29</c:v>
                </c:pt>
                <c:pt idx="387">
                  <c:v>36</c:v>
                </c:pt>
                <c:pt idx="388">
                  <c:v>26</c:v>
                </c:pt>
                <c:pt idx="389">
                  <c:v>#N/A</c:v>
                </c:pt>
                <c:pt idx="390">
                  <c:v>#N/A</c:v>
                </c:pt>
                <c:pt idx="391">
                  <c:v>29</c:v>
                </c:pt>
                <c:pt idx="392">
                  <c:v>#N/A</c:v>
                </c:pt>
                <c:pt idx="393">
                  <c:v>#N/A</c:v>
                </c:pt>
                <c:pt idx="394">
                  <c:v>29</c:v>
                </c:pt>
                <c:pt idx="395">
                  <c:v>#N/A</c:v>
                </c:pt>
                <c:pt idx="396">
                  <c:v>#N/A</c:v>
                </c:pt>
                <c:pt idx="397">
                  <c:v>40</c:v>
                </c:pt>
                <c:pt idx="398">
                  <c:v>#N/A</c:v>
                </c:pt>
                <c:pt idx="399">
                  <c:v>31</c:v>
                </c:pt>
                <c:pt idx="400">
                  <c:v>29</c:v>
                </c:pt>
                <c:pt idx="401">
                  <c:v>#N/A</c:v>
                </c:pt>
                <c:pt idx="402">
                  <c:v>41</c:v>
                </c:pt>
                <c:pt idx="403">
                  <c:v>#N/A</c:v>
                </c:pt>
                <c:pt idx="404">
                  <c:v>29</c:v>
                </c:pt>
                <c:pt idx="405">
                  <c:v>#N/A</c:v>
                </c:pt>
                <c:pt idx="406">
                  <c:v>29</c:v>
                </c:pt>
                <c:pt idx="407">
                  <c:v>#N/A</c:v>
                </c:pt>
                <c:pt idx="408">
                  <c:v>29</c:v>
                </c:pt>
                <c:pt idx="409">
                  <c:v>49</c:v>
                </c:pt>
                <c:pt idx="410">
                  <c:v>#N/A</c:v>
                </c:pt>
                <c:pt idx="411">
                  <c:v>#N/A</c:v>
                </c:pt>
                <c:pt idx="412">
                  <c:v>#N/A</c:v>
                </c:pt>
                <c:pt idx="413">
                  <c:v>#N/A</c:v>
                </c:pt>
                <c:pt idx="414">
                  <c:v>35</c:v>
                </c:pt>
                <c:pt idx="415">
                  <c:v>33</c:v>
                </c:pt>
                <c:pt idx="416">
                  <c:v>#N/A</c:v>
                </c:pt>
                <c:pt idx="417">
                  <c:v>32</c:v>
                </c:pt>
                <c:pt idx="418">
                  <c:v>#N/A</c:v>
                </c:pt>
                <c:pt idx="419">
                  <c:v>29</c:v>
                </c:pt>
                <c:pt idx="420">
                  <c:v>#N/A</c:v>
                </c:pt>
                <c:pt idx="421">
                  <c:v>#N/A</c:v>
                </c:pt>
                <c:pt idx="422">
                  <c:v>#N/A</c:v>
                </c:pt>
                <c:pt idx="423">
                  <c:v>#N/A</c:v>
                </c:pt>
                <c:pt idx="424">
                  <c:v>32</c:v>
                </c:pt>
                <c:pt idx="425">
                  <c:v>39</c:v>
                </c:pt>
                <c:pt idx="426">
                  <c:v>#N/A</c:v>
                </c:pt>
                <c:pt idx="427">
                  <c:v>30</c:v>
                </c:pt>
                <c:pt idx="428">
                  <c:v>#N/A</c:v>
                </c:pt>
                <c:pt idx="429">
                  <c:v>25</c:v>
                </c:pt>
                <c:pt idx="430">
                  <c:v>#N/A</c:v>
                </c:pt>
                <c:pt idx="431">
                  <c:v>#N/A</c:v>
                </c:pt>
                <c:pt idx="432">
                  <c:v>#N/A</c:v>
                </c:pt>
                <c:pt idx="433">
                  <c:v>#N/A</c:v>
                </c:pt>
                <c:pt idx="434">
                  <c:v>#N/A</c:v>
                </c:pt>
                <c:pt idx="435">
                  <c:v>29</c:v>
                </c:pt>
                <c:pt idx="436">
                  <c:v>#N/A</c:v>
                </c:pt>
                <c:pt idx="437">
                  <c:v>#N/A</c:v>
                </c:pt>
                <c:pt idx="438">
                  <c:v>#N/A</c:v>
                </c:pt>
                <c:pt idx="439">
                  <c:v>#N/A</c:v>
                </c:pt>
                <c:pt idx="440">
                  <c:v>25</c:v>
                </c:pt>
                <c:pt idx="441">
                  <c:v>#N/A</c:v>
                </c:pt>
                <c:pt idx="442">
                  <c:v>#N/A</c:v>
                </c:pt>
                <c:pt idx="443">
                  <c:v>29</c:v>
                </c:pt>
                <c:pt idx="444">
                  <c:v>12</c:v>
                </c:pt>
                <c:pt idx="445">
                  <c:v>63</c:v>
                </c:pt>
                <c:pt idx="446">
                  <c:v>#N/A</c:v>
                </c:pt>
                <c:pt idx="447">
                  <c:v>#N/A</c:v>
                </c:pt>
                <c:pt idx="448">
                  <c:v>37</c:v>
                </c:pt>
                <c:pt idx="449">
                  <c:v>#N/A</c:v>
                </c:pt>
                <c:pt idx="450">
                  <c:v>#N/A</c:v>
                </c:pt>
                <c:pt idx="451">
                  <c:v>29</c:v>
                </c:pt>
                <c:pt idx="452">
                  <c:v>#N/A</c:v>
                </c:pt>
                <c:pt idx="453">
                  <c:v>#N/A</c:v>
                </c:pt>
                <c:pt idx="454">
                  <c:v>#N/A</c:v>
                </c:pt>
                <c:pt idx="455">
                  <c:v>30</c:v>
                </c:pt>
                <c:pt idx="456">
                  <c:v>#N/A</c:v>
                </c:pt>
                <c:pt idx="457">
                  <c:v>#N/A</c:v>
                </c:pt>
                <c:pt idx="458">
                  <c:v>48</c:v>
                </c:pt>
                <c:pt idx="459">
                  <c:v>#N/A</c:v>
                </c:pt>
                <c:pt idx="460">
                  <c:v>#N/A</c:v>
                </c:pt>
                <c:pt idx="461">
                  <c:v>#N/A</c:v>
                </c:pt>
                <c:pt idx="462">
                  <c:v>#N/A</c:v>
                </c:pt>
                <c:pt idx="463">
                  <c:v>#N/A</c:v>
                </c:pt>
                <c:pt idx="464">
                  <c:v>#N/A</c:v>
                </c:pt>
                <c:pt idx="465">
                  <c:v>#N/A</c:v>
                </c:pt>
                <c:pt idx="466">
                  <c:v>#N/A</c:v>
                </c:pt>
                <c:pt idx="467">
                  <c:v>#N/A</c:v>
                </c:pt>
                <c:pt idx="468">
                  <c:v>29</c:v>
                </c:pt>
                <c:pt idx="469">
                  <c:v>#N/A</c:v>
                </c:pt>
                <c:pt idx="470">
                  <c:v>#N/A</c:v>
                </c:pt>
                <c:pt idx="471">
                  <c:v>#N/A</c:v>
                </c:pt>
                <c:pt idx="472">
                  <c:v>#N/A</c:v>
                </c:pt>
                <c:pt idx="473">
                  <c:v>#N/A</c:v>
                </c:pt>
                <c:pt idx="474">
                  <c:v>#N/A</c:v>
                </c:pt>
                <c:pt idx="475">
                  <c:v>#N/A</c:v>
                </c:pt>
                <c:pt idx="476">
                  <c:v>45</c:v>
                </c:pt>
                <c:pt idx="477">
                  <c:v>#N/A</c:v>
                </c:pt>
                <c:pt idx="478">
                  <c:v>#N/A</c:v>
                </c:pt>
                <c:pt idx="479">
                  <c:v>#N/A</c:v>
                </c:pt>
                <c:pt idx="480">
                  <c:v>30</c:v>
                </c:pt>
                <c:pt idx="481">
                  <c:v>#N/A</c:v>
                </c:pt>
                <c:pt idx="482">
                  <c:v>#N/A</c:v>
                </c:pt>
                <c:pt idx="483">
                  <c:v>#N/A</c:v>
                </c:pt>
                <c:pt idx="484">
                  <c:v>29</c:v>
                </c:pt>
                <c:pt idx="485">
                  <c:v>42</c:v>
                </c:pt>
                <c:pt idx="486">
                  <c:v>#N/A</c:v>
                </c:pt>
                <c:pt idx="487">
                  <c:v>#N/A</c:v>
                </c:pt>
                <c:pt idx="488">
                  <c:v>#N/A</c:v>
                </c:pt>
                <c:pt idx="489">
                  <c:v>#N/A</c:v>
                </c:pt>
                <c:pt idx="490">
                  <c:v>#N/A</c:v>
                </c:pt>
                <c:pt idx="491">
                  <c:v>#N/A</c:v>
                </c:pt>
                <c:pt idx="492">
                  <c:v>#N/A</c:v>
                </c:pt>
                <c:pt idx="493">
                  <c:v>18</c:v>
                </c:pt>
                <c:pt idx="494">
                  <c:v>#N/A</c:v>
                </c:pt>
                <c:pt idx="495">
                  <c:v>#N/A</c:v>
                </c:pt>
                <c:pt idx="496">
                  <c:v>#N/A</c:v>
                </c:pt>
                <c:pt idx="497">
                  <c:v>#N/A</c:v>
                </c:pt>
                <c:pt idx="498">
                  <c:v>33</c:v>
                </c:pt>
                <c:pt idx="499">
                  <c:v>#N/A</c:v>
                </c:pt>
                <c:pt idx="500">
                  <c:v>#N/A</c:v>
                </c:pt>
                <c:pt idx="501">
                  <c:v>#N/A</c:v>
                </c:pt>
                <c:pt idx="502">
                  <c:v>41</c:v>
                </c:pt>
                <c:pt idx="503">
                  <c:v>#N/A</c:v>
                </c:pt>
                <c:pt idx="504">
                  <c:v>#N/A</c:v>
                </c:pt>
                <c:pt idx="505">
                  <c:v>#N/A</c:v>
                </c:pt>
                <c:pt idx="506">
                  <c:v>26</c:v>
                </c:pt>
                <c:pt idx="507">
                  <c:v>#N/A</c:v>
                </c:pt>
                <c:pt idx="508">
                  <c:v>#N/A</c:v>
                </c:pt>
                <c:pt idx="509">
                  <c:v>#N/A</c:v>
                </c:pt>
                <c:pt idx="510">
                  <c:v>31</c:v>
                </c:pt>
                <c:pt idx="511">
                  <c:v>#N/A</c:v>
                </c:pt>
                <c:pt idx="512">
                  <c:v>#N/A</c:v>
                </c:pt>
                <c:pt idx="513">
                  <c:v>#N/A</c:v>
                </c:pt>
                <c:pt idx="514">
                  <c:v>#N/A</c:v>
                </c:pt>
                <c:pt idx="515">
                  <c:v>18</c:v>
                </c:pt>
                <c:pt idx="516">
                  <c:v>34</c:v>
                </c:pt>
                <c:pt idx="517">
                  <c:v>#N/A</c:v>
                </c:pt>
                <c:pt idx="518">
                  <c:v>#N/A</c:v>
                </c:pt>
                <c:pt idx="519">
                  <c:v>#N/A</c:v>
                </c:pt>
                <c:pt idx="520">
                  <c:v>#N/A</c:v>
                </c:pt>
                <c:pt idx="521">
                  <c:v>#N/A</c:v>
                </c:pt>
                <c:pt idx="522">
                  <c:v>#N/A</c:v>
                </c:pt>
                <c:pt idx="523">
                  <c:v>29</c:v>
                </c:pt>
                <c:pt idx="524">
                  <c:v>#N/A</c:v>
                </c:pt>
                <c:pt idx="525">
                  <c:v>#N/A</c:v>
                </c:pt>
                <c:pt idx="526">
                  <c:v>#N/A</c:v>
                </c:pt>
                <c:pt idx="527">
                  <c:v>#N/A</c:v>
                </c:pt>
                <c:pt idx="528">
                  <c:v>#N/A</c:v>
                </c:pt>
                <c:pt idx="529">
                  <c:v>#N/A</c:v>
                </c:pt>
                <c:pt idx="530">
                  <c:v>#N/A</c:v>
                </c:pt>
                <c:pt idx="531">
                  <c:v>#N/A</c:v>
                </c:pt>
                <c:pt idx="532">
                  <c:v>#N/A</c:v>
                </c:pt>
                <c:pt idx="533">
                  <c:v>#N/A</c:v>
                </c:pt>
                <c:pt idx="534">
                  <c:v>#N/A</c:v>
                </c:pt>
                <c:pt idx="535">
                  <c:v>29</c:v>
                </c:pt>
                <c:pt idx="536">
                  <c:v>#N/A</c:v>
                </c:pt>
                <c:pt idx="537">
                  <c:v>#N/A</c:v>
                </c:pt>
                <c:pt idx="538">
                  <c:v>#N/A</c:v>
                </c:pt>
                <c:pt idx="539">
                  <c:v>49</c:v>
                </c:pt>
                <c:pt idx="540">
                  <c:v>40</c:v>
                </c:pt>
                <c:pt idx="541">
                  <c:v>25</c:v>
                </c:pt>
                <c:pt idx="542">
                  <c:v>32</c:v>
                </c:pt>
                <c:pt idx="543">
                  <c:v>#N/A</c:v>
                </c:pt>
                <c:pt idx="544">
                  <c:v>#N/A</c:v>
                </c:pt>
                <c:pt idx="545">
                  <c:v>35</c:v>
                </c:pt>
                <c:pt idx="546">
                  <c:v>27</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29</c:v>
                </c:pt>
                <c:pt idx="561">
                  <c:v>32</c:v>
                </c:pt>
                <c:pt idx="562">
                  <c:v>#N/A</c:v>
                </c:pt>
                <c:pt idx="563">
                  <c:v>#N/A</c:v>
                </c:pt>
                <c:pt idx="564">
                  <c:v>#N/A</c:v>
                </c:pt>
                <c:pt idx="565">
                  <c:v>#N/A</c:v>
                </c:pt>
                <c:pt idx="566">
                  <c:v>#N/A</c:v>
                </c:pt>
                <c:pt idx="567">
                  <c:v>#N/A</c:v>
                </c:pt>
                <c:pt idx="568">
                  <c:v>#N/A</c:v>
                </c:pt>
                <c:pt idx="569">
                  <c:v>30</c:v>
                </c:pt>
                <c:pt idx="570">
                  <c:v>#N/A</c:v>
                </c:pt>
                <c:pt idx="571">
                  <c:v>#N/A</c:v>
                </c:pt>
                <c:pt idx="572">
                  <c:v>#N/A</c:v>
                </c:pt>
                <c:pt idx="573">
                  <c:v>#N/A</c:v>
                </c:pt>
                <c:pt idx="574">
                  <c:v>#N/A</c:v>
                </c:pt>
                <c:pt idx="575">
                  <c:v>#N/A</c:v>
                </c:pt>
                <c:pt idx="576">
                  <c:v>#N/A</c:v>
                </c:pt>
                <c:pt idx="577">
                  <c:v>29</c:v>
                </c:pt>
                <c:pt idx="578">
                  <c:v>#N/A</c:v>
                </c:pt>
                <c:pt idx="579">
                  <c:v>99</c:v>
                </c:pt>
                <c:pt idx="580">
                  <c:v>46</c:v>
                </c:pt>
                <c:pt idx="581">
                  <c:v>#N/A</c:v>
                </c:pt>
                <c:pt idx="582">
                  <c:v>#N/A</c:v>
                </c:pt>
                <c:pt idx="583">
                  <c:v>#N/A</c:v>
                </c:pt>
                <c:pt idx="584">
                  <c:v>24</c:v>
                </c:pt>
                <c:pt idx="585">
                  <c:v>#N/A</c:v>
                </c:pt>
                <c:pt idx="586">
                  <c:v>29</c:v>
                </c:pt>
                <c:pt idx="587">
                  <c:v>#N/A</c:v>
                </c:pt>
                <c:pt idx="588">
                  <c:v>27</c:v>
                </c:pt>
                <c:pt idx="589">
                  <c:v>#N/A</c:v>
                </c:pt>
                <c:pt idx="590">
                  <c:v>40</c:v>
                </c:pt>
                <c:pt idx="591">
                  <c:v>#N/A</c:v>
                </c:pt>
                <c:pt idx="592">
                  <c:v>29</c:v>
                </c:pt>
                <c:pt idx="593">
                  <c:v>#N/A</c:v>
                </c:pt>
                <c:pt idx="594">
                  <c:v>#N/A</c:v>
                </c:pt>
                <c:pt idx="595">
                  <c:v>14</c:v>
                </c:pt>
                <c:pt idx="596">
                  <c:v>#N/A</c:v>
                </c:pt>
                <c:pt idx="597">
                  <c:v>#N/A</c:v>
                </c:pt>
                <c:pt idx="598">
                  <c:v>29</c:v>
                </c:pt>
                <c:pt idx="599">
                  <c:v>#N/A</c:v>
                </c:pt>
                <c:pt idx="600">
                  <c:v>#N/A</c:v>
                </c:pt>
                <c:pt idx="601">
                  <c:v>#N/A</c:v>
                </c:pt>
                <c:pt idx="602">
                  <c:v>#N/A</c:v>
                </c:pt>
                <c:pt idx="603">
                  <c:v>29</c:v>
                </c:pt>
                <c:pt idx="604">
                  <c:v>29</c:v>
                </c:pt>
                <c:pt idx="605">
                  <c:v>#N/A</c:v>
                </c:pt>
                <c:pt idx="606">
                  <c:v>42</c:v>
                </c:pt>
                <c:pt idx="607">
                  <c:v>#N/A</c:v>
                </c:pt>
                <c:pt idx="608">
                  <c:v>#N/A</c:v>
                </c:pt>
                <c:pt idx="609">
                  <c:v>#N/A</c:v>
                </c:pt>
                <c:pt idx="610">
                  <c:v>#N/A</c:v>
                </c:pt>
                <c:pt idx="611">
                  <c:v>22</c:v>
                </c:pt>
                <c:pt idx="612">
                  <c:v>42</c:v>
                </c:pt>
                <c:pt idx="613">
                  <c:v>#N/A</c:v>
                </c:pt>
                <c:pt idx="614">
                  <c:v>26</c:v>
                </c:pt>
                <c:pt idx="615">
                  <c:v>#N/A</c:v>
                </c:pt>
                <c:pt idx="616">
                  <c:v>#N/A</c:v>
                </c:pt>
                <c:pt idx="617">
                  <c:v>#N/A</c:v>
                </c:pt>
                <c:pt idx="618">
                  <c:v>24</c:v>
                </c:pt>
                <c:pt idx="619">
                  <c:v>29</c:v>
                </c:pt>
                <c:pt idx="620">
                  <c:v>#N/A</c:v>
                </c:pt>
                <c:pt idx="621">
                  <c:v>#N/A</c:v>
                </c:pt>
                <c:pt idx="622">
                  <c:v>#N/A</c:v>
                </c:pt>
                <c:pt idx="623">
                  <c:v>#N/A</c:v>
                </c:pt>
                <c:pt idx="624">
                  <c:v>#N/A</c:v>
                </c:pt>
                <c:pt idx="625">
                  <c:v>#N/A</c:v>
                </c:pt>
                <c:pt idx="626">
                  <c:v>#N/A</c:v>
                </c:pt>
                <c:pt idx="627">
                  <c:v>#N/A</c:v>
                </c:pt>
                <c:pt idx="628">
                  <c:v>#N/A</c:v>
                </c:pt>
                <c:pt idx="629">
                  <c:v>#N/A</c:v>
                </c:pt>
                <c:pt idx="630">
                  <c:v>29</c:v>
                </c:pt>
                <c:pt idx="631">
                  <c:v>#N/A</c:v>
                </c:pt>
                <c:pt idx="632">
                  <c:v>#N/A</c:v>
                </c:pt>
                <c:pt idx="633">
                  <c:v>#N/A</c:v>
                </c:pt>
                <c:pt idx="634">
                  <c:v>#N/A</c:v>
                </c:pt>
                <c:pt idx="635">
                  <c:v>29</c:v>
                </c:pt>
                <c:pt idx="636">
                  <c:v>#N/A</c:v>
                </c:pt>
                <c:pt idx="637">
                  <c:v>#N/A</c:v>
                </c:pt>
                <c:pt idx="638">
                  <c:v>32</c:v>
                </c:pt>
                <c:pt idx="639">
                  <c:v>#N/A</c:v>
                </c:pt>
                <c:pt idx="640">
                  <c:v>#N/A</c:v>
                </c:pt>
                <c:pt idx="641">
                  <c:v>#N/A</c:v>
                </c:pt>
                <c:pt idx="642">
                  <c:v>29</c:v>
                </c:pt>
                <c:pt idx="643">
                  <c:v>#N/A</c:v>
                </c:pt>
                <c:pt idx="644">
                  <c:v>#N/A</c:v>
                </c:pt>
                <c:pt idx="645">
                  <c:v>#N/A</c:v>
                </c:pt>
                <c:pt idx="646">
                  <c:v>17</c:v>
                </c:pt>
                <c:pt idx="647">
                  <c:v>36</c:v>
                </c:pt>
                <c:pt idx="648">
                  <c:v>35</c:v>
                </c:pt>
                <c:pt idx="649">
                  <c:v>#N/A</c:v>
                </c:pt>
                <c:pt idx="650">
                  <c:v>#N/A</c:v>
                </c:pt>
                <c:pt idx="651">
                  <c:v>#N/A</c:v>
                </c:pt>
                <c:pt idx="652">
                  <c:v>#N/A</c:v>
                </c:pt>
                <c:pt idx="653">
                  <c:v>#N/A</c:v>
                </c:pt>
                <c:pt idx="654">
                  <c:v>#N/A</c:v>
                </c:pt>
                <c:pt idx="655">
                  <c:v>27</c:v>
                </c:pt>
                <c:pt idx="656">
                  <c:v>#N/A</c:v>
                </c:pt>
                <c:pt idx="657">
                  <c:v>#N/A</c:v>
                </c:pt>
                <c:pt idx="658">
                  <c:v>#N/A</c:v>
                </c:pt>
                <c:pt idx="659">
                  <c:v>31</c:v>
                </c:pt>
                <c:pt idx="660">
                  <c:v>#N/A</c:v>
                </c:pt>
                <c:pt idx="661">
                  <c:v>43</c:v>
                </c:pt>
                <c:pt idx="662">
                  <c:v>46</c:v>
                </c:pt>
                <c:pt idx="663">
                  <c:v>46</c:v>
                </c:pt>
                <c:pt idx="664">
                  <c:v>39</c:v>
                </c:pt>
                <c:pt idx="665">
                  <c:v>#N/A</c:v>
                </c:pt>
                <c:pt idx="666">
                  <c:v>18</c:v>
                </c:pt>
                <c:pt idx="667">
                  <c:v>27</c:v>
                </c:pt>
                <c:pt idx="668">
                  <c:v>#N/A</c:v>
                </c:pt>
                <c:pt idx="669">
                  <c:v>#N/A</c:v>
                </c:pt>
                <c:pt idx="670">
                  <c:v>#N/A</c:v>
                </c:pt>
                <c:pt idx="671">
                  <c:v>#N/A</c:v>
                </c:pt>
                <c:pt idx="672">
                  <c:v>#N/A</c:v>
                </c:pt>
                <c:pt idx="673">
                  <c:v>#N/A</c:v>
                </c:pt>
                <c:pt idx="674">
                  <c:v>#N/A</c:v>
                </c:pt>
                <c:pt idx="675">
                  <c:v>29</c:v>
                </c:pt>
                <c:pt idx="676">
                  <c:v>29</c:v>
                </c:pt>
                <c:pt idx="677">
                  <c:v>#N/A</c:v>
                </c:pt>
                <c:pt idx="678">
                  <c:v>29</c:v>
                </c:pt>
                <c:pt idx="679">
                  <c:v>#N/A</c:v>
                </c:pt>
                <c:pt idx="680">
                  <c:v>#N/A</c:v>
                </c:pt>
                <c:pt idx="681">
                  <c:v>36</c:v>
                </c:pt>
                <c:pt idx="682">
                  <c:v>#N/A</c:v>
                </c:pt>
                <c:pt idx="683">
                  <c:v>29</c:v>
                </c:pt>
                <c:pt idx="684">
                  <c:v>#N/A</c:v>
                </c:pt>
                <c:pt idx="685">
                  <c:v>#N/A</c:v>
                </c:pt>
                <c:pt idx="686">
                  <c:v>#N/A</c:v>
                </c:pt>
                <c:pt idx="687">
                  <c:v>#N/A</c:v>
                </c:pt>
                <c:pt idx="688">
                  <c:v>#N/A</c:v>
                </c:pt>
                <c:pt idx="689">
                  <c:v>46</c:v>
                </c:pt>
                <c:pt idx="690">
                  <c:v>#N/A</c:v>
                </c:pt>
                <c:pt idx="691">
                  <c:v>29</c:v>
                </c:pt>
                <c:pt idx="692">
                  <c:v>#N/A</c:v>
                </c:pt>
                <c:pt idx="693">
                  <c:v>49</c:v>
                </c:pt>
                <c:pt idx="694">
                  <c:v>#N/A</c:v>
                </c:pt>
                <c:pt idx="695">
                  <c:v>24</c:v>
                </c:pt>
                <c:pt idx="696">
                  <c:v>19</c:v>
                </c:pt>
                <c:pt idx="697">
                  <c:v>#N/A</c:v>
                </c:pt>
                <c:pt idx="698">
                  <c:v>#N/A</c:v>
                </c:pt>
                <c:pt idx="699">
                  <c:v>#N/A</c:v>
                </c:pt>
                <c:pt idx="700">
                  <c:v>#N/A</c:v>
                </c:pt>
                <c:pt idx="701">
                  <c:v>31</c:v>
                </c:pt>
                <c:pt idx="702">
                  <c:v>29</c:v>
                </c:pt>
                <c:pt idx="703">
                  <c:v>#N/A</c:v>
                </c:pt>
                <c:pt idx="704">
                  <c:v>#N/A</c:v>
                </c:pt>
                <c:pt idx="705">
                  <c:v>#N/A</c:v>
                </c:pt>
                <c:pt idx="706">
                  <c:v>29</c:v>
                </c:pt>
                <c:pt idx="707">
                  <c:v>#N/A</c:v>
                </c:pt>
                <c:pt idx="708">
                  <c:v>29</c:v>
                </c:pt>
                <c:pt idx="709">
                  <c:v>32</c:v>
                </c:pt>
                <c:pt idx="710">
                  <c:v>#N/A</c:v>
                </c:pt>
                <c:pt idx="711">
                  <c:v>#N/A</c:v>
                </c:pt>
                <c:pt idx="712">
                  <c:v>36</c:v>
                </c:pt>
                <c:pt idx="713">
                  <c:v>#N/A</c:v>
                </c:pt>
                <c:pt idx="714">
                  <c:v>#N/A</c:v>
                </c:pt>
                <c:pt idx="715">
                  <c:v>33</c:v>
                </c:pt>
                <c:pt idx="716">
                  <c:v>39</c:v>
                </c:pt>
                <c:pt idx="717">
                  <c:v>#N/A</c:v>
                </c:pt>
                <c:pt idx="718">
                  <c:v>#N/A</c:v>
                </c:pt>
                <c:pt idx="719">
                  <c:v>27</c:v>
                </c:pt>
                <c:pt idx="720">
                  <c:v>#N/A</c:v>
                </c:pt>
                <c:pt idx="721">
                  <c:v>#N/A</c:v>
                </c:pt>
                <c:pt idx="722">
                  <c:v>29</c:v>
                </c:pt>
                <c:pt idx="723">
                  <c:v>#N/A</c:v>
                </c:pt>
                <c:pt idx="724">
                  <c:v>#N/A</c:v>
                </c:pt>
                <c:pt idx="725">
                  <c:v>#N/A</c:v>
                </c:pt>
                <c:pt idx="726">
                  <c:v>#N/A</c:v>
                </c:pt>
                <c:pt idx="727">
                  <c:v>#N/A</c:v>
                </c:pt>
                <c:pt idx="728">
                  <c:v>#N/A</c:v>
                </c:pt>
                <c:pt idx="729">
                  <c:v>#N/A</c:v>
                </c:pt>
                <c:pt idx="730">
                  <c:v>23</c:v>
                </c:pt>
                <c:pt idx="731">
                  <c:v>29</c:v>
                </c:pt>
                <c:pt idx="732">
                  <c:v>37</c:v>
                </c:pt>
                <c:pt idx="733">
                  <c:v>#N/A</c:v>
                </c:pt>
                <c:pt idx="734">
                  <c:v>#N/A</c:v>
                </c:pt>
                <c:pt idx="735">
                  <c:v>#N/A</c:v>
                </c:pt>
                <c:pt idx="736">
                  <c:v>#N/A</c:v>
                </c:pt>
                <c:pt idx="737">
                  <c:v>#N/A</c:v>
                </c:pt>
                <c:pt idx="738">
                  <c:v>#N/A</c:v>
                </c:pt>
                <c:pt idx="739">
                  <c:v>29</c:v>
                </c:pt>
                <c:pt idx="740">
                  <c:v>37</c:v>
                </c:pt>
                <c:pt idx="741">
                  <c:v>#N/A</c:v>
                </c:pt>
                <c:pt idx="742">
                  <c:v>#N/A</c:v>
                </c:pt>
                <c:pt idx="743">
                  <c:v>29</c:v>
                </c:pt>
                <c:pt idx="744">
                  <c:v>#N/A</c:v>
                </c:pt>
                <c:pt idx="745">
                  <c:v>#N/A</c:v>
                </c:pt>
                <c:pt idx="746">
                  <c:v>41</c:v>
                </c:pt>
                <c:pt idx="747">
                  <c:v>#N/A</c:v>
                </c:pt>
                <c:pt idx="748">
                  <c:v>22</c:v>
                </c:pt>
                <c:pt idx="749">
                  <c:v>29</c:v>
                </c:pt>
                <c:pt idx="750">
                  <c:v>29</c:v>
                </c:pt>
                <c:pt idx="751">
                  <c:v>#N/A</c:v>
                </c:pt>
                <c:pt idx="752">
                  <c:v>#N/A</c:v>
                </c:pt>
                <c:pt idx="753">
                  <c:v>44</c:v>
                </c:pt>
                <c:pt idx="754">
                  <c:v>32</c:v>
                </c:pt>
                <c:pt idx="755">
                  <c:v>39</c:v>
                </c:pt>
                <c:pt idx="756">
                  <c:v>#N/A</c:v>
                </c:pt>
                <c:pt idx="757">
                  <c:v>29</c:v>
                </c:pt>
                <c:pt idx="758">
                  <c:v>#N/A</c:v>
                </c:pt>
                <c:pt idx="759">
                  <c:v>29</c:v>
                </c:pt>
                <c:pt idx="760">
                  <c:v>#N/A</c:v>
                </c:pt>
                <c:pt idx="761">
                  <c:v>31</c:v>
                </c:pt>
                <c:pt idx="762">
                  <c:v>#N/A</c:v>
                </c:pt>
                <c:pt idx="763">
                  <c:v>#N/A</c:v>
                </c:pt>
                <c:pt idx="764">
                  <c:v>#N/A</c:v>
                </c:pt>
                <c:pt idx="765">
                  <c:v>#N/A</c:v>
                </c:pt>
                <c:pt idx="766">
                  <c:v>29</c:v>
                </c:pt>
                <c:pt idx="767">
                  <c:v>#N/A</c:v>
                </c:pt>
              </c:numCache>
            </c:numRef>
          </c:xVal>
          <c:yVal>
            <c:numRef>
              <c:f>diabetes!$G$2:$G$769</c:f>
              <c:numCache>
                <c:formatCode>General</c:formatCode>
                <c:ptCount val="768"/>
                <c:pt idx="0">
                  <c:v>33.6</c:v>
                </c:pt>
                <c:pt idx="1">
                  <c:v>26.6</c:v>
                </c:pt>
                <c:pt idx="2">
                  <c:v>23.3</c:v>
                </c:pt>
                <c:pt idx="3">
                  <c:v>28.1</c:v>
                </c:pt>
                <c:pt idx="4">
                  <c:v>43.1</c:v>
                </c:pt>
                <c:pt idx="5">
                  <c:v>25.6</c:v>
                </c:pt>
                <c:pt idx="6">
                  <c:v>31</c:v>
                </c:pt>
                <c:pt idx="7">
                  <c:v>35.299999999999997</c:v>
                </c:pt>
                <c:pt idx="8">
                  <c:v>30.5</c:v>
                </c:pt>
                <c:pt idx="9">
                  <c:v>32.299999999999997</c:v>
                </c:pt>
                <c:pt idx="10">
                  <c:v>37.6</c:v>
                </c:pt>
                <c:pt idx="11">
                  <c:v>38</c:v>
                </c:pt>
                <c:pt idx="12">
                  <c:v>27.1</c:v>
                </c:pt>
                <c:pt idx="13">
                  <c:v>30.1</c:v>
                </c:pt>
                <c:pt idx="14">
                  <c:v>25.8</c:v>
                </c:pt>
                <c:pt idx="15">
                  <c:v>30</c:v>
                </c:pt>
                <c:pt idx="16">
                  <c:v>45.8</c:v>
                </c:pt>
                <c:pt idx="17">
                  <c:v>29.6</c:v>
                </c:pt>
                <c:pt idx="18">
                  <c:v>43.3</c:v>
                </c:pt>
                <c:pt idx="19">
                  <c:v>34.6</c:v>
                </c:pt>
                <c:pt idx="20">
                  <c:v>39.299999999999997</c:v>
                </c:pt>
                <c:pt idx="21">
                  <c:v>35.4</c:v>
                </c:pt>
                <c:pt idx="22">
                  <c:v>39.799999999999997</c:v>
                </c:pt>
                <c:pt idx="23">
                  <c:v>29</c:v>
                </c:pt>
                <c:pt idx="24">
                  <c:v>36.6</c:v>
                </c:pt>
                <c:pt idx="25">
                  <c:v>31.1</c:v>
                </c:pt>
                <c:pt idx="26">
                  <c:v>39.4</c:v>
                </c:pt>
                <c:pt idx="27">
                  <c:v>23.2</c:v>
                </c:pt>
                <c:pt idx="28">
                  <c:v>22.2</c:v>
                </c:pt>
                <c:pt idx="29">
                  <c:v>34.1</c:v>
                </c:pt>
                <c:pt idx="30">
                  <c:v>36</c:v>
                </c:pt>
                <c:pt idx="31">
                  <c:v>31.6</c:v>
                </c:pt>
                <c:pt idx="32">
                  <c:v>24.8</c:v>
                </c:pt>
                <c:pt idx="33">
                  <c:v>19.899999999999999</c:v>
                </c:pt>
                <c:pt idx="34">
                  <c:v>27.6</c:v>
                </c:pt>
                <c:pt idx="35">
                  <c:v>24</c:v>
                </c:pt>
                <c:pt idx="36">
                  <c:v>33.200000000000003</c:v>
                </c:pt>
                <c:pt idx="37">
                  <c:v>32.9</c:v>
                </c:pt>
                <c:pt idx="38">
                  <c:v>38.200000000000003</c:v>
                </c:pt>
                <c:pt idx="39">
                  <c:v>37.1</c:v>
                </c:pt>
                <c:pt idx="40">
                  <c:v>34</c:v>
                </c:pt>
                <c:pt idx="41">
                  <c:v>40.200000000000003</c:v>
                </c:pt>
                <c:pt idx="42">
                  <c:v>22.7</c:v>
                </c:pt>
                <c:pt idx="43">
                  <c:v>45.4</c:v>
                </c:pt>
                <c:pt idx="44">
                  <c:v>27.4</c:v>
                </c:pt>
                <c:pt idx="45">
                  <c:v>42</c:v>
                </c:pt>
                <c:pt idx="46">
                  <c:v>29.7</c:v>
                </c:pt>
                <c:pt idx="47">
                  <c:v>28</c:v>
                </c:pt>
                <c:pt idx="48">
                  <c:v>39.1</c:v>
                </c:pt>
                <c:pt idx="49">
                  <c:v>32.299999999999997</c:v>
                </c:pt>
                <c:pt idx="50">
                  <c:v>19.399999999999999</c:v>
                </c:pt>
                <c:pt idx="51">
                  <c:v>24.2</c:v>
                </c:pt>
                <c:pt idx="52">
                  <c:v>24.4</c:v>
                </c:pt>
                <c:pt idx="53">
                  <c:v>33.700000000000003</c:v>
                </c:pt>
                <c:pt idx="54">
                  <c:v>34.700000000000003</c:v>
                </c:pt>
                <c:pt idx="55">
                  <c:v>23</c:v>
                </c:pt>
                <c:pt idx="56">
                  <c:v>37.700000000000003</c:v>
                </c:pt>
                <c:pt idx="57">
                  <c:v>46.8</c:v>
                </c:pt>
                <c:pt idx="58">
                  <c:v>40.5</c:v>
                </c:pt>
                <c:pt idx="59">
                  <c:v>41.5</c:v>
                </c:pt>
                <c:pt idx="60">
                  <c:v>32.299999999999997</c:v>
                </c:pt>
                <c:pt idx="61">
                  <c:v>32.9</c:v>
                </c:pt>
                <c:pt idx="62">
                  <c:v>25</c:v>
                </c:pt>
                <c:pt idx="63">
                  <c:v>25.4</c:v>
                </c:pt>
                <c:pt idx="64">
                  <c:v>32.799999999999997</c:v>
                </c:pt>
                <c:pt idx="65">
                  <c:v>29</c:v>
                </c:pt>
                <c:pt idx="66">
                  <c:v>32.5</c:v>
                </c:pt>
                <c:pt idx="67">
                  <c:v>42.7</c:v>
                </c:pt>
                <c:pt idx="68">
                  <c:v>19.600000000000001</c:v>
                </c:pt>
                <c:pt idx="69">
                  <c:v>28.9</c:v>
                </c:pt>
                <c:pt idx="70">
                  <c:v>32.9</c:v>
                </c:pt>
                <c:pt idx="71">
                  <c:v>28.6</c:v>
                </c:pt>
                <c:pt idx="72">
                  <c:v>43.4</c:v>
                </c:pt>
                <c:pt idx="73">
                  <c:v>35.1</c:v>
                </c:pt>
                <c:pt idx="74">
                  <c:v>32</c:v>
                </c:pt>
                <c:pt idx="75">
                  <c:v>24.7</c:v>
                </c:pt>
                <c:pt idx="76">
                  <c:v>32.6</c:v>
                </c:pt>
                <c:pt idx="77">
                  <c:v>37.700000000000003</c:v>
                </c:pt>
                <c:pt idx="78">
                  <c:v>43.2</c:v>
                </c:pt>
                <c:pt idx="79">
                  <c:v>25</c:v>
                </c:pt>
                <c:pt idx="80">
                  <c:v>22.4</c:v>
                </c:pt>
                <c:pt idx="81">
                  <c:v>32.299999999999997</c:v>
                </c:pt>
                <c:pt idx="82">
                  <c:v>29.3</c:v>
                </c:pt>
                <c:pt idx="83">
                  <c:v>24.6</c:v>
                </c:pt>
                <c:pt idx="84">
                  <c:v>48.8</c:v>
                </c:pt>
                <c:pt idx="85">
                  <c:v>32.4</c:v>
                </c:pt>
                <c:pt idx="86">
                  <c:v>36.6</c:v>
                </c:pt>
                <c:pt idx="87">
                  <c:v>38.5</c:v>
                </c:pt>
                <c:pt idx="88">
                  <c:v>37.1</c:v>
                </c:pt>
                <c:pt idx="89">
                  <c:v>26.5</c:v>
                </c:pt>
                <c:pt idx="90">
                  <c:v>19.100000000000001</c:v>
                </c:pt>
                <c:pt idx="91">
                  <c:v>32</c:v>
                </c:pt>
                <c:pt idx="92">
                  <c:v>46.7</c:v>
                </c:pt>
                <c:pt idx="93">
                  <c:v>23.8</c:v>
                </c:pt>
                <c:pt idx="94">
                  <c:v>24.7</c:v>
                </c:pt>
                <c:pt idx="95">
                  <c:v>33.9</c:v>
                </c:pt>
                <c:pt idx="96">
                  <c:v>31.6</c:v>
                </c:pt>
                <c:pt idx="97">
                  <c:v>20.399999999999999</c:v>
                </c:pt>
                <c:pt idx="98">
                  <c:v>28.7</c:v>
                </c:pt>
                <c:pt idx="99">
                  <c:v>49.7</c:v>
                </c:pt>
                <c:pt idx="100">
                  <c:v>39</c:v>
                </c:pt>
                <c:pt idx="101">
                  <c:v>26.1</c:v>
                </c:pt>
                <c:pt idx="102">
                  <c:v>22.5</c:v>
                </c:pt>
                <c:pt idx="103">
                  <c:v>26.6</c:v>
                </c:pt>
                <c:pt idx="104">
                  <c:v>39.6</c:v>
                </c:pt>
                <c:pt idx="105">
                  <c:v>28.7</c:v>
                </c:pt>
                <c:pt idx="106">
                  <c:v>22.4</c:v>
                </c:pt>
                <c:pt idx="107">
                  <c:v>29.5</c:v>
                </c:pt>
                <c:pt idx="108">
                  <c:v>34.299999999999997</c:v>
                </c:pt>
                <c:pt idx="109">
                  <c:v>37.4</c:v>
                </c:pt>
                <c:pt idx="110">
                  <c:v>33.299999999999997</c:v>
                </c:pt>
                <c:pt idx="111">
                  <c:v>34</c:v>
                </c:pt>
                <c:pt idx="112">
                  <c:v>31.2</c:v>
                </c:pt>
                <c:pt idx="113">
                  <c:v>34</c:v>
                </c:pt>
                <c:pt idx="114">
                  <c:v>30.5</c:v>
                </c:pt>
                <c:pt idx="115">
                  <c:v>31.2</c:v>
                </c:pt>
                <c:pt idx="116">
                  <c:v>34</c:v>
                </c:pt>
                <c:pt idx="117">
                  <c:v>33.700000000000003</c:v>
                </c:pt>
                <c:pt idx="118">
                  <c:v>28.2</c:v>
                </c:pt>
                <c:pt idx="119">
                  <c:v>23.2</c:v>
                </c:pt>
                <c:pt idx="120">
                  <c:v>53.2</c:v>
                </c:pt>
                <c:pt idx="121">
                  <c:v>34.200000000000003</c:v>
                </c:pt>
                <c:pt idx="122">
                  <c:v>33.6</c:v>
                </c:pt>
                <c:pt idx="123">
                  <c:v>26.8</c:v>
                </c:pt>
                <c:pt idx="124">
                  <c:v>33.299999999999997</c:v>
                </c:pt>
                <c:pt idx="125">
                  <c:v>55</c:v>
                </c:pt>
                <c:pt idx="126">
                  <c:v>42.9</c:v>
                </c:pt>
                <c:pt idx="127">
                  <c:v>33.299999999999997</c:v>
                </c:pt>
                <c:pt idx="128">
                  <c:v>34.5</c:v>
                </c:pt>
                <c:pt idx="129">
                  <c:v>27.9</c:v>
                </c:pt>
                <c:pt idx="130">
                  <c:v>29.7</c:v>
                </c:pt>
                <c:pt idx="131">
                  <c:v>33.299999999999997</c:v>
                </c:pt>
                <c:pt idx="132">
                  <c:v>34.5</c:v>
                </c:pt>
                <c:pt idx="133">
                  <c:v>38.299999999999997</c:v>
                </c:pt>
                <c:pt idx="134">
                  <c:v>21.1</c:v>
                </c:pt>
                <c:pt idx="135">
                  <c:v>33.799999999999997</c:v>
                </c:pt>
                <c:pt idx="136">
                  <c:v>30.8</c:v>
                </c:pt>
                <c:pt idx="137">
                  <c:v>28.7</c:v>
                </c:pt>
                <c:pt idx="138">
                  <c:v>31.2</c:v>
                </c:pt>
                <c:pt idx="139">
                  <c:v>36.9</c:v>
                </c:pt>
                <c:pt idx="140">
                  <c:v>21.1</c:v>
                </c:pt>
                <c:pt idx="141">
                  <c:v>39.5</c:v>
                </c:pt>
                <c:pt idx="142">
                  <c:v>32.5</c:v>
                </c:pt>
                <c:pt idx="143">
                  <c:v>32.4</c:v>
                </c:pt>
                <c:pt idx="144">
                  <c:v>32.799999999999997</c:v>
                </c:pt>
                <c:pt idx="145">
                  <c:v>32.299999999999997</c:v>
                </c:pt>
                <c:pt idx="146">
                  <c:v>32.799999999999997</c:v>
                </c:pt>
                <c:pt idx="147">
                  <c:v>30.5</c:v>
                </c:pt>
                <c:pt idx="148">
                  <c:v>33.700000000000003</c:v>
                </c:pt>
                <c:pt idx="149">
                  <c:v>27.3</c:v>
                </c:pt>
                <c:pt idx="150">
                  <c:v>37.4</c:v>
                </c:pt>
                <c:pt idx="151">
                  <c:v>21.9</c:v>
                </c:pt>
                <c:pt idx="152">
                  <c:v>34.299999999999997</c:v>
                </c:pt>
                <c:pt idx="153">
                  <c:v>40.6</c:v>
                </c:pt>
                <c:pt idx="154">
                  <c:v>47.9</c:v>
                </c:pt>
                <c:pt idx="155">
                  <c:v>50</c:v>
                </c:pt>
                <c:pt idx="156">
                  <c:v>24.6</c:v>
                </c:pt>
                <c:pt idx="157">
                  <c:v>25.2</c:v>
                </c:pt>
                <c:pt idx="158">
                  <c:v>29</c:v>
                </c:pt>
                <c:pt idx="159">
                  <c:v>40.9</c:v>
                </c:pt>
                <c:pt idx="160">
                  <c:v>29.7</c:v>
                </c:pt>
                <c:pt idx="161">
                  <c:v>37.200000000000003</c:v>
                </c:pt>
                <c:pt idx="162">
                  <c:v>44.2</c:v>
                </c:pt>
                <c:pt idx="163">
                  <c:v>29.7</c:v>
                </c:pt>
                <c:pt idx="164">
                  <c:v>31.6</c:v>
                </c:pt>
                <c:pt idx="165">
                  <c:v>29.9</c:v>
                </c:pt>
                <c:pt idx="166">
                  <c:v>32.5</c:v>
                </c:pt>
                <c:pt idx="167">
                  <c:v>29.6</c:v>
                </c:pt>
                <c:pt idx="168">
                  <c:v>31.9</c:v>
                </c:pt>
                <c:pt idx="169">
                  <c:v>28.4</c:v>
                </c:pt>
                <c:pt idx="170">
                  <c:v>30.8</c:v>
                </c:pt>
                <c:pt idx="171">
                  <c:v>35.4</c:v>
                </c:pt>
                <c:pt idx="172">
                  <c:v>28.9</c:v>
                </c:pt>
                <c:pt idx="173">
                  <c:v>43.5</c:v>
                </c:pt>
                <c:pt idx="174">
                  <c:v>29.7</c:v>
                </c:pt>
                <c:pt idx="175">
                  <c:v>32.700000000000003</c:v>
                </c:pt>
                <c:pt idx="176">
                  <c:v>31.2</c:v>
                </c:pt>
                <c:pt idx="177">
                  <c:v>67.099999999999994</c:v>
                </c:pt>
                <c:pt idx="178">
                  <c:v>45</c:v>
                </c:pt>
                <c:pt idx="179">
                  <c:v>39.1</c:v>
                </c:pt>
                <c:pt idx="180">
                  <c:v>23.2</c:v>
                </c:pt>
                <c:pt idx="181">
                  <c:v>34.9</c:v>
                </c:pt>
                <c:pt idx="182">
                  <c:v>27.7</c:v>
                </c:pt>
                <c:pt idx="183">
                  <c:v>26.8</c:v>
                </c:pt>
                <c:pt idx="184">
                  <c:v>27.6</c:v>
                </c:pt>
                <c:pt idx="185">
                  <c:v>35.9</c:v>
                </c:pt>
                <c:pt idx="186">
                  <c:v>30.1</c:v>
                </c:pt>
                <c:pt idx="187">
                  <c:v>32</c:v>
                </c:pt>
                <c:pt idx="188">
                  <c:v>27.9</c:v>
                </c:pt>
                <c:pt idx="189">
                  <c:v>31.6</c:v>
                </c:pt>
                <c:pt idx="190">
                  <c:v>22.6</c:v>
                </c:pt>
                <c:pt idx="191">
                  <c:v>33.1</c:v>
                </c:pt>
                <c:pt idx="192">
                  <c:v>30.4</c:v>
                </c:pt>
                <c:pt idx="193">
                  <c:v>52.3</c:v>
                </c:pt>
                <c:pt idx="194">
                  <c:v>24.4</c:v>
                </c:pt>
                <c:pt idx="195">
                  <c:v>39.4</c:v>
                </c:pt>
                <c:pt idx="196">
                  <c:v>24.3</c:v>
                </c:pt>
                <c:pt idx="197">
                  <c:v>22.9</c:v>
                </c:pt>
                <c:pt idx="198">
                  <c:v>34.799999999999997</c:v>
                </c:pt>
                <c:pt idx="199">
                  <c:v>30.9</c:v>
                </c:pt>
                <c:pt idx="200">
                  <c:v>31</c:v>
                </c:pt>
                <c:pt idx="201">
                  <c:v>40.1</c:v>
                </c:pt>
                <c:pt idx="202">
                  <c:v>27.3</c:v>
                </c:pt>
                <c:pt idx="203">
                  <c:v>20.399999999999999</c:v>
                </c:pt>
                <c:pt idx="204">
                  <c:v>37.700000000000003</c:v>
                </c:pt>
                <c:pt idx="205">
                  <c:v>23.9</c:v>
                </c:pt>
                <c:pt idx="206">
                  <c:v>37.5</c:v>
                </c:pt>
                <c:pt idx="207">
                  <c:v>37.700000000000003</c:v>
                </c:pt>
                <c:pt idx="208">
                  <c:v>33.200000000000003</c:v>
                </c:pt>
                <c:pt idx="209">
                  <c:v>35.5</c:v>
                </c:pt>
                <c:pt idx="210">
                  <c:v>27.7</c:v>
                </c:pt>
                <c:pt idx="211">
                  <c:v>42.8</c:v>
                </c:pt>
                <c:pt idx="212">
                  <c:v>34.200000000000003</c:v>
                </c:pt>
                <c:pt idx="213">
                  <c:v>42.6</c:v>
                </c:pt>
                <c:pt idx="214">
                  <c:v>34.200000000000003</c:v>
                </c:pt>
                <c:pt idx="215">
                  <c:v>41.8</c:v>
                </c:pt>
                <c:pt idx="216">
                  <c:v>35.799999999999997</c:v>
                </c:pt>
                <c:pt idx="217">
                  <c:v>30</c:v>
                </c:pt>
                <c:pt idx="218">
                  <c:v>29</c:v>
                </c:pt>
                <c:pt idx="219">
                  <c:v>37.799999999999997</c:v>
                </c:pt>
                <c:pt idx="220">
                  <c:v>34.6</c:v>
                </c:pt>
                <c:pt idx="221">
                  <c:v>31.6</c:v>
                </c:pt>
                <c:pt idx="222">
                  <c:v>25.2</c:v>
                </c:pt>
                <c:pt idx="223">
                  <c:v>28.8</c:v>
                </c:pt>
                <c:pt idx="224">
                  <c:v>23.6</c:v>
                </c:pt>
                <c:pt idx="225">
                  <c:v>34.6</c:v>
                </c:pt>
                <c:pt idx="226">
                  <c:v>35.700000000000003</c:v>
                </c:pt>
                <c:pt idx="227">
                  <c:v>37.200000000000003</c:v>
                </c:pt>
                <c:pt idx="228">
                  <c:v>36.700000000000003</c:v>
                </c:pt>
                <c:pt idx="229">
                  <c:v>45.2</c:v>
                </c:pt>
                <c:pt idx="230">
                  <c:v>44</c:v>
                </c:pt>
                <c:pt idx="231">
                  <c:v>46.2</c:v>
                </c:pt>
                <c:pt idx="232">
                  <c:v>25.4</c:v>
                </c:pt>
                <c:pt idx="233">
                  <c:v>35</c:v>
                </c:pt>
                <c:pt idx="234">
                  <c:v>29.7</c:v>
                </c:pt>
                <c:pt idx="235">
                  <c:v>43.6</c:v>
                </c:pt>
                <c:pt idx="236">
                  <c:v>35.9</c:v>
                </c:pt>
                <c:pt idx="237">
                  <c:v>44.1</c:v>
                </c:pt>
                <c:pt idx="238">
                  <c:v>30.8</c:v>
                </c:pt>
                <c:pt idx="239">
                  <c:v>18.399999999999999</c:v>
                </c:pt>
                <c:pt idx="240">
                  <c:v>29.2</c:v>
                </c:pt>
                <c:pt idx="241">
                  <c:v>33.1</c:v>
                </c:pt>
                <c:pt idx="242">
                  <c:v>25.6</c:v>
                </c:pt>
                <c:pt idx="243">
                  <c:v>27.1</c:v>
                </c:pt>
                <c:pt idx="244">
                  <c:v>38.200000000000003</c:v>
                </c:pt>
                <c:pt idx="245">
                  <c:v>30</c:v>
                </c:pt>
                <c:pt idx="246">
                  <c:v>31.2</c:v>
                </c:pt>
                <c:pt idx="247">
                  <c:v>52.3</c:v>
                </c:pt>
                <c:pt idx="248">
                  <c:v>35.4</c:v>
                </c:pt>
                <c:pt idx="249">
                  <c:v>30.1</c:v>
                </c:pt>
                <c:pt idx="250">
                  <c:v>31.2</c:v>
                </c:pt>
                <c:pt idx="251">
                  <c:v>28</c:v>
                </c:pt>
                <c:pt idx="252">
                  <c:v>24.4</c:v>
                </c:pt>
                <c:pt idx="253">
                  <c:v>35.799999999999997</c:v>
                </c:pt>
                <c:pt idx="254">
                  <c:v>27.6</c:v>
                </c:pt>
                <c:pt idx="255">
                  <c:v>33.6</c:v>
                </c:pt>
                <c:pt idx="256">
                  <c:v>30.1</c:v>
                </c:pt>
                <c:pt idx="257">
                  <c:v>28.7</c:v>
                </c:pt>
                <c:pt idx="258">
                  <c:v>25.9</c:v>
                </c:pt>
                <c:pt idx="259">
                  <c:v>33.299999999999997</c:v>
                </c:pt>
                <c:pt idx="260">
                  <c:v>30.9</c:v>
                </c:pt>
                <c:pt idx="261">
                  <c:v>30</c:v>
                </c:pt>
                <c:pt idx="262">
                  <c:v>32.1</c:v>
                </c:pt>
                <c:pt idx="263">
                  <c:v>32.4</c:v>
                </c:pt>
                <c:pt idx="264">
                  <c:v>32</c:v>
                </c:pt>
                <c:pt idx="265">
                  <c:v>33.6</c:v>
                </c:pt>
                <c:pt idx="266">
                  <c:v>36.299999999999997</c:v>
                </c:pt>
                <c:pt idx="267">
                  <c:v>40</c:v>
                </c:pt>
                <c:pt idx="268">
                  <c:v>25.1</c:v>
                </c:pt>
                <c:pt idx="269">
                  <c:v>27.5</c:v>
                </c:pt>
                <c:pt idx="270">
                  <c:v>45.6</c:v>
                </c:pt>
                <c:pt idx="271">
                  <c:v>25.2</c:v>
                </c:pt>
                <c:pt idx="272">
                  <c:v>23</c:v>
                </c:pt>
                <c:pt idx="273">
                  <c:v>33.200000000000003</c:v>
                </c:pt>
                <c:pt idx="274">
                  <c:v>34.200000000000003</c:v>
                </c:pt>
                <c:pt idx="275">
                  <c:v>40.5</c:v>
                </c:pt>
                <c:pt idx="276">
                  <c:v>26.5</c:v>
                </c:pt>
                <c:pt idx="277">
                  <c:v>27.8</c:v>
                </c:pt>
                <c:pt idx="278">
                  <c:v>24.9</c:v>
                </c:pt>
                <c:pt idx="279">
                  <c:v>25.3</c:v>
                </c:pt>
                <c:pt idx="280">
                  <c:v>37.9</c:v>
                </c:pt>
                <c:pt idx="281">
                  <c:v>35.9</c:v>
                </c:pt>
                <c:pt idx="282">
                  <c:v>32.4</c:v>
                </c:pt>
                <c:pt idx="283">
                  <c:v>30.4</c:v>
                </c:pt>
                <c:pt idx="284">
                  <c:v>27</c:v>
                </c:pt>
                <c:pt idx="285">
                  <c:v>26</c:v>
                </c:pt>
                <c:pt idx="286">
                  <c:v>38.700000000000003</c:v>
                </c:pt>
                <c:pt idx="287">
                  <c:v>45.6</c:v>
                </c:pt>
                <c:pt idx="288">
                  <c:v>20.8</c:v>
                </c:pt>
                <c:pt idx="289">
                  <c:v>36.1</c:v>
                </c:pt>
                <c:pt idx="290">
                  <c:v>36.9</c:v>
                </c:pt>
                <c:pt idx="291">
                  <c:v>36.6</c:v>
                </c:pt>
                <c:pt idx="292">
                  <c:v>43.3</c:v>
                </c:pt>
                <c:pt idx="293">
                  <c:v>40.5</c:v>
                </c:pt>
                <c:pt idx="294">
                  <c:v>21.9</c:v>
                </c:pt>
                <c:pt idx="295">
                  <c:v>35.5</c:v>
                </c:pt>
                <c:pt idx="296">
                  <c:v>28</c:v>
                </c:pt>
                <c:pt idx="297">
                  <c:v>30.7</c:v>
                </c:pt>
                <c:pt idx="298">
                  <c:v>36.6</c:v>
                </c:pt>
                <c:pt idx="299">
                  <c:v>23.6</c:v>
                </c:pt>
                <c:pt idx="300">
                  <c:v>32.299999999999997</c:v>
                </c:pt>
                <c:pt idx="301">
                  <c:v>31.6</c:v>
                </c:pt>
                <c:pt idx="302">
                  <c:v>35.799999999999997</c:v>
                </c:pt>
                <c:pt idx="303">
                  <c:v>52.9</c:v>
                </c:pt>
                <c:pt idx="304">
                  <c:v>21</c:v>
                </c:pt>
                <c:pt idx="305">
                  <c:v>39.700000000000003</c:v>
                </c:pt>
                <c:pt idx="306">
                  <c:v>25.5</c:v>
                </c:pt>
                <c:pt idx="307">
                  <c:v>24.8</c:v>
                </c:pt>
                <c:pt idx="308">
                  <c:v>30.5</c:v>
                </c:pt>
                <c:pt idx="309">
                  <c:v>32.9</c:v>
                </c:pt>
                <c:pt idx="310">
                  <c:v>26.2</c:v>
                </c:pt>
                <c:pt idx="311">
                  <c:v>39.4</c:v>
                </c:pt>
                <c:pt idx="312">
                  <c:v>26.6</c:v>
                </c:pt>
                <c:pt idx="313">
                  <c:v>29.5</c:v>
                </c:pt>
                <c:pt idx="314">
                  <c:v>35.9</c:v>
                </c:pt>
                <c:pt idx="315">
                  <c:v>34.1</c:v>
                </c:pt>
                <c:pt idx="316">
                  <c:v>19.3</c:v>
                </c:pt>
                <c:pt idx="317">
                  <c:v>30.5</c:v>
                </c:pt>
                <c:pt idx="318">
                  <c:v>38.1</c:v>
                </c:pt>
                <c:pt idx="319">
                  <c:v>23.5</c:v>
                </c:pt>
                <c:pt idx="320">
                  <c:v>27.5</c:v>
                </c:pt>
                <c:pt idx="321">
                  <c:v>31.6</c:v>
                </c:pt>
                <c:pt idx="322">
                  <c:v>27.4</c:v>
                </c:pt>
                <c:pt idx="323">
                  <c:v>26.8</c:v>
                </c:pt>
                <c:pt idx="324">
                  <c:v>35.700000000000003</c:v>
                </c:pt>
                <c:pt idx="325">
                  <c:v>25.6</c:v>
                </c:pt>
                <c:pt idx="326">
                  <c:v>35.1</c:v>
                </c:pt>
                <c:pt idx="327">
                  <c:v>35.1</c:v>
                </c:pt>
                <c:pt idx="328">
                  <c:v>45.5</c:v>
                </c:pt>
                <c:pt idx="329">
                  <c:v>30.8</c:v>
                </c:pt>
                <c:pt idx="330">
                  <c:v>23.1</c:v>
                </c:pt>
                <c:pt idx="331">
                  <c:v>32.700000000000003</c:v>
                </c:pt>
                <c:pt idx="332">
                  <c:v>43.3</c:v>
                </c:pt>
                <c:pt idx="333">
                  <c:v>23.6</c:v>
                </c:pt>
                <c:pt idx="334">
                  <c:v>23.9</c:v>
                </c:pt>
                <c:pt idx="335">
                  <c:v>47.9</c:v>
                </c:pt>
                <c:pt idx="336">
                  <c:v>33.799999999999997</c:v>
                </c:pt>
                <c:pt idx="337">
                  <c:v>31.2</c:v>
                </c:pt>
                <c:pt idx="338">
                  <c:v>34.200000000000003</c:v>
                </c:pt>
                <c:pt idx="339">
                  <c:v>39.9</c:v>
                </c:pt>
                <c:pt idx="340">
                  <c:v>25.9</c:v>
                </c:pt>
                <c:pt idx="341">
                  <c:v>25.9</c:v>
                </c:pt>
                <c:pt idx="342">
                  <c:v>32</c:v>
                </c:pt>
                <c:pt idx="343">
                  <c:v>34.700000000000003</c:v>
                </c:pt>
                <c:pt idx="344">
                  <c:v>36.799999999999997</c:v>
                </c:pt>
                <c:pt idx="345">
                  <c:v>38.5</c:v>
                </c:pt>
                <c:pt idx="346">
                  <c:v>28.7</c:v>
                </c:pt>
                <c:pt idx="347">
                  <c:v>23.5</c:v>
                </c:pt>
                <c:pt idx="348">
                  <c:v>21.8</c:v>
                </c:pt>
                <c:pt idx="349">
                  <c:v>41</c:v>
                </c:pt>
                <c:pt idx="350">
                  <c:v>42.2</c:v>
                </c:pt>
                <c:pt idx="351">
                  <c:v>31.2</c:v>
                </c:pt>
                <c:pt idx="352">
                  <c:v>34.4</c:v>
                </c:pt>
                <c:pt idx="353">
                  <c:v>27.2</c:v>
                </c:pt>
                <c:pt idx="354">
                  <c:v>42.7</c:v>
                </c:pt>
                <c:pt idx="355">
                  <c:v>30.4</c:v>
                </c:pt>
                <c:pt idx="356">
                  <c:v>33.299999999999997</c:v>
                </c:pt>
                <c:pt idx="357">
                  <c:v>39.9</c:v>
                </c:pt>
                <c:pt idx="358">
                  <c:v>35.299999999999997</c:v>
                </c:pt>
                <c:pt idx="359">
                  <c:v>36.5</c:v>
                </c:pt>
                <c:pt idx="360">
                  <c:v>31.2</c:v>
                </c:pt>
                <c:pt idx="361">
                  <c:v>29.8</c:v>
                </c:pt>
                <c:pt idx="362">
                  <c:v>39.200000000000003</c:v>
                </c:pt>
                <c:pt idx="363">
                  <c:v>38.5</c:v>
                </c:pt>
                <c:pt idx="364">
                  <c:v>34.9</c:v>
                </c:pt>
                <c:pt idx="365">
                  <c:v>34</c:v>
                </c:pt>
                <c:pt idx="366">
                  <c:v>27.6</c:v>
                </c:pt>
                <c:pt idx="367">
                  <c:v>21</c:v>
                </c:pt>
                <c:pt idx="368">
                  <c:v>27.5</c:v>
                </c:pt>
                <c:pt idx="369">
                  <c:v>32.799999999999997</c:v>
                </c:pt>
                <c:pt idx="370">
                  <c:v>38.4</c:v>
                </c:pt>
                <c:pt idx="371">
                  <c:v>32.299999999999997</c:v>
                </c:pt>
                <c:pt idx="372">
                  <c:v>35.799999999999997</c:v>
                </c:pt>
                <c:pt idx="373">
                  <c:v>34.9</c:v>
                </c:pt>
                <c:pt idx="374">
                  <c:v>36.200000000000003</c:v>
                </c:pt>
                <c:pt idx="375">
                  <c:v>39.200000000000003</c:v>
                </c:pt>
                <c:pt idx="376">
                  <c:v>25.2</c:v>
                </c:pt>
                <c:pt idx="377">
                  <c:v>37.200000000000003</c:v>
                </c:pt>
                <c:pt idx="378">
                  <c:v>48.3</c:v>
                </c:pt>
                <c:pt idx="379">
                  <c:v>43.4</c:v>
                </c:pt>
                <c:pt idx="380">
                  <c:v>30.8</c:v>
                </c:pt>
                <c:pt idx="381">
                  <c:v>20</c:v>
                </c:pt>
                <c:pt idx="382">
                  <c:v>25.4</c:v>
                </c:pt>
                <c:pt idx="383">
                  <c:v>25.1</c:v>
                </c:pt>
                <c:pt idx="384">
                  <c:v>24.3</c:v>
                </c:pt>
                <c:pt idx="385">
                  <c:v>22.3</c:v>
                </c:pt>
                <c:pt idx="386">
                  <c:v>32.299999999999997</c:v>
                </c:pt>
                <c:pt idx="387">
                  <c:v>43.3</c:v>
                </c:pt>
                <c:pt idx="388">
                  <c:v>32</c:v>
                </c:pt>
                <c:pt idx="389">
                  <c:v>31.6</c:v>
                </c:pt>
                <c:pt idx="390">
                  <c:v>32</c:v>
                </c:pt>
                <c:pt idx="391">
                  <c:v>45.7</c:v>
                </c:pt>
                <c:pt idx="392">
                  <c:v>23.7</c:v>
                </c:pt>
                <c:pt idx="393">
                  <c:v>22.1</c:v>
                </c:pt>
                <c:pt idx="394">
                  <c:v>32.9</c:v>
                </c:pt>
                <c:pt idx="395">
                  <c:v>27.7</c:v>
                </c:pt>
                <c:pt idx="396">
                  <c:v>24.7</c:v>
                </c:pt>
                <c:pt idx="397">
                  <c:v>34.299999999999997</c:v>
                </c:pt>
                <c:pt idx="398">
                  <c:v>21.1</c:v>
                </c:pt>
                <c:pt idx="399">
                  <c:v>34.9</c:v>
                </c:pt>
                <c:pt idx="400">
                  <c:v>32</c:v>
                </c:pt>
                <c:pt idx="401">
                  <c:v>24.2</c:v>
                </c:pt>
                <c:pt idx="402">
                  <c:v>35</c:v>
                </c:pt>
                <c:pt idx="403">
                  <c:v>31.6</c:v>
                </c:pt>
                <c:pt idx="404">
                  <c:v>32.9</c:v>
                </c:pt>
                <c:pt idx="405">
                  <c:v>42.1</c:v>
                </c:pt>
                <c:pt idx="406">
                  <c:v>28.9</c:v>
                </c:pt>
                <c:pt idx="407">
                  <c:v>21.9</c:v>
                </c:pt>
                <c:pt idx="408">
                  <c:v>25.9</c:v>
                </c:pt>
                <c:pt idx="409">
                  <c:v>42.4</c:v>
                </c:pt>
                <c:pt idx="410">
                  <c:v>35.700000000000003</c:v>
                </c:pt>
                <c:pt idx="411">
                  <c:v>34.4</c:v>
                </c:pt>
                <c:pt idx="412">
                  <c:v>42.4</c:v>
                </c:pt>
                <c:pt idx="413">
                  <c:v>26.2</c:v>
                </c:pt>
                <c:pt idx="414">
                  <c:v>34.6</c:v>
                </c:pt>
                <c:pt idx="415">
                  <c:v>35.700000000000003</c:v>
                </c:pt>
                <c:pt idx="416">
                  <c:v>27.2</c:v>
                </c:pt>
                <c:pt idx="417">
                  <c:v>38.5</c:v>
                </c:pt>
                <c:pt idx="418">
                  <c:v>18.2</c:v>
                </c:pt>
                <c:pt idx="419">
                  <c:v>26.4</c:v>
                </c:pt>
                <c:pt idx="420">
                  <c:v>45.3</c:v>
                </c:pt>
                <c:pt idx="421">
                  <c:v>26</c:v>
                </c:pt>
                <c:pt idx="422">
                  <c:v>40.6</c:v>
                </c:pt>
                <c:pt idx="423">
                  <c:v>30.8</c:v>
                </c:pt>
                <c:pt idx="424">
                  <c:v>42.9</c:v>
                </c:pt>
                <c:pt idx="425">
                  <c:v>37</c:v>
                </c:pt>
                <c:pt idx="426">
                  <c:v>32.299999999999997</c:v>
                </c:pt>
                <c:pt idx="427">
                  <c:v>34.1</c:v>
                </c:pt>
                <c:pt idx="428">
                  <c:v>40.6</c:v>
                </c:pt>
                <c:pt idx="429">
                  <c:v>35</c:v>
                </c:pt>
                <c:pt idx="430">
                  <c:v>22.2</c:v>
                </c:pt>
                <c:pt idx="431">
                  <c:v>30.4</c:v>
                </c:pt>
                <c:pt idx="432">
                  <c:v>30</c:v>
                </c:pt>
                <c:pt idx="433">
                  <c:v>25.6</c:v>
                </c:pt>
                <c:pt idx="434">
                  <c:v>24.5</c:v>
                </c:pt>
                <c:pt idx="435">
                  <c:v>42.4</c:v>
                </c:pt>
                <c:pt idx="436">
                  <c:v>37.4</c:v>
                </c:pt>
                <c:pt idx="437">
                  <c:v>29.9</c:v>
                </c:pt>
                <c:pt idx="438">
                  <c:v>18.2</c:v>
                </c:pt>
                <c:pt idx="439">
                  <c:v>36.799999999999997</c:v>
                </c:pt>
                <c:pt idx="440">
                  <c:v>34.299999999999997</c:v>
                </c:pt>
                <c:pt idx="441">
                  <c:v>32.200000000000003</c:v>
                </c:pt>
                <c:pt idx="442">
                  <c:v>33.200000000000003</c:v>
                </c:pt>
                <c:pt idx="443">
                  <c:v>30.5</c:v>
                </c:pt>
                <c:pt idx="444">
                  <c:v>29.7</c:v>
                </c:pt>
                <c:pt idx="445">
                  <c:v>59.4</c:v>
                </c:pt>
                <c:pt idx="446">
                  <c:v>25.3</c:v>
                </c:pt>
                <c:pt idx="447">
                  <c:v>36.5</c:v>
                </c:pt>
                <c:pt idx="448">
                  <c:v>33.6</c:v>
                </c:pt>
                <c:pt idx="449">
                  <c:v>30.5</c:v>
                </c:pt>
                <c:pt idx="450">
                  <c:v>21.2</c:v>
                </c:pt>
                <c:pt idx="451">
                  <c:v>28.9</c:v>
                </c:pt>
                <c:pt idx="452">
                  <c:v>39.9</c:v>
                </c:pt>
                <c:pt idx="453">
                  <c:v>19.600000000000001</c:v>
                </c:pt>
                <c:pt idx="454">
                  <c:v>37.799999999999997</c:v>
                </c:pt>
                <c:pt idx="455">
                  <c:v>33.6</c:v>
                </c:pt>
                <c:pt idx="456">
                  <c:v>26.7</c:v>
                </c:pt>
                <c:pt idx="457">
                  <c:v>30.2</c:v>
                </c:pt>
                <c:pt idx="458">
                  <c:v>37.6</c:v>
                </c:pt>
                <c:pt idx="459">
                  <c:v>25.9</c:v>
                </c:pt>
                <c:pt idx="460">
                  <c:v>20.8</c:v>
                </c:pt>
                <c:pt idx="461">
                  <c:v>21.8</c:v>
                </c:pt>
                <c:pt idx="462">
                  <c:v>35.299999999999997</c:v>
                </c:pt>
                <c:pt idx="463">
                  <c:v>27.6</c:v>
                </c:pt>
                <c:pt idx="464">
                  <c:v>24</c:v>
                </c:pt>
                <c:pt idx="465">
                  <c:v>21.8</c:v>
                </c:pt>
                <c:pt idx="466">
                  <c:v>27.8</c:v>
                </c:pt>
                <c:pt idx="467">
                  <c:v>36.799999999999997</c:v>
                </c:pt>
                <c:pt idx="468">
                  <c:v>30</c:v>
                </c:pt>
                <c:pt idx="469">
                  <c:v>46.1</c:v>
                </c:pt>
                <c:pt idx="470">
                  <c:v>41.3</c:v>
                </c:pt>
                <c:pt idx="471">
                  <c:v>33.200000000000003</c:v>
                </c:pt>
                <c:pt idx="472">
                  <c:v>38.799999999999997</c:v>
                </c:pt>
                <c:pt idx="473">
                  <c:v>29.9</c:v>
                </c:pt>
                <c:pt idx="474">
                  <c:v>28.9</c:v>
                </c:pt>
                <c:pt idx="475">
                  <c:v>27.3</c:v>
                </c:pt>
                <c:pt idx="476">
                  <c:v>33.700000000000003</c:v>
                </c:pt>
                <c:pt idx="477">
                  <c:v>23.8</c:v>
                </c:pt>
                <c:pt idx="478">
                  <c:v>25.9</c:v>
                </c:pt>
                <c:pt idx="479">
                  <c:v>28</c:v>
                </c:pt>
                <c:pt idx="480">
                  <c:v>35.5</c:v>
                </c:pt>
                <c:pt idx="481">
                  <c:v>35.200000000000003</c:v>
                </c:pt>
                <c:pt idx="482">
                  <c:v>27.8</c:v>
                </c:pt>
                <c:pt idx="483">
                  <c:v>38.200000000000003</c:v>
                </c:pt>
                <c:pt idx="484">
                  <c:v>44.2</c:v>
                </c:pt>
                <c:pt idx="485">
                  <c:v>42.3</c:v>
                </c:pt>
                <c:pt idx="486">
                  <c:v>40.700000000000003</c:v>
                </c:pt>
                <c:pt idx="487">
                  <c:v>46.5</c:v>
                </c:pt>
                <c:pt idx="488">
                  <c:v>25.6</c:v>
                </c:pt>
                <c:pt idx="489">
                  <c:v>26.1</c:v>
                </c:pt>
                <c:pt idx="490">
                  <c:v>36.799999999999997</c:v>
                </c:pt>
                <c:pt idx="491">
                  <c:v>33.5</c:v>
                </c:pt>
                <c:pt idx="492">
                  <c:v>32.799999999999997</c:v>
                </c:pt>
                <c:pt idx="493">
                  <c:v>28.9</c:v>
                </c:pt>
                <c:pt idx="494">
                  <c:v>32.299999999999997</c:v>
                </c:pt>
                <c:pt idx="495">
                  <c:v>26.6</c:v>
                </c:pt>
                <c:pt idx="496">
                  <c:v>26</c:v>
                </c:pt>
                <c:pt idx="497">
                  <c:v>30.1</c:v>
                </c:pt>
                <c:pt idx="498">
                  <c:v>25.1</c:v>
                </c:pt>
                <c:pt idx="499">
                  <c:v>29.3</c:v>
                </c:pt>
                <c:pt idx="500">
                  <c:v>25.2</c:v>
                </c:pt>
                <c:pt idx="501">
                  <c:v>37.200000000000003</c:v>
                </c:pt>
                <c:pt idx="502">
                  <c:v>39</c:v>
                </c:pt>
                <c:pt idx="503">
                  <c:v>33.299999999999997</c:v>
                </c:pt>
                <c:pt idx="504">
                  <c:v>37.299999999999997</c:v>
                </c:pt>
                <c:pt idx="505">
                  <c:v>33.299999999999997</c:v>
                </c:pt>
                <c:pt idx="506">
                  <c:v>36.5</c:v>
                </c:pt>
                <c:pt idx="507">
                  <c:v>28.6</c:v>
                </c:pt>
                <c:pt idx="508">
                  <c:v>30.4</c:v>
                </c:pt>
                <c:pt idx="509">
                  <c:v>25</c:v>
                </c:pt>
                <c:pt idx="510">
                  <c:v>29.7</c:v>
                </c:pt>
                <c:pt idx="511">
                  <c:v>22.1</c:v>
                </c:pt>
                <c:pt idx="512">
                  <c:v>24.2</c:v>
                </c:pt>
                <c:pt idx="513">
                  <c:v>27.3</c:v>
                </c:pt>
                <c:pt idx="514">
                  <c:v>25.6</c:v>
                </c:pt>
                <c:pt idx="515">
                  <c:v>31.6</c:v>
                </c:pt>
                <c:pt idx="516">
                  <c:v>30.3</c:v>
                </c:pt>
                <c:pt idx="517">
                  <c:v>37.6</c:v>
                </c:pt>
                <c:pt idx="518">
                  <c:v>32.799999999999997</c:v>
                </c:pt>
                <c:pt idx="519">
                  <c:v>19.600000000000001</c:v>
                </c:pt>
                <c:pt idx="520">
                  <c:v>25</c:v>
                </c:pt>
                <c:pt idx="521">
                  <c:v>33.200000000000003</c:v>
                </c:pt>
                <c:pt idx="522">
                  <c:v>32.299999999999997</c:v>
                </c:pt>
                <c:pt idx="523">
                  <c:v>34.200000000000003</c:v>
                </c:pt>
                <c:pt idx="524">
                  <c:v>31.6</c:v>
                </c:pt>
                <c:pt idx="525">
                  <c:v>21.8</c:v>
                </c:pt>
                <c:pt idx="526">
                  <c:v>18.2</c:v>
                </c:pt>
                <c:pt idx="527">
                  <c:v>26.3</c:v>
                </c:pt>
                <c:pt idx="528">
                  <c:v>30.8</c:v>
                </c:pt>
                <c:pt idx="529">
                  <c:v>24.6</c:v>
                </c:pt>
                <c:pt idx="530">
                  <c:v>29.8</c:v>
                </c:pt>
                <c:pt idx="531">
                  <c:v>45.3</c:v>
                </c:pt>
                <c:pt idx="532">
                  <c:v>41.3</c:v>
                </c:pt>
                <c:pt idx="533">
                  <c:v>29.8</c:v>
                </c:pt>
                <c:pt idx="534">
                  <c:v>33.299999999999997</c:v>
                </c:pt>
                <c:pt idx="535">
                  <c:v>32.9</c:v>
                </c:pt>
                <c:pt idx="536">
                  <c:v>29.6</c:v>
                </c:pt>
                <c:pt idx="537">
                  <c:v>21.7</c:v>
                </c:pt>
                <c:pt idx="538">
                  <c:v>36.299999999999997</c:v>
                </c:pt>
                <c:pt idx="539">
                  <c:v>36.4</c:v>
                </c:pt>
                <c:pt idx="540">
                  <c:v>39.4</c:v>
                </c:pt>
                <c:pt idx="541">
                  <c:v>32.4</c:v>
                </c:pt>
                <c:pt idx="542">
                  <c:v>34.9</c:v>
                </c:pt>
                <c:pt idx="543">
                  <c:v>39.5</c:v>
                </c:pt>
                <c:pt idx="544">
                  <c:v>32</c:v>
                </c:pt>
                <c:pt idx="545">
                  <c:v>34.5</c:v>
                </c:pt>
                <c:pt idx="546">
                  <c:v>43.6</c:v>
                </c:pt>
                <c:pt idx="547">
                  <c:v>33.1</c:v>
                </c:pt>
                <c:pt idx="548">
                  <c:v>32.799999999999997</c:v>
                </c:pt>
                <c:pt idx="549">
                  <c:v>28.5</c:v>
                </c:pt>
                <c:pt idx="550">
                  <c:v>27.4</c:v>
                </c:pt>
                <c:pt idx="551">
                  <c:v>31.9</c:v>
                </c:pt>
                <c:pt idx="552">
                  <c:v>27.8</c:v>
                </c:pt>
                <c:pt idx="553">
                  <c:v>29.9</c:v>
                </c:pt>
                <c:pt idx="554">
                  <c:v>36.9</c:v>
                </c:pt>
                <c:pt idx="555">
                  <c:v>25.5</c:v>
                </c:pt>
                <c:pt idx="556">
                  <c:v>38.1</c:v>
                </c:pt>
                <c:pt idx="557">
                  <c:v>27.8</c:v>
                </c:pt>
                <c:pt idx="558">
                  <c:v>46.2</c:v>
                </c:pt>
                <c:pt idx="559">
                  <c:v>30.1</c:v>
                </c:pt>
                <c:pt idx="560">
                  <c:v>33.799999999999997</c:v>
                </c:pt>
                <c:pt idx="561">
                  <c:v>41.3</c:v>
                </c:pt>
                <c:pt idx="562">
                  <c:v>37.6</c:v>
                </c:pt>
                <c:pt idx="563">
                  <c:v>26.9</c:v>
                </c:pt>
                <c:pt idx="564">
                  <c:v>32.4</c:v>
                </c:pt>
                <c:pt idx="565">
                  <c:v>26.1</c:v>
                </c:pt>
                <c:pt idx="566">
                  <c:v>38.6</c:v>
                </c:pt>
                <c:pt idx="567">
                  <c:v>32</c:v>
                </c:pt>
                <c:pt idx="568">
                  <c:v>31.3</c:v>
                </c:pt>
                <c:pt idx="569">
                  <c:v>34.299999999999997</c:v>
                </c:pt>
                <c:pt idx="570">
                  <c:v>32.5</c:v>
                </c:pt>
                <c:pt idx="571">
                  <c:v>22.6</c:v>
                </c:pt>
                <c:pt idx="572">
                  <c:v>29.5</c:v>
                </c:pt>
                <c:pt idx="573">
                  <c:v>34.700000000000003</c:v>
                </c:pt>
                <c:pt idx="574">
                  <c:v>30.1</c:v>
                </c:pt>
                <c:pt idx="575">
                  <c:v>35.5</c:v>
                </c:pt>
                <c:pt idx="576">
                  <c:v>24</c:v>
                </c:pt>
                <c:pt idx="577">
                  <c:v>42.9</c:v>
                </c:pt>
                <c:pt idx="578">
                  <c:v>27</c:v>
                </c:pt>
                <c:pt idx="579">
                  <c:v>34.700000000000003</c:v>
                </c:pt>
                <c:pt idx="580">
                  <c:v>42.1</c:v>
                </c:pt>
                <c:pt idx="581">
                  <c:v>25</c:v>
                </c:pt>
                <c:pt idx="582">
                  <c:v>26.5</c:v>
                </c:pt>
                <c:pt idx="583">
                  <c:v>38.700000000000003</c:v>
                </c:pt>
                <c:pt idx="584">
                  <c:v>28.7</c:v>
                </c:pt>
                <c:pt idx="585">
                  <c:v>22.5</c:v>
                </c:pt>
                <c:pt idx="586">
                  <c:v>34.9</c:v>
                </c:pt>
                <c:pt idx="587">
                  <c:v>24.3</c:v>
                </c:pt>
                <c:pt idx="588">
                  <c:v>33.299999999999997</c:v>
                </c:pt>
                <c:pt idx="589">
                  <c:v>21.1</c:v>
                </c:pt>
                <c:pt idx="590">
                  <c:v>46.8</c:v>
                </c:pt>
                <c:pt idx="591">
                  <c:v>39.4</c:v>
                </c:pt>
                <c:pt idx="592">
                  <c:v>34.4</c:v>
                </c:pt>
                <c:pt idx="593">
                  <c:v>28.5</c:v>
                </c:pt>
                <c:pt idx="594">
                  <c:v>33.6</c:v>
                </c:pt>
                <c:pt idx="595">
                  <c:v>32</c:v>
                </c:pt>
                <c:pt idx="596">
                  <c:v>45.3</c:v>
                </c:pt>
                <c:pt idx="597">
                  <c:v>27.8</c:v>
                </c:pt>
                <c:pt idx="598">
                  <c:v>36.799999999999997</c:v>
                </c:pt>
                <c:pt idx="599">
                  <c:v>23.1</c:v>
                </c:pt>
                <c:pt idx="600">
                  <c:v>27.1</c:v>
                </c:pt>
                <c:pt idx="601">
                  <c:v>23.7</c:v>
                </c:pt>
                <c:pt idx="602">
                  <c:v>27.8</c:v>
                </c:pt>
                <c:pt idx="603">
                  <c:v>35.200000000000003</c:v>
                </c:pt>
                <c:pt idx="604">
                  <c:v>28.4</c:v>
                </c:pt>
                <c:pt idx="605">
                  <c:v>35.799999999999997</c:v>
                </c:pt>
                <c:pt idx="606">
                  <c:v>40</c:v>
                </c:pt>
                <c:pt idx="607">
                  <c:v>19.5</c:v>
                </c:pt>
                <c:pt idx="608">
                  <c:v>41.5</c:v>
                </c:pt>
                <c:pt idx="609">
                  <c:v>24</c:v>
                </c:pt>
                <c:pt idx="610">
                  <c:v>30.9</c:v>
                </c:pt>
                <c:pt idx="611">
                  <c:v>32.9</c:v>
                </c:pt>
                <c:pt idx="612">
                  <c:v>38.200000000000003</c:v>
                </c:pt>
                <c:pt idx="613">
                  <c:v>32.5</c:v>
                </c:pt>
                <c:pt idx="614">
                  <c:v>36.1</c:v>
                </c:pt>
                <c:pt idx="615">
                  <c:v>25.8</c:v>
                </c:pt>
                <c:pt idx="616">
                  <c:v>28.7</c:v>
                </c:pt>
                <c:pt idx="617">
                  <c:v>20.100000000000001</c:v>
                </c:pt>
                <c:pt idx="618">
                  <c:v>28.2</c:v>
                </c:pt>
                <c:pt idx="619">
                  <c:v>32.4</c:v>
                </c:pt>
                <c:pt idx="620">
                  <c:v>38.4</c:v>
                </c:pt>
                <c:pt idx="621">
                  <c:v>24.2</c:v>
                </c:pt>
                <c:pt idx="622">
                  <c:v>40.799999999999997</c:v>
                </c:pt>
                <c:pt idx="623">
                  <c:v>43.5</c:v>
                </c:pt>
                <c:pt idx="624">
                  <c:v>30.8</c:v>
                </c:pt>
                <c:pt idx="625">
                  <c:v>37.700000000000003</c:v>
                </c:pt>
                <c:pt idx="626">
                  <c:v>24.7</c:v>
                </c:pt>
                <c:pt idx="627">
                  <c:v>32.4</c:v>
                </c:pt>
                <c:pt idx="628">
                  <c:v>34.6</c:v>
                </c:pt>
                <c:pt idx="629">
                  <c:v>24.7</c:v>
                </c:pt>
                <c:pt idx="630">
                  <c:v>27.4</c:v>
                </c:pt>
                <c:pt idx="631">
                  <c:v>34.5</c:v>
                </c:pt>
                <c:pt idx="632">
                  <c:v>26.2</c:v>
                </c:pt>
                <c:pt idx="633">
                  <c:v>27.5</c:v>
                </c:pt>
                <c:pt idx="634">
                  <c:v>25.9</c:v>
                </c:pt>
                <c:pt idx="635">
                  <c:v>31.2</c:v>
                </c:pt>
                <c:pt idx="636">
                  <c:v>28.8</c:v>
                </c:pt>
                <c:pt idx="637">
                  <c:v>31.6</c:v>
                </c:pt>
                <c:pt idx="638">
                  <c:v>40.9</c:v>
                </c:pt>
                <c:pt idx="639">
                  <c:v>19.5</c:v>
                </c:pt>
                <c:pt idx="640">
                  <c:v>29.3</c:v>
                </c:pt>
                <c:pt idx="641">
                  <c:v>34.299999999999997</c:v>
                </c:pt>
                <c:pt idx="642">
                  <c:v>29.5</c:v>
                </c:pt>
                <c:pt idx="643">
                  <c:v>28</c:v>
                </c:pt>
                <c:pt idx="644">
                  <c:v>27.6</c:v>
                </c:pt>
                <c:pt idx="645">
                  <c:v>39.4</c:v>
                </c:pt>
                <c:pt idx="646">
                  <c:v>23.4</c:v>
                </c:pt>
                <c:pt idx="647">
                  <c:v>37.799999999999997</c:v>
                </c:pt>
                <c:pt idx="648">
                  <c:v>28.3</c:v>
                </c:pt>
                <c:pt idx="649">
                  <c:v>26.4</c:v>
                </c:pt>
                <c:pt idx="650">
                  <c:v>25.2</c:v>
                </c:pt>
                <c:pt idx="651">
                  <c:v>33.799999999999997</c:v>
                </c:pt>
                <c:pt idx="652">
                  <c:v>34.1</c:v>
                </c:pt>
                <c:pt idx="653">
                  <c:v>26.8</c:v>
                </c:pt>
                <c:pt idx="654">
                  <c:v>34.200000000000003</c:v>
                </c:pt>
                <c:pt idx="655">
                  <c:v>38.700000000000003</c:v>
                </c:pt>
                <c:pt idx="656">
                  <c:v>21.8</c:v>
                </c:pt>
                <c:pt idx="657">
                  <c:v>38.9</c:v>
                </c:pt>
                <c:pt idx="658">
                  <c:v>39</c:v>
                </c:pt>
                <c:pt idx="659">
                  <c:v>34.200000000000003</c:v>
                </c:pt>
                <c:pt idx="660">
                  <c:v>27.7</c:v>
                </c:pt>
                <c:pt idx="661">
                  <c:v>42.9</c:v>
                </c:pt>
                <c:pt idx="662">
                  <c:v>37.6</c:v>
                </c:pt>
                <c:pt idx="663">
                  <c:v>37.9</c:v>
                </c:pt>
                <c:pt idx="664">
                  <c:v>33.700000000000003</c:v>
                </c:pt>
                <c:pt idx="665">
                  <c:v>34.799999999999997</c:v>
                </c:pt>
                <c:pt idx="666">
                  <c:v>32.5</c:v>
                </c:pt>
                <c:pt idx="667">
                  <c:v>27.5</c:v>
                </c:pt>
                <c:pt idx="668">
                  <c:v>34</c:v>
                </c:pt>
                <c:pt idx="669">
                  <c:v>30.9</c:v>
                </c:pt>
                <c:pt idx="670">
                  <c:v>33.6</c:v>
                </c:pt>
                <c:pt idx="671">
                  <c:v>25.4</c:v>
                </c:pt>
                <c:pt idx="672">
                  <c:v>35.5</c:v>
                </c:pt>
                <c:pt idx="673">
                  <c:v>57.3</c:v>
                </c:pt>
                <c:pt idx="674">
                  <c:v>35.6</c:v>
                </c:pt>
                <c:pt idx="675">
                  <c:v>30.9</c:v>
                </c:pt>
                <c:pt idx="676">
                  <c:v>24.8</c:v>
                </c:pt>
                <c:pt idx="677">
                  <c:v>35.299999999999997</c:v>
                </c:pt>
                <c:pt idx="678">
                  <c:v>36</c:v>
                </c:pt>
                <c:pt idx="679">
                  <c:v>24.2</c:v>
                </c:pt>
                <c:pt idx="680">
                  <c:v>24.2</c:v>
                </c:pt>
                <c:pt idx="681">
                  <c:v>49.6</c:v>
                </c:pt>
                <c:pt idx="682">
                  <c:v>44.6</c:v>
                </c:pt>
                <c:pt idx="683">
                  <c:v>32.299999999999997</c:v>
                </c:pt>
                <c:pt idx="684">
                  <c:v>32.299999999999997</c:v>
                </c:pt>
                <c:pt idx="685">
                  <c:v>33.200000000000003</c:v>
                </c:pt>
                <c:pt idx="686">
                  <c:v>23.1</c:v>
                </c:pt>
                <c:pt idx="687">
                  <c:v>28.3</c:v>
                </c:pt>
                <c:pt idx="688">
                  <c:v>24.1</c:v>
                </c:pt>
                <c:pt idx="689">
                  <c:v>46.1</c:v>
                </c:pt>
                <c:pt idx="690">
                  <c:v>24.6</c:v>
                </c:pt>
                <c:pt idx="691">
                  <c:v>42.3</c:v>
                </c:pt>
                <c:pt idx="692">
                  <c:v>39.1</c:v>
                </c:pt>
                <c:pt idx="693">
                  <c:v>38.5</c:v>
                </c:pt>
                <c:pt idx="694">
                  <c:v>23.5</c:v>
                </c:pt>
                <c:pt idx="695">
                  <c:v>30.4</c:v>
                </c:pt>
                <c:pt idx="696">
                  <c:v>29.9</c:v>
                </c:pt>
                <c:pt idx="697">
                  <c:v>25</c:v>
                </c:pt>
                <c:pt idx="698">
                  <c:v>34.5</c:v>
                </c:pt>
                <c:pt idx="699">
                  <c:v>44.5</c:v>
                </c:pt>
                <c:pt idx="700">
                  <c:v>35.9</c:v>
                </c:pt>
                <c:pt idx="701">
                  <c:v>27.6</c:v>
                </c:pt>
                <c:pt idx="702">
                  <c:v>35</c:v>
                </c:pt>
                <c:pt idx="703">
                  <c:v>38.5</c:v>
                </c:pt>
                <c:pt idx="704">
                  <c:v>28.4</c:v>
                </c:pt>
                <c:pt idx="705">
                  <c:v>39.799999999999997</c:v>
                </c:pt>
                <c:pt idx="706">
                  <c:v>32.299999999999997</c:v>
                </c:pt>
                <c:pt idx="707">
                  <c:v>34.4</c:v>
                </c:pt>
                <c:pt idx="708">
                  <c:v>32.799999999999997</c:v>
                </c:pt>
                <c:pt idx="709">
                  <c:v>38</c:v>
                </c:pt>
                <c:pt idx="710">
                  <c:v>31.2</c:v>
                </c:pt>
                <c:pt idx="711">
                  <c:v>29.6</c:v>
                </c:pt>
                <c:pt idx="712">
                  <c:v>41.2</c:v>
                </c:pt>
                <c:pt idx="713">
                  <c:v>26.4</c:v>
                </c:pt>
                <c:pt idx="714">
                  <c:v>29.5</c:v>
                </c:pt>
                <c:pt idx="715">
                  <c:v>33.9</c:v>
                </c:pt>
                <c:pt idx="716">
                  <c:v>33.799999999999997</c:v>
                </c:pt>
                <c:pt idx="717">
                  <c:v>23.1</c:v>
                </c:pt>
                <c:pt idx="718">
                  <c:v>35.5</c:v>
                </c:pt>
                <c:pt idx="719">
                  <c:v>35.6</c:v>
                </c:pt>
                <c:pt idx="720">
                  <c:v>29.3</c:v>
                </c:pt>
                <c:pt idx="721">
                  <c:v>38.1</c:v>
                </c:pt>
                <c:pt idx="722">
                  <c:v>29.3</c:v>
                </c:pt>
                <c:pt idx="723">
                  <c:v>39.1</c:v>
                </c:pt>
                <c:pt idx="724">
                  <c:v>32.799999999999997</c:v>
                </c:pt>
                <c:pt idx="725">
                  <c:v>39.4</c:v>
                </c:pt>
                <c:pt idx="726">
                  <c:v>36.1</c:v>
                </c:pt>
                <c:pt idx="727">
                  <c:v>32.4</c:v>
                </c:pt>
                <c:pt idx="728">
                  <c:v>22.9</c:v>
                </c:pt>
                <c:pt idx="729">
                  <c:v>30.1</c:v>
                </c:pt>
                <c:pt idx="730">
                  <c:v>28.4</c:v>
                </c:pt>
                <c:pt idx="731">
                  <c:v>28.4</c:v>
                </c:pt>
                <c:pt idx="732">
                  <c:v>44.5</c:v>
                </c:pt>
                <c:pt idx="733">
                  <c:v>29</c:v>
                </c:pt>
                <c:pt idx="734">
                  <c:v>23.3</c:v>
                </c:pt>
                <c:pt idx="735">
                  <c:v>35.4</c:v>
                </c:pt>
                <c:pt idx="736">
                  <c:v>27.4</c:v>
                </c:pt>
                <c:pt idx="737">
                  <c:v>32</c:v>
                </c:pt>
                <c:pt idx="738">
                  <c:v>36.6</c:v>
                </c:pt>
                <c:pt idx="739">
                  <c:v>39.5</c:v>
                </c:pt>
                <c:pt idx="740">
                  <c:v>42.3</c:v>
                </c:pt>
                <c:pt idx="741">
                  <c:v>30.8</c:v>
                </c:pt>
                <c:pt idx="742">
                  <c:v>28.5</c:v>
                </c:pt>
                <c:pt idx="743">
                  <c:v>32.700000000000003</c:v>
                </c:pt>
                <c:pt idx="744">
                  <c:v>40.6</c:v>
                </c:pt>
                <c:pt idx="745">
                  <c:v>30</c:v>
                </c:pt>
                <c:pt idx="746">
                  <c:v>49.3</c:v>
                </c:pt>
                <c:pt idx="747">
                  <c:v>46.3</c:v>
                </c:pt>
                <c:pt idx="748">
                  <c:v>36.4</c:v>
                </c:pt>
                <c:pt idx="749">
                  <c:v>24.3</c:v>
                </c:pt>
                <c:pt idx="750">
                  <c:v>31.2</c:v>
                </c:pt>
                <c:pt idx="751">
                  <c:v>39</c:v>
                </c:pt>
                <c:pt idx="752">
                  <c:v>26</c:v>
                </c:pt>
                <c:pt idx="753">
                  <c:v>43.3</c:v>
                </c:pt>
                <c:pt idx="754">
                  <c:v>32.4</c:v>
                </c:pt>
                <c:pt idx="755">
                  <c:v>36.5</c:v>
                </c:pt>
                <c:pt idx="756">
                  <c:v>32</c:v>
                </c:pt>
                <c:pt idx="757">
                  <c:v>36.299999999999997</c:v>
                </c:pt>
                <c:pt idx="758">
                  <c:v>37.5</c:v>
                </c:pt>
                <c:pt idx="759">
                  <c:v>35.5</c:v>
                </c:pt>
                <c:pt idx="760">
                  <c:v>28.4</c:v>
                </c:pt>
                <c:pt idx="761">
                  <c:v>44</c:v>
                </c:pt>
                <c:pt idx="762">
                  <c:v>22.5</c:v>
                </c:pt>
                <c:pt idx="763">
                  <c:v>32.9</c:v>
                </c:pt>
                <c:pt idx="764">
                  <c:v>36.799999999999997</c:v>
                </c:pt>
                <c:pt idx="765">
                  <c:v>26.2</c:v>
                </c:pt>
                <c:pt idx="766">
                  <c:v>30.1</c:v>
                </c:pt>
                <c:pt idx="767">
                  <c:v>30.4</c:v>
                </c:pt>
              </c:numCache>
            </c:numRef>
          </c:yVal>
          <c:smooth val="0"/>
          <c:extLst>
            <c:ext xmlns:c16="http://schemas.microsoft.com/office/drawing/2014/chart" uri="{C3380CC4-5D6E-409C-BE32-E72D297353CC}">
              <c16:uniqueId val="{00000006-FBCD-4B6A-83BB-61742DB7B2FC}"/>
            </c:ext>
          </c:extLst>
        </c:ser>
        <c:ser>
          <c:idx val="2"/>
          <c:order val="2"/>
          <c:spPr>
            <a:ln w="25400" cap="rnd">
              <a:solidFill>
                <a:schemeClr val="bg1">
                  <a:lumMod val="75000"/>
                </a:schemeClr>
              </a:solidFill>
              <a:round/>
            </a:ln>
            <a:effectLst/>
          </c:spPr>
          <c:marker>
            <c:symbol val="circle"/>
            <c:size val="5"/>
            <c:spPr>
              <a:solidFill>
                <a:schemeClr val="accent3"/>
              </a:solidFill>
              <a:ln w="9525">
                <a:solidFill>
                  <a:schemeClr val="accent3"/>
                </a:solidFill>
              </a:ln>
              <a:effectLst/>
            </c:spPr>
          </c:marker>
          <c:xVal>
            <c:numLit>
              <c:formatCode>General</c:formatCode>
              <c:ptCount val="2"/>
              <c:pt idx="0">
                <c:v>23</c:v>
              </c:pt>
              <c:pt idx="1">
                <c:v>23</c:v>
              </c:pt>
            </c:numLit>
          </c:xVal>
          <c:yVal>
            <c:numLit>
              <c:formatCode>General</c:formatCode>
              <c:ptCount val="2"/>
              <c:pt idx="0">
                <c:v>0</c:v>
              </c:pt>
              <c:pt idx="1">
                <c:v>100</c:v>
              </c:pt>
            </c:numLit>
          </c:yVal>
          <c:smooth val="0"/>
          <c:extLst>
            <c:ext xmlns:c16="http://schemas.microsoft.com/office/drawing/2014/chart" uri="{C3380CC4-5D6E-409C-BE32-E72D297353CC}">
              <c16:uniqueId val="{00000008-FBCD-4B6A-83BB-61742DB7B2FC}"/>
            </c:ext>
          </c:extLst>
        </c:ser>
        <c:ser>
          <c:idx val="3"/>
          <c:order val="3"/>
          <c:spPr>
            <a:ln w="25400" cap="rnd">
              <a:solidFill>
                <a:schemeClr val="bg1">
                  <a:lumMod val="75000"/>
                </a:schemeClr>
              </a:solidFill>
              <a:round/>
            </a:ln>
            <a:effectLst/>
          </c:spPr>
          <c:marker>
            <c:symbol val="circle"/>
            <c:size val="5"/>
            <c:spPr>
              <a:solidFill>
                <a:schemeClr val="bg1"/>
              </a:solidFill>
              <a:ln w="9525">
                <a:solidFill>
                  <a:schemeClr val="bg1"/>
                </a:solidFill>
              </a:ln>
              <a:effectLst/>
            </c:spPr>
          </c:marker>
          <c:xVal>
            <c:numLit>
              <c:formatCode>General</c:formatCode>
              <c:ptCount val="2"/>
              <c:pt idx="0">
                <c:v>-10</c:v>
              </c:pt>
              <c:pt idx="1">
                <c:v>100</c:v>
              </c:pt>
            </c:numLit>
          </c:xVal>
          <c:yVal>
            <c:numLit>
              <c:formatCode>General</c:formatCode>
              <c:ptCount val="2"/>
              <c:pt idx="0">
                <c:v>25</c:v>
              </c:pt>
              <c:pt idx="1">
                <c:v>25</c:v>
              </c:pt>
            </c:numLit>
          </c:yVal>
          <c:smooth val="0"/>
          <c:extLst>
            <c:ext xmlns:c16="http://schemas.microsoft.com/office/drawing/2014/chart" uri="{C3380CC4-5D6E-409C-BE32-E72D297353CC}">
              <c16:uniqueId val="{0000000A-FBCD-4B6A-83BB-61742DB7B2FC}"/>
            </c:ext>
          </c:extLst>
        </c:ser>
        <c:dLbls>
          <c:showLegendKey val="0"/>
          <c:showVal val="0"/>
          <c:showCatName val="0"/>
          <c:showSerName val="0"/>
          <c:showPercent val="0"/>
          <c:showBubbleSize val="0"/>
        </c:dLbls>
        <c:axId val="982760800"/>
        <c:axId val="982760472"/>
        <c:extLst/>
      </c:scatterChart>
      <c:valAx>
        <c:axId val="982760800"/>
        <c:scaling>
          <c:orientation val="minMax"/>
          <c:max val="70"/>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lgn="ctr" rtl="0">
                  <a:defRPr sz="1600" b="0"/>
                </a:pPr>
                <a:r>
                  <a:rPr lang="en-SG" sz="1600" b="0"/>
                  <a:t>Skin Thickness</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vert="horz"/>
          <a:lstStyle/>
          <a:p>
            <a:pPr>
              <a:defRPr sz="1200"/>
            </a:pPr>
            <a:endParaRPr lang="en-US"/>
          </a:p>
        </c:txPr>
        <c:crossAx val="982760472"/>
        <c:crosses val="autoZero"/>
        <c:crossBetween val="midCat"/>
      </c:valAx>
      <c:valAx>
        <c:axId val="982760472"/>
        <c:scaling>
          <c:orientation val="minMax"/>
          <c:max val="70"/>
          <c:min val="10"/>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1400" b="0"/>
                </a:pPr>
                <a:r>
                  <a:rPr lang="en-SG" sz="1400" b="0"/>
                  <a:t>BMI</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vert="horz"/>
          <a:lstStyle/>
          <a:p>
            <a:pPr>
              <a:defRPr sz="1200"/>
            </a:pPr>
            <a:endParaRPr lang="en-US"/>
          </a:p>
        </c:txPr>
        <c:crossAx val="982760800"/>
        <c:crosses val="autoZero"/>
        <c:crossBetween val="midCat"/>
        <c:majorUnit val="10"/>
      </c:valAx>
    </c:plotArea>
    <c:plotVisOnly val="1"/>
    <c:dispBlanksAs val="gap"/>
    <c:showDLblsOverMax val="0"/>
    <c:extLst/>
  </c:chart>
  <c:spPr>
    <a:solidFill>
      <a:schemeClr val="lt1"/>
    </a:solidFill>
    <a:ln w="19050" cap="rnd"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Indicators.xlsm]Frequency!PivotTable14</c:name>
    <c:fmtId val="20"/>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baseline="0"/>
              <a:t>No of Paitents by </a:t>
            </a:r>
            <a:r>
              <a:rPr lang="en-SG" sz="1600" b="1"/>
              <a:t>Glucose level </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w="25400">
            <a:noFill/>
          </a:ln>
          <a:effectLst/>
        </c:spPr>
      </c:pivotFmt>
    </c:pivotFmts>
    <c:plotArea>
      <c:layout>
        <c:manualLayout>
          <c:layoutTarget val="inner"/>
          <c:xMode val="edge"/>
          <c:yMode val="edge"/>
          <c:x val="0.14394179582943667"/>
          <c:y val="0.10027193426170293"/>
          <c:w val="0.77594521624170731"/>
          <c:h val="0.76510976135938469"/>
        </c:manualLayout>
      </c:layout>
      <c:barChart>
        <c:barDir val="col"/>
        <c:grouping val="clustered"/>
        <c:varyColors val="0"/>
        <c:ser>
          <c:idx val="0"/>
          <c:order val="0"/>
          <c:tx>
            <c:strRef>
              <c:f>Frequency!$G$3:$G$4</c:f>
              <c:strCache>
                <c:ptCount val="1"/>
                <c:pt idx="0">
                  <c:v>0</c:v>
                </c:pt>
              </c:strCache>
            </c:strRef>
          </c:tx>
          <c:spPr>
            <a:solidFill>
              <a:schemeClr val="accent1"/>
            </a:solidFill>
            <a:ln>
              <a:noFill/>
            </a:ln>
            <a:effectLst/>
          </c:spPr>
          <c:invertIfNegative val="0"/>
          <c:cat>
            <c:strRef>
              <c:f>Frequency!$F$5:$F$13</c:f>
              <c:strCache>
                <c:ptCount val="8"/>
                <c:pt idx="0">
                  <c:v>40-59</c:v>
                </c:pt>
                <c:pt idx="1">
                  <c:v>60-79</c:v>
                </c:pt>
                <c:pt idx="2">
                  <c:v>80-99</c:v>
                </c:pt>
                <c:pt idx="3">
                  <c:v>100-119</c:v>
                </c:pt>
                <c:pt idx="4">
                  <c:v>120-139</c:v>
                </c:pt>
                <c:pt idx="5">
                  <c:v>140-159</c:v>
                </c:pt>
                <c:pt idx="6">
                  <c:v>160-179</c:v>
                </c:pt>
                <c:pt idx="7">
                  <c:v>180-200</c:v>
                </c:pt>
              </c:strCache>
            </c:strRef>
          </c:cat>
          <c:val>
            <c:numRef>
              <c:f>Frequency!$G$5:$G$13</c:f>
              <c:numCache>
                <c:formatCode>General</c:formatCode>
                <c:ptCount val="8"/>
                <c:pt idx="0">
                  <c:v>4</c:v>
                </c:pt>
                <c:pt idx="1">
                  <c:v>31</c:v>
                </c:pt>
                <c:pt idx="2">
                  <c:v>143</c:v>
                </c:pt>
                <c:pt idx="3">
                  <c:v>160</c:v>
                </c:pt>
                <c:pt idx="4">
                  <c:v>100</c:v>
                </c:pt>
                <c:pt idx="5">
                  <c:v>44</c:v>
                </c:pt>
                <c:pt idx="6">
                  <c:v>11</c:v>
                </c:pt>
                <c:pt idx="7">
                  <c:v>7</c:v>
                </c:pt>
              </c:numCache>
            </c:numRef>
          </c:val>
          <c:extLst>
            <c:ext xmlns:c16="http://schemas.microsoft.com/office/drawing/2014/chart" uri="{C3380CC4-5D6E-409C-BE32-E72D297353CC}">
              <c16:uniqueId val="{00000000-05E4-488D-817B-C0525F6537B3}"/>
            </c:ext>
          </c:extLst>
        </c:ser>
        <c:ser>
          <c:idx val="1"/>
          <c:order val="1"/>
          <c:tx>
            <c:strRef>
              <c:f>Frequency!$H$3:$H$4</c:f>
              <c:strCache>
                <c:ptCount val="1"/>
                <c:pt idx="0">
                  <c:v>1</c:v>
                </c:pt>
              </c:strCache>
            </c:strRef>
          </c:tx>
          <c:spPr>
            <a:solidFill>
              <a:schemeClr val="accent2"/>
            </a:solidFill>
            <a:ln w="25400">
              <a:noFill/>
            </a:ln>
            <a:effectLst/>
          </c:spPr>
          <c:invertIfNegative val="0"/>
          <c:cat>
            <c:strRef>
              <c:f>Frequency!$F$5:$F$13</c:f>
              <c:strCache>
                <c:ptCount val="8"/>
                <c:pt idx="0">
                  <c:v>40-59</c:v>
                </c:pt>
                <c:pt idx="1">
                  <c:v>60-79</c:v>
                </c:pt>
                <c:pt idx="2">
                  <c:v>80-99</c:v>
                </c:pt>
                <c:pt idx="3">
                  <c:v>100-119</c:v>
                </c:pt>
                <c:pt idx="4">
                  <c:v>120-139</c:v>
                </c:pt>
                <c:pt idx="5">
                  <c:v>140-159</c:v>
                </c:pt>
                <c:pt idx="6">
                  <c:v>160-179</c:v>
                </c:pt>
                <c:pt idx="7">
                  <c:v>180-200</c:v>
                </c:pt>
              </c:strCache>
            </c:strRef>
          </c:cat>
          <c:val>
            <c:numRef>
              <c:f>Frequency!$H$5:$H$13</c:f>
              <c:numCache>
                <c:formatCode>General</c:formatCode>
                <c:ptCount val="8"/>
                <c:pt idx="1">
                  <c:v>1</c:v>
                </c:pt>
                <c:pt idx="2">
                  <c:v>13</c:v>
                </c:pt>
                <c:pt idx="3">
                  <c:v>56</c:v>
                </c:pt>
                <c:pt idx="4">
                  <c:v>63</c:v>
                </c:pt>
                <c:pt idx="5">
                  <c:v>51</c:v>
                </c:pt>
                <c:pt idx="6">
                  <c:v>45</c:v>
                </c:pt>
                <c:pt idx="7">
                  <c:v>39</c:v>
                </c:pt>
              </c:numCache>
            </c:numRef>
          </c:val>
          <c:extLst>
            <c:ext xmlns:c16="http://schemas.microsoft.com/office/drawing/2014/chart" uri="{C3380CC4-5D6E-409C-BE32-E72D297353CC}">
              <c16:uniqueId val="{00000015-7585-418C-BAE5-FA3CE3FDB580}"/>
            </c:ext>
          </c:extLst>
        </c:ser>
        <c:dLbls>
          <c:showLegendKey val="0"/>
          <c:showVal val="0"/>
          <c:showCatName val="0"/>
          <c:showSerName val="0"/>
          <c:showPercent val="0"/>
          <c:showBubbleSize val="0"/>
        </c:dLbls>
        <c:gapWidth val="100"/>
        <c:axId val="36086639"/>
        <c:axId val="36089919"/>
      </c:barChart>
      <c:catAx>
        <c:axId val="36086639"/>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Glucose</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36089919"/>
        <c:crosses val="autoZero"/>
        <c:auto val="1"/>
        <c:lblAlgn val="ctr"/>
        <c:lblOffset val="100"/>
        <c:noMultiLvlLbl val="0"/>
      </c:catAx>
      <c:valAx>
        <c:axId val="36089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No of Patients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360866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US" sz="1600" b="1"/>
              <a:t>Correlation between Diabetes &amp; Various health indicators</a:t>
            </a:r>
          </a:p>
        </c:rich>
      </c:tx>
      <c:layout>
        <c:manualLayout>
          <c:xMode val="edge"/>
          <c:yMode val="edge"/>
          <c:x val="0.13508805293549214"/>
          <c:y val="9.2599465023551486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lotArea>
      <c:layout>
        <c:manualLayout>
          <c:layoutTarget val="inner"/>
          <c:xMode val="edge"/>
          <c:yMode val="edge"/>
          <c:x val="0.20048717104125757"/>
          <c:y val="0.28920132052503261"/>
          <c:w val="0.62380383464452771"/>
          <c:h val="0.57662898984060595"/>
        </c:manualLayout>
      </c:layout>
      <c:radarChart>
        <c:radarStyle val="filled"/>
        <c:varyColors val="0"/>
        <c:ser>
          <c:idx val="0"/>
          <c:order val="0"/>
          <c:spPr>
            <a:solidFill>
              <a:srgbClr val="ADA5A5">
                <a:alpha val="79000"/>
              </a:srgbClr>
            </a:solidFill>
            <a:ln>
              <a:noFill/>
            </a:ln>
            <a:effectLst/>
          </c:spPr>
          <c:dLbls>
            <c:dLbl>
              <c:idx val="1"/>
              <c:layout>
                <c:manualLayout>
                  <c:x val="-4.2371930309851945E-2"/>
                  <c:y val="1.04542251052590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4C2-48EC-BDD7-5FE0B55621AB}"/>
                </c:ext>
              </c:extLst>
            </c:dLbl>
            <c:spPr>
              <a:noFill/>
              <a:ln>
                <a:noFill/>
              </a:ln>
              <a:effectLst/>
            </c:spPr>
            <c:txPr>
              <a:bodyPr rot="0" spcFirstLastPara="1" vertOverflow="overflow" horzOverflow="overflow" vert="horz" wrap="square" lIns="38100" tIns="19050" rIns="38100" bIns="19050" anchor="ctr" anchorCtr="1">
                <a:spAutoFit/>
              </a:bodyPr>
              <a:lstStyle/>
              <a:p>
                <a:pPr>
                  <a:defRPr sz="12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correlation!$B$3:$I$3</c:f>
              <c:strCache>
                <c:ptCount val="8"/>
                <c:pt idx="0">
                  <c:v>Pregnancies</c:v>
                </c:pt>
                <c:pt idx="1">
                  <c:v>Glucose</c:v>
                </c:pt>
                <c:pt idx="2">
                  <c:v>Blood Pressure</c:v>
                </c:pt>
                <c:pt idx="3">
                  <c:v>Skin Thickness</c:v>
                </c:pt>
                <c:pt idx="4">
                  <c:v>Insulin</c:v>
                </c:pt>
                <c:pt idx="5">
                  <c:v>BMI</c:v>
                </c:pt>
                <c:pt idx="6">
                  <c:v>Diabetes Pedigree Function</c:v>
                </c:pt>
                <c:pt idx="7">
                  <c:v>Age</c:v>
                </c:pt>
              </c:strCache>
            </c:strRef>
          </c:cat>
          <c:val>
            <c:numRef>
              <c:f>correlation!$B$12:$I$12</c:f>
              <c:numCache>
                <c:formatCode>0.00</c:formatCode>
                <c:ptCount val="8"/>
                <c:pt idx="0">
                  <c:v>0.2218981530339883</c:v>
                </c:pt>
                <c:pt idx="1">
                  <c:v>0.49278240391502864</c:v>
                </c:pt>
                <c:pt idx="2">
                  <c:v>0.16572291308057716</c:v>
                </c:pt>
                <c:pt idx="3">
                  <c:v>0.21487321939198914</c:v>
                </c:pt>
                <c:pt idx="4">
                  <c:v>0.20379034224454631</c:v>
                </c:pt>
                <c:pt idx="5">
                  <c:v>0.31203833867711228</c:v>
                </c:pt>
                <c:pt idx="6">
                  <c:v>0.17384406565296084</c:v>
                </c:pt>
                <c:pt idx="7">
                  <c:v>0.23835598302719743</c:v>
                </c:pt>
              </c:numCache>
            </c:numRef>
          </c:val>
          <c:extLst>
            <c:ext xmlns:c16="http://schemas.microsoft.com/office/drawing/2014/chart" uri="{C3380CC4-5D6E-409C-BE32-E72D297353CC}">
              <c16:uniqueId val="{00000000-DC6C-4956-961F-1A532B7F6034}"/>
            </c:ext>
          </c:extLst>
        </c:ser>
        <c:dLbls>
          <c:showLegendKey val="0"/>
          <c:showVal val="0"/>
          <c:showCatName val="0"/>
          <c:showSerName val="0"/>
          <c:showPercent val="0"/>
          <c:showBubbleSize val="0"/>
        </c:dLbls>
        <c:axId val="685665856"/>
        <c:axId val="685668808"/>
      </c:radarChart>
      <c:catAx>
        <c:axId val="685665856"/>
        <c:scaling>
          <c:orientation val="minMax"/>
        </c:scaling>
        <c:delete val="0"/>
        <c:axPos val="b"/>
        <c:majorGridlines>
          <c:spPr>
            <a:ln w="9525" cap="flat" cmpd="sng" algn="ctr">
              <a:solidFill>
                <a:schemeClr val="tx1">
                  <a:lumMod val="15000"/>
                  <a:lumOff val="85000"/>
                </a:schemeClr>
              </a:solidFill>
              <a:round/>
            </a:ln>
            <a:effectLst/>
          </c:spPr>
        </c:majorGridlines>
        <c:numFmt formatCode="@"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1" u="none" strike="noStrike" kern="1200" baseline="0">
                <a:solidFill>
                  <a:schemeClr val="dk1"/>
                </a:solidFill>
                <a:latin typeface="+mn-lt"/>
                <a:ea typeface="+mn-ea"/>
                <a:cs typeface="+mn-cs"/>
              </a:defRPr>
            </a:pPr>
            <a:endParaRPr lang="en-US"/>
          </a:p>
        </c:txPr>
        <c:crossAx val="685668808"/>
        <c:crosses val="autoZero"/>
        <c:auto val="1"/>
        <c:lblAlgn val="ctr"/>
        <c:lblOffset val="100"/>
        <c:noMultiLvlLbl val="0"/>
      </c:catAx>
      <c:valAx>
        <c:axId val="685668808"/>
        <c:scaling>
          <c:orientation val="minMax"/>
          <c:max val="0.60000000000000009"/>
        </c:scaling>
        <c:delete val="0"/>
        <c:axPos val="l"/>
        <c:majorGridlines>
          <c:spPr>
            <a:ln w="12700"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685665856"/>
        <c:crosses val="autoZero"/>
        <c:crossBetween val="between"/>
        <c:majorUnit val="0.1"/>
      </c:valAx>
      <c:spPr>
        <a:noFill/>
        <a:ln>
          <a:noFill/>
        </a:ln>
        <a:effectLst/>
      </c:spPr>
    </c:plotArea>
    <c:plotVisOnly val="1"/>
    <c:dispBlanksAs val="gap"/>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Indicators.xlsm]count!PivotTable38</c:name>
    <c:fmtId val="26"/>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US" sz="1600" b="1"/>
              <a:t>% of Patients</a:t>
            </a:r>
            <a:r>
              <a:rPr lang="en-US" sz="1600" b="1" baseline="0"/>
              <a:t> with </a:t>
            </a:r>
            <a:r>
              <a:rPr lang="en-US" sz="1600" b="1"/>
              <a:t>Diabetes (0:No or 1:Yes)</a:t>
            </a:r>
            <a:endParaRPr lang="en-SG" sz="1600" b="1"/>
          </a:p>
        </c:rich>
      </c:tx>
      <c:layout>
        <c:manualLayout>
          <c:xMode val="edge"/>
          <c:yMode val="edge"/>
          <c:x val="0.14653374068999164"/>
          <c:y val="5.65674389997343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noFill/>
            </a:ln>
            <a:effectLst/>
          </c:spPr>
          <c:txPr>
            <a:bodyPr rot="0" spcFirstLastPara="1" vertOverflow="ellipsis" vert="horz" wrap="square" anchor="ctr" anchorCtr="1"/>
            <a:lstStyle/>
            <a:p>
              <a:pPr>
                <a:defRPr sz="16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6437079718066377"/>
              <c:y val="-0.19382448339115627"/>
            </c:manualLayout>
          </c:layout>
          <c:spPr>
            <a:solidFill>
              <a:sysClr val="window" lastClr="FFFFFF"/>
            </a:solidFill>
            <a:ln>
              <a:noFill/>
            </a:ln>
            <a:effectLst/>
          </c:spPr>
          <c:txPr>
            <a:bodyPr rot="0" spcFirstLastPara="1" vertOverflow="ellipsis" vert="horz" wrap="square" anchor="ctr" anchorCtr="1"/>
            <a:lstStyle/>
            <a:p>
              <a:pPr>
                <a:defRPr sz="16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0.10800573480895435"/>
                  <c:h val="0.16683346558222575"/>
                </c:manualLayout>
              </c15:layout>
            </c:ext>
          </c:extLst>
        </c:dLbl>
      </c:pivotFmt>
      <c:pivotFmt>
        <c:idx val="6"/>
        <c:spPr>
          <a:solidFill>
            <a:schemeClr val="accent1"/>
          </a:solidFill>
          <a:ln w="19050">
            <a:solidFill>
              <a:schemeClr val="lt1"/>
            </a:solidFill>
          </a:ln>
          <a:effectLst/>
        </c:spPr>
        <c:dLbl>
          <c:idx val="0"/>
          <c:layout>
            <c:manualLayout>
              <c:x val="0.19239567855425385"/>
              <c:y val="0.11512993453679825"/>
            </c:manualLayout>
          </c:layout>
          <c:spPr>
            <a:solidFill>
              <a:sysClr val="window" lastClr="FFFFFF"/>
            </a:solidFill>
            <a:ln>
              <a:noFill/>
            </a:ln>
            <a:effectLst/>
          </c:spPr>
          <c:txPr>
            <a:bodyPr rot="0" spcFirstLastPara="1" vertOverflow="ellipsis" vert="horz" wrap="square" anchor="ctr" anchorCtr="1"/>
            <a:lstStyle/>
            <a:p>
              <a:pPr>
                <a:defRPr sz="16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0.13751593971803855"/>
                  <c:h val="0.1371767173766032"/>
                </c:manualLayout>
              </c15:layout>
            </c:ext>
          </c:extLst>
        </c:dLbl>
      </c:pivotFmt>
    </c:pivotFmts>
    <c:plotArea>
      <c:layout>
        <c:manualLayout>
          <c:layoutTarget val="inner"/>
          <c:xMode val="edge"/>
          <c:yMode val="edge"/>
          <c:x val="0.13933598383246487"/>
          <c:y val="0.16876772452877253"/>
          <c:w val="0.66259276774655163"/>
          <c:h val="0.77220538260193938"/>
        </c:manualLayout>
      </c:layout>
      <c:pieChart>
        <c:varyColors val="1"/>
        <c:ser>
          <c:idx val="0"/>
          <c:order val="0"/>
          <c:tx>
            <c:strRef>
              <c:f>count!$B$3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5A5-40CE-9EB8-6B9F4667804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5A5-40CE-9EB8-6B9F4667804B}"/>
              </c:ext>
            </c:extLst>
          </c:dPt>
          <c:dLbls>
            <c:dLbl>
              <c:idx val="0"/>
              <c:layout>
                <c:manualLayout>
                  <c:x val="-0.16437079718066377"/>
                  <c:y val="-0.19382448339115627"/>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10800573480895435"/>
                      <c:h val="0.16683346558222575"/>
                    </c:manualLayout>
                  </c15:layout>
                </c:ext>
                <c:ext xmlns:c16="http://schemas.microsoft.com/office/drawing/2014/chart" uri="{C3380CC4-5D6E-409C-BE32-E72D297353CC}">
                  <c16:uniqueId val="{00000001-A5A5-40CE-9EB8-6B9F4667804B}"/>
                </c:ext>
              </c:extLst>
            </c:dLbl>
            <c:dLbl>
              <c:idx val="1"/>
              <c:layout>
                <c:manualLayout>
                  <c:x val="0.19239567855425385"/>
                  <c:y val="0.11512993453679825"/>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13751593971803855"/>
                      <c:h val="0.1371767173766032"/>
                    </c:manualLayout>
                  </c15:layout>
                </c:ext>
                <c:ext xmlns:c16="http://schemas.microsoft.com/office/drawing/2014/chart" uri="{C3380CC4-5D6E-409C-BE32-E72D297353CC}">
                  <c16:uniqueId val="{00000003-A5A5-40CE-9EB8-6B9F4667804B}"/>
                </c:ext>
              </c:extLst>
            </c:dLbl>
            <c:spPr>
              <a:solidFill>
                <a:sysClr val="window" lastClr="FFFFFF"/>
              </a:solidFill>
              <a:ln>
                <a:noFill/>
              </a:ln>
              <a:effectLst/>
            </c:spPr>
            <c:txPr>
              <a:bodyPr rot="0" spcFirstLastPara="1" vertOverflow="ellipsis" vert="horz" wrap="square" anchor="ctr" anchorCtr="1"/>
              <a:lstStyle/>
              <a:p>
                <a:pPr>
                  <a:defRPr sz="16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count!$A$4:$A$6</c:f>
              <c:strCache>
                <c:ptCount val="2"/>
                <c:pt idx="0">
                  <c:v>0</c:v>
                </c:pt>
                <c:pt idx="1">
                  <c:v>1</c:v>
                </c:pt>
              </c:strCache>
            </c:strRef>
          </c:cat>
          <c:val>
            <c:numRef>
              <c:f>count!$B$4:$B$6</c:f>
              <c:numCache>
                <c:formatCode>General</c:formatCode>
                <c:ptCount val="2"/>
                <c:pt idx="0">
                  <c:v>500</c:v>
                </c:pt>
                <c:pt idx="1">
                  <c:v>268</c:v>
                </c:pt>
              </c:numCache>
            </c:numRef>
          </c:val>
          <c:extLst>
            <c:ext xmlns:c16="http://schemas.microsoft.com/office/drawing/2014/chart" uri="{C3380CC4-5D6E-409C-BE32-E72D297353CC}">
              <c16:uniqueId val="{00000004-A5A5-40CE-9EB8-6B9F4667804B}"/>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87103143809241168"/>
          <c:y val="0.16956462631406488"/>
          <c:w val="8.1163365950003868E-2"/>
          <c:h val="0.1590658568156308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a:t>Glucose vs Insulin</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lotArea>
      <c:layout/>
      <c:scatterChart>
        <c:scatterStyle val="lineMarker"/>
        <c:varyColors val="0"/>
        <c:ser>
          <c:idx val="0"/>
          <c:order val="0"/>
          <c:tx>
            <c:v>0</c:v>
          </c:tx>
          <c:spPr>
            <a:ln w="19050" cap="rnd">
              <a:noFill/>
              <a:round/>
            </a:ln>
            <a:effectLst/>
          </c:spPr>
          <c:marker>
            <c:symbol val="circle"/>
            <c:size val="5"/>
            <c:spPr>
              <a:solidFill>
                <a:schemeClr val="accent1"/>
              </a:solidFill>
              <a:ln w="9525">
                <a:solidFill>
                  <a:schemeClr val="accent1"/>
                </a:solidFill>
              </a:ln>
              <a:effectLst/>
            </c:spPr>
          </c:marker>
          <c:xVal>
            <c:numRef>
              <c:f>diabetes!$B$2:$B$769</c:f>
              <c:numCache>
                <c:formatCode>General</c:formatCode>
                <c:ptCount val="768"/>
                <c:pt idx="0">
                  <c:v>148</c:v>
                </c:pt>
                <c:pt idx="1">
                  <c:v>85</c:v>
                </c:pt>
                <c:pt idx="2">
                  <c:v>183</c:v>
                </c:pt>
                <c:pt idx="3">
                  <c:v>89</c:v>
                </c:pt>
                <c:pt idx="4">
                  <c:v>137</c:v>
                </c:pt>
                <c:pt idx="5">
                  <c:v>116</c:v>
                </c:pt>
                <c:pt idx="6">
                  <c:v>78</c:v>
                </c:pt>
                <c:pt idx="7">
                  <c:v>115</c:v>
                </c:pt>
                <c:pt idx="8">
                  <c:v>197</c:v>
                </c:pt>
                <c:pt idx="9">
                  <c:v>125</c:v>
                </c:pt>
                <c:pt idx="10">
                  <c:v>110</c:v>
                </c:pt>
                <c:pt idx="11">
                  <c:v>168</c:v>
                </c:pt>
                <c:pt idx="12">
                  <c:v>139</c:v>
                </c:pt>
                <c:pt idx="13">
                  <c:v>189</c:v>
                </c:pt>
                <c:pt idx="14">
                  <c:v>166</c:v>
                </c:pt>
                <c:pt idx="15">
                  <c:v>100</c:v>
                </c:pt>
                <c:pt idx="16">
                  <c:v>118</c:v>
                </c:pt>
                <c:pt idx="17">
                  <c:v>107</c:v>
                </c:pt>
                <c:pt idx="18">
                  <c:v>103</c:v>
                </c:pt>
                <c:pt idx="19">
                  <c:v>115</c:v>
                </c:pt>
                <c:pt idx="20">
                  <c:v>126</c:v>
                </c:pt>
                <c:pt idx="21">
                  <c:v>99</c:v>
                </c:pt>
                <c:pt idx="22">
                  <c:v>196</c:v>
                </c:pt>
                <c:pt idx="23">
                  <c:v>119</c:v>
                </c:pt>
                <c:pt idx="24">
                  <c:v>143</c:v>
                </c:pt>
                <c:pt idx="25">
                  <c:v>125</c:v>
                </c:pt>
                <c:pt idx="26">
                  <c:v>147</c:v>
                </c:pt>
                <c:pt idx="27">
                  <c:v>97</c:v>
                </c:pt>
                <c:pt idx="28">
                  <c:v>145</c:v>
                </c:pt>
                <c:pt idx="29">
                  <c:v>117</c:v>
                </c:pt>
                <c:pt idx="30">
                  <c:v>109</c:v>
                </c:pt>
                <c:pt idx="31">
                  <c:v>158</c:v>
                </c:pt>
                <c:pt idx="32">
                  <c:v>88</c:v>
                </c:pt>
                <c:pt idx="33">
                  <c:v>92</c:v>
                </c:pt>
                <c:pt idx="34">
                  <c:v>122</c:v>
                </c:pt>
                <c:pt idx="35">
                  <c:v>103</c:v>
                </c:pt>
                <c:pt idx="36">
                  <c:v>138</c:v>
                </c:pt>
                <c:pt idx="37">
                  <c:v>102</c:v>
                </c:pt>
                <c:pt idx="38">
                  <c:v>90</c:v>
                </c:pt>
                <c:pt idx="39">
                  <c:v>111</c:v>
                </c:pt>
                <c:pt idx="40">
                  <c:v>180</c:v>
                </c:pt>
                <c:pt idx="41">
                  <c:v>133</c:v>
                </c:pt>
                <c:pt idx="42">
                  <c:v>106</c:v>
                </c:pt>
                <c:pt idx="43">
                  <c:v>171</c:v>
                </c:pt>
                <c:pt idx="44">
                  <c:v>159</c:v>
                </c:pt>
                <c:pt idx="45">
                  <c:v>180</c:v>
                </c:pt>
                <c:pt idx="46">
                  <c:v>146</c:v>
                </c:pt>
                <c:pt idx="47">
                  <c:v>71</c:v>
                </c:pt>
                <c:pt idx="48">
                  <c:v>103</c:v>
                </c:pt>
                <c:pt idx="49">
                  <c:v>105</c:v>
                </c:pt>
                <c:pt idx="50">
                  <c:v>103</c:v>
                </c:pt>
                <c:pt idx="51">
                  <c:v>101</c:v>
                </c:pt>
                <c:pt idx="52">
                  <c:v>88</c:v>
                </c:pt>
                <c:pt idx="53">
                  <c:v>176</c:v>
                </c:pt>
                <c:pt idx="54">
                  <c:v>150</c:v>
                </c:pt>
                <c:pt idx="55">
                  <c:v>73</c:v>
                </c:pt>
                <c:pt idx="56">
                  <c:v>187</c:v>
                </c:pt>
                <c:pt idx="57">
                  <c:v>100</c:v>
                </c:pt>
                <c:pt idx="58">
                  <c:v>146</c:v>
                </c:pt>
                <c:pt idx="59">
                  <c:v>105</c:v>
                </c:pt>
                <c:pt idx="60">
                  <c:v>84</c:v>
                </c:pt>
                <c:pt idx="61">
                  <c:v>133</c:v>
                </c:pt>
                <c:pt idx="62">
                  <c:v>44</c:v>
                </c:pt>
                <c:pt idx="63">
                  <c:v>141</c:v>
                </c:pt>
                <c:pt idx="64">
                  <c:v>114</c:v>
                </c:pt>
                <c:pt idx="65">
                  <c:v>99</c:v>
                </c:pt>
                <c:pt idx="66">
                  <c:v>109</c:v>
                </c:pt>
                <c:pt idx="67">
                  <c:v>109</c:v>
                </c:pt>
                <c:pt idx="68">
                  <c:v>95</c:v>
                </c:pt>
                <c:pt idx="69">
                  <c:v>146</c:v>
                </c:pt>
                <c:pt idx="70">
                  <c:v>100</c:v>
                </c:pt>
                <c:pt idx="71">
                  <c:v>139</c:v>
                </c:pt>
                <c:pt idx="72">
                  <c:v>126</c:v>
                </c:pt>
                <c:pt idx="73">
                  <c:v>129</c:v>
                </c:pt>
                <c:pt idx="74">
                  <c:v>79</c:v>
                </c:pt>
                <c:pt idx="75">
                  <c:v>117</c:v>
                </c:pt>
                <c:pt idx="76">
                  <c:v>62</c:v>
                </c:pt>
                <c:pt idx="77">
                  <c:v>95</c:v>
                </c:pt>
                <c:pt idx="78">
                  <c:v>131</c:v>
                </c:pt>
                <c:pt idx="79">
                  <c:v>112</c:v>
                </c:pt>
                <c:pt idx="80">
                  <c:v>113</c:v>
                </c:pt>
                <c:pt idx="81">
                  <c:v>74</c:v>
                </c:pt>
                <c:pt idx="82">
                  <c:v>83</c:v>
                </c:pt>
                <c:pt idx="83">
                  <c:v>101</c:v>
                </c:pt>
                <c:pt idx="84">
                  <c:v>137</c:v>
                </c:pt>
                <c:pt idx="85">
                  <c:v>110</c:v>
                </c:pt>
                <c:pt idx="86">
                  <c:v>106</c:v>
                </c:pt>
                <c:pt idx="87">
                  <c:v>100</c:v>
                </c:pt>
                <c:pt idx="88">
                  <c:v>136</c:v>
                </c:pt>
                <c:pt idx="89">
                  <c:v>107</c:v>
                </c:pt>
                <c:pt idx="90">
                  <c:v>80</c:v>
                </c:pt>
                <c:pt idx="91">
                  <c:v>123</c:v>
                </c:pt>
                <c:pt idx="92">
                  <c:v>81</c:v>
                </c:pt>
                <c:pt idx="93">
                  <c:v>134</c:v>
                </c:pt>
                <c:pt idx="94">
                  <c:v>142</c:v>
                </c:pt>
                <c:pt idx="95">
                  <c:v>144</c:v>
                </c:pt>
                <c:pt idx="96">
                  <c:v>92</c:v>
                </c:pt>
                <c:pt idx="97">
                  <c:v>71</c:v>
                </c:pt>
                <c:pt idx="98">
                  <c:v>93</c:v>
                </c:pt>
                <c:pt idx="99">
                  <c:v>122</c:v>
                </c:pt>
                <c:pt idx="100">
                  <c:v>163</c:v>
                </c:pt>
                <c:pt idx="101">
                  <c:v>151</c:v>
                </c:pt>
                <c:pt idx="102">
                  <c:v>125</c:v>
                </c:pt>
                <c:pt idx="103">
                  <c:v>81</c:v>
                </c:pt>
                <c:pt idx="104">
                  <c:v>85</c:v>
                </c:pt>
                <c:pt idx="105">
                  <c:v>126</c:v>
                </c:pt>
                <c:pt idx="106">
                  <c:v>96</c:v>
                </c:pt>
                <c:pt idx="107">
                  <c:v>144</c:v>
                </c:pt>
                <c:pt idx="108">
                  <c:v>83</c:v>
                </c:pt>
                <c:pt idx="109">
                  <c:v>95</c:v>
                </c:pt>
                <c:pt idx="110">
                  <c:v>171</c:v>
                </c:pt>
                <c:pt idx="111">
                  <c:v>155</c:v>
                </c:pt>
                <c:pt idx="112">
                  <c:v>89</c:v>
                </c:pt>
                <c:pt idx="113">
                  <c:v>76</c:v>
                </c:pt>
                <c:pt idx="114">
                  <c:v>160</c:v>
                </c:pt>
                <c:pt idx="115">
                  <c:v>146</c:v>
                </c:pt>
                <c:pt idx="116">
                  <c:v>124</c:v>
                </c:pt>
                <c:pt idx="117">
                  <c:v>78</c:v>
                </c:pt>
                <c:pt idx="118">
                  <c:v>97</c:v>
                </c:pt>
                <c:pt idx="119">
                  <c:v>99</c:v>
                </c:pt>
                <c:pt idx="120">
                  <c:v>162</c:v>
                </c:pt>
                <c:pt idx="121">
                  <c:v>111</c:v>
                </c:pt>
                <c:pt idx="122">
                  <c:v>107</c:v>
                </c:pt>
                <c:pt idx="123">
                  <c:v>132</c:v>
                </c:pt>
                <c:pt idx="124">
                  <c:v>113</c:v>
                </c:pt>
                <c:pt idx="125">
                  <c:v>88</c:v>
                </c:pt>
                <c:pt idx="126">
                  <c:v>120</c:v>
                </c:pt>
                <c:pt idx="127">
                  <c:v>118</c:v>
                </c:pt>
                <c:pt idx="128">
                  <c:v>117</c:v>
                </c:pt>
                <c:pt idx="129">
                  <c:v>105</c:v>
                </c:pt>
                <c:pt idx="130">
                  <c:v>173</c:v>
                </c:pt>
                <c:pt idx="131">
                  <c:v>122</c:v>
                </c:pt>
                <c:pt idx="132">
                  <c:v>170</c:v>
                </c:pt>
                <c:pt idx="133">
                  <c:v>84</c:v>
                </c:pt>
                <c:pt idx="134">
                  <c:v>96</c:v>
                </c:pt>
                <c:pt idx="135">
                  <c:v>125</c:v>
                </c:pt>
                <c:pt idx="136">
                  <c:v>100</c:v>
                </c:pt>
                <c:pt idx="137">
                  <c:v>93</c:v>
                </c:pt>
                <c:pt idx="138">
                  <c:v>129</c:v>
                </c:pt>
                <c:pt idx="139">
                  <c:v>105</c:v>
                </c:pt>
                <c:pt idx="140">
                  <c:v>128</c:v>
                </c:pt>
                <c:pt idx="141">
                  <c:v>106</c:v>
                </c:pt>
                <c:pt idx="142">
                  <c:v>108</c:v>
                </c:pt>
                <c:pt idx="143">
                  <c:v>108</c:v>
                </c:pt>
                <c:pt idx="144">
                  <c:v>154</c:v>
                </c:pt>
                <c:pt idx="145">
                  <c:v>102</c:v>
                </c:pt>
                <c:pt idx="146">
                  <c:v>57</c:v>
                </c:pt>
                <c:pt idx="147">
                  <c:v>106</c:v>
                </c:pt>
                <c:pt idx="148">
                  <c:v>147</c:v>
                </c:pt>
                <c:pt idx="149">
                  <c:v>90</c:v>
                </c:pt>
                <c:pt idx="150">
                  <c:v>136</c:v>
                </c:pt>
                <c:pt idx="151">
                  <c:v>114</c:v>
                </c:pt>
                <c:pt idx="152">
                  <c:v>156</c:v>
                </c:pt>
                <c:pt idx="153">
                  <c:v>153</c:v>
                </c:pt>
                <c:pt idx="154">
                  <c:v>188</c:v>
                </c:pt>
                <c:pt idx="155">
                  <c:v>152</c:v>
                </c:pt>
                <c:pt idx="156">
                  <c:v>99</c:v>
                </c:pt>
                <c:pt idx="157">
                  <c:v>109</c:v>
                </c:pt>
                <c:pt idx="158">
                  <c:v>88</c:v>
                </c:pt>
                <c:pt idx="159">
                  <c:v>163</c:v>
                </c:pt>
                <c:pt idx="160">
                  <c:v>151</c:v>
                </c:pt>
                <c:pt idx="161">
                  <c:v>102</c:v>
                </c:pt>
                <c:pt idx="162">
                  <c:v>114</c:v>
                </c:pt>
                <c:pt idx="163">
                  <c:v>100</c:v>
                </c:pt>
                <c:pt idx="164">
                  <c:v>131</c:v>
                </c:pt>
                <c:pt idx="165">
                  <c:v>104</c:v>
                </c:pt>
                <c:pt idx="166">
                  <c:v>148</c:v>
                </c:pt>
                <c:pt idx="167">
                  <c:v>120</c:v>
                </c:pt>
                <c:pt idx="168">
                  <c:v>110</c:v>
                </c:pt>
                <c:pt idx="169">
                  <c:v>111</c:v>
                </c:pt>
                <c:pt idx="170">
                  <c:v>102</c:v>
                </c:pt>
                <c:pt idx="171">
                  <c:v>134</c:v>
                </c:pt>
                <c:pt idx="172">
                  <c:v>87</c:v>
                </c:pt>
                <c:pt idx="173">
                  <c:v>79</c:v>
                </c:pt>
                <c:pt idx="174">
                  <c:v>75</c:v>
                </c:pt>
                <c:pt idx="175">
                  <c:v>179</c:v>
                </c:pt>
                <c:pt idx="176">
                  <c:v>85</c:v>
                </c:pt>
                <c:pt idx="177">
                  <c:v>129</c:v>
                </c:pt>
                <c:pt idx="178">
                  <c:v>143</c:v>
                </c:pt>
                <c:pt idx="179">
                  <c:v>130</c:v>
                </c:pt>
                <c:pt idx="180">
                  <c:v>87</c:v>
                </c:pt>
                <c:pt idx="181">
                  <c:v>119</c:v>
                </c:pt>
                <c:pt idx="182">
                  <c:v>117</c:v>
                </c:pt>
                <c:pt idx="183">
                  <c:v>73</c:v>
                </c:pt>
                <c:pt idx="184">
                  <c:v>141</c:v>
                </c:pt>
                <c:pt idx="185">
                  <c:v>194</c:v>
                </c:pt>
                <c:pt idx="186">
                  <c:v>181</c:v>
                </c:pt>
                <c:pt idx="187">
                  <c:v>128</c:v>
                </c:pt>
                <c:pt idx="188">
                  <c:v>109</c:v>
                </c:pt>
                <c:pt idx="189">
                  <c:v>139</c:v>
                </c:pt>
                <c:pt idx="190">
                  <c:v>111</c:v>
                </c:pt>
                <c:pt idx="191">
                  <c:v>123</c:v>
                </c:pt>
                <c:pt idx="192">
                  <c:v>159</c:v>
                </c:pt>
                <c:pt idx="193">
                  <c:v>135</c:v>
                </c:pt>
                <c:pt idx="194">
                  <c:v>85</c:v>
                </c:pt>
                <c:pt idx="195">
                  <c:v>158</c:v>
                </c:pt>
                <c:pt idx="196">
                  <c:v>105</c:v>
                </c:pt>
                <c:pt idx="197">
                  <c:v>107</c:v>
                </c:pt>
                <c:pt idx="198">
                  <c:v>109</c:v>
                </c:pt>
                <c:pt idx="199">
                  <c:v>148</c:v>
                </c:pt>
                <c:pt idx="200">
                  <c:v>113</c:v>
                </c:pt>
                <c:pt idx="201">
                  <c:v>138</c:v>
                </c:pt>
                <c:pt idx="202">
                  <c:v>108</c:v>
                </c:pt>
                <c:pt idx="203">
                  <c:v>99</c:v>
                </c:pt>
                <c:pt idx="204">
                  <c:v>103</c:v>
                </c:pt>
                <c:pt idx="205">
                  <c:v>111</c:v>
                </c:pt>
                <c:pt idx="206">
                  <c:v>196</c:v>
                </c:pt>
                <c:pt idx="207">
                  <c:v>162</c:v>
                </c:pt>
                <c:pt idx="208">
                  <c:v>96</c:v>
                </c:pt>
                <c:pt idx="209">
                  <c:v>184</c:v>
                </c:pt>
                <c:pt idx="210">
                  <c:v>81</c:v>
                </c:pt>
                <c:pt idx="211">
                  <c:v>147</c:v>
                </c:pt>
                <c:pt idx="212">
                  <c:v>179</c:v>
                </c:pt>
                <c:pt idx="213">
                  <c:v>140</c:v>
                </c:pt>
                <c:pt idx="214">
                  <c:v>112</c:v>
                </c:pt>
                <c:pt idx="215">
                  <c:v>151</c:v>
                </c:pt>
                <c:pt idx="216">
                  <c:v>109</c:v>
                </c:pt>
                <c:pt idx="217">
                  <c:v>125</c:v>
                </c:pt>
                <c:pt idx="218">
                  <c:v>85</c:v>
                </c:pt>
                <c:pt idx="219">
                  <c:v>112</c:v>
                </c:pt>
                <c:pt idx="220">
                  <c:v>177</c:v>
                </c:pt>
                <c:pt idx="221">
                  <c:v>158</c:v>
                </c:pt>
                <c:pt idx="222">
                  <c:v>119</c:v>
                </c:pt>
                <c:pt idx="223">
                  <c:v>142</c:v>
                </c:pt>
                <c:pt idx="224">
                  <c:v>100</c:v>
                </c:pt>
                <c:pt idx="225">
                  <c:v>87</c:v>
                </c:pt>
                <c:pt idx="226">
                  <c:v>101</c:v>
                </c:pt>
                <c:pt idx="227">
                  <c:v>162</c:v>
                </c:pt>
                <c:pt idx="228">
                  <c:v>197</c:v>
                </c:pt>
                <c:pt idx="229">
                  <c:v>117</c:v>
                </c:pt>
                <c:pt idx="230">
                  <c:v>142</c:v>
                </c:pt>
                <c:pt idx="231">
                  <c:v>134</c:v>
                </c:pt>
                <c:pt idx="232">
                  <c:v>79</c:v>
                </c:pt>
                <c:pt idx="233">
                  <c:v>122</c:v>
                </c:pt>
                <c:pt idx="234">
                  <c:v>74</c:v>
                </c:pt>
                <c:pt idx="235">
                  <c:v>171</c:v>
                </c:pt>
                <c:pt idx="236">
                  <c:v>181</c:v>
                </c:pt>
                <c:pt idx="237">
                  <c:v>179</c:v>
                </c:pt>
                <c:pt idx="238">
                  <c:v>164</c:v>
                </c:pt>
                <c:pt idx="239">
                  <c:v>104</c:v>
                </c:pt>
                <c:pt idx="240">
                  <c:v>91</c:v>
                </c:pt>
                <c:pt idx="241">
                  <c:v>91</c:v>
                </c:pt>
                <c:pt idx="242">
                  <c:v>139</c:v>
                </c:pt>
                <c:pt idx="243">
                  <c:v>119</c:v>
                </c:pt>
                <c:pt idx="244">
                  <c:v>146</c:v>
                </c:pt>
                <c:pt idx="245">
                  <c:v>184</c:v>
                </c:pt>
                <c:pt idx="246">
                  <c:v>122</c:v>
                </c:pt>
                <c:pt idx="247">
                  <c:v>165</c:v>
                </c:pt>
                <c:pt idx="248">
                  <c:v>124</c:v>
                </c:pt>
                <c:pt idx="249">
                  <c:v>111</c:v>
                </c:pt>
                <c:pt idx="250">
                  <c:v>106</c:v>
                </c:pt>
                <c:pt idx="251">
                  <c:v>129</c:v>
                </c:pt>
                <c:pt idx="252">
                  <c:v>90</c:v>
                </c:pt>
                <c:pt idx="253">
                  <c:v>86</c:v>
                </c:pt>
                <c:pt idx="254">
                  <c:v>92</c:v>
                </c:pt>
                <c:pt idx="255">
                  <c:v>113</c:v>
                </c:pt>
                <c:pt idx="256">
                  <c:v>111</c:v>
                </c:pt>
                <c:pt idx="257">
                  <c:v>114</c:v>
                </c:pt>
                <c:pt idx="258">
                  <c:v>193</c:v>
                </c:pt>
                <c:pt idx="259">
                  <c:v>155</c:v>
                </c:pt>
                <c:pt idx="260">
                  <c:v>191</c:v>
                </c:pt>
                <c:pt idx="261">
                  <c:v>141</c:v>
                </c:pt>
                <c:pt idx="262">
                  <c:v>95</c:v>
                </c:pt>
                <c:pt idx="263">
                  <c:v>142</c:v>
                </c:pt>
                <c:pt idx="264">
                  <c:v>123</c:v>
                </c:pt>
                <c:pt idx="265">
                  <c:v>96</c:v>
                </c:pt>
                <c:pt idx="266">
                  <c:v>138</c:v>
                </c:pt>
                <c:pt idx="267">
                  <c:v>128</c:v>
                </c:pt>
                <c:pt idx="268">
                  <c:v>102</c:v>
                </c:pt>
                <c:pt idx="269">
                  <c:v>146</c:v>
                </c:pt>
                <c:pt idx="270">
                  <c:v>101</c:v>
                </c:pt>
                <c:pt idx="271">
                  <c:v>108</c:v>
                </c:pt>
                <c:pt idx="272">
                  <c:v>122</c:v>
                </c:pt>
                <c:pt idx="273">
                  <c:v>71</c:v>
                </c:pt>
                <c:pt idx="274">
                  <c:v>106</c:v>
                </c:pt>
                <c:pt idx="275">
                  <c:v>100</c:v>
                </c:pt>
                <c:pt idx="276">
                  <c:v>106</c:v>
                </c:pt>
                <c:pt idx="277">
                  <c:v>104</c:v>
                </c:pt>
                <c:pt idx="278">
                  <c:v>114</c:v>
                </c:pt>
                <c:pt idx="279">
                  <c:v>108</c:v>
                </c:pt>
                <c:pt idx="280">
                  <c:v>146</c:v>
                </c:pt>
                <c:pt idx="281">
                  <c:v>129</c:v>
                </c:pt>
                <c:pt idx="282">
                  <c:v>133</c:v>
                </c:pt>
                <c:pt idx="283">
                  <c:v>161</c:v>
                </c:pt>
                <c:pt idx="284">
                  <c:v>108</c:v>
                </c:pt>
                <c:pt idx="285">
                  <c:v>136</c:v>
                </c:pt>
                <c:pt idx="286">
                  <c:v>155</c:v>
                </c:pt>
                <c:pt idx="287">
                  <c:v>119</c:v>
                </c:pt>
                <c:pt idx="288">
                  <c:v>96</c:v>
                </c:pt>
                <c:pt idx="289">
                  <c:v>108</c:v>
                </c:pt>
                <c:pt idx="290">
                  <c:v>78</c:v>
                </c:pt>
                <c:pt idx="291">
                  <c:v>107</c:v>
                </c:pt>
                <c:pt idx="292">
                  <c:v>128</c:v>
                </c:pt>
                <c:pt idx="293">
                  <c:v>128</c:v>
                </c:pt>
                <c:pt idx="294">
                  <c:v>161</c:v>
                </c:pt>
                <c:pt idx="295">
                  <c:v>151</c:v>
                </c:pt>
                <c:pt idx="296">
                  <c:v>146</c:v>
                </c:pt>
                <c:pt idx="297">
                  <c:v>126</c:v>
                </c:pt>
                <c:pt idx="298">
                  <c:v>100</c:v>
                </c:pt>
                <c:pt idx="299">
                  <c:v>112</c:v>
                </c:pt>
                <c:pt idx="300">
                  <c:v>167</c:v>
                </c:pt>
                <c:pt idx="301">
                  <c:v>144</c:v>
                </c:pt>
                <c:pt idx="302">
                  <c:v>77</c:v>
                </c:pt>
                <c:pt idx="303">
                  <c:v>115</c:v>
                </c:pt>
                <c:pt idx="304">
                  <c:v>150</c:v>
                </c:pt>
                <c:pt idx="305">
                  <c:v>120</c:v>
                </c:pt>
                <c:pt idx="306">
                  <c:v>161</c:v>
                </c:pt>
                <c:pt idx="307">
                  <c:v>137</c:v>
                </c:pt>
                <c:pt idx="308">
                  <c:v>128</c:v>
                </c:pt>
                <c:pt idx="309">
                  <c:v>124</c:v>
                </c:pt>
                <c:pt idx="310">
                  <c:v>80</c:v>
                </c:pt>
                <c:pt idx="311">
                  <c:v>106</c:v>
                </c:pt>
                <c:pt idx="312">
                  <c:v>155</c:v>
                </c:pt>
                <c:pt idx="313">
                  <c:v>113</c:v>
                </c:pt>
                <c:pt idx="314">
                  <c:v>109</c:v>
                </c:pt>
                <c:pt idx="315">
                  <c:v>112</c:v>
                </c:pt>
                <c:pt idx="316">
                  <c:v>99</c:v>
                </c:pt>
                <c:pt idx="317">
                  <c:v>182</c:v>
                </c:pt>
                <c:pt idx="318">
                  <c:v>115</c:v>
                </c:pt>
                <c:pt idx="319">
                  <c:v>194</c:v>
                </c:pt>
                <c:pt idx="320">
                  <c:v>129</c:v>
                </c:pt>
                <c:pt idx="321">
                  <c:v>112</c:v>
                </c:pt>
                <c:pt idx="322">
                  <c:v>124</c:v>
                </c:pt>
                <c:pt idx="323">
                  <c:v>152</c:v>
                </c:pt>
                <c:pt idx="324">
                  <c:v>112</c:v>
                </c:pt>
                <c:pt idx="325">
                  <c:v>157</c:v>
                </c:pt>
                <c:pt idx="326">
                  <c:v>122</c:v>
                </c:pt>
                <c:pt idx="327">
                  <c:v>179</c:v>
                </c:pt>
                <c:pt idx="328">
                  <c:v>102</c:v>
                </c:pt>
                <c:pt idx="329">
                  <c:v>105</c:v>
                </c:pt>
                <c:pt idx="330">
                  <c:v>118</c:v>
                </c:pt>
                <c:pt idx="331">
                  <c:v>87</c:v>
                </c:pt>
                <c:pt idx="332">
                  <c:v>180</c:v>
                </c:pt>
                <c:pt idx="333">
                  <c:v>106</c:v>
                </c:pt>
                <c:pt idx="334">
                  <c:v>95</c:v>
                </c:pt>
                <c:pt idx="335">
                  <c:v>165</c:v>
                </c:pt>
                <c:pt idx="336">
                  <c:v>117</c:v>
                </c:pt>
                <c:pt idx="337">
                  <c:v>115</c:v>
                </c:pt>
                <c:pt idx="338">
                  <c:v>152</c:v>
                </c:pt>
                <c:pt idx="339">
                  <c:v>178</c:v>
                </c:pt>
                <c:pt idx="340">
                  <c:v>130</c:v>
                </c:pt>
                <c:pt idx="341">
                  <c:v>95</c:v>
                </c:pt>
                <c:pt idx="342">
                  <c:v>117</c:v>
                </c:pt>
                <c:pt idx="343">
                  <c:v>122</c:v>
                </c:pt>
                <c:pt idx="344">
                  <c:v>95</c:v>
                </c:pt>
                <c:pt idx="345">
                  <c:v>126</c:v>
                </c:pt>
                <c:pt idx="346">
                  <c:v>139</c:v>
                </c:pt>
                <c:pt idx="347">
                  <c:v>116</c:v>
                </c:pt>
                <c:pt idx="348">
                  <c:v>99</c:v>
                </c:pt>
                <c:pt idx="349">
                  <c:v>117</c:v>
                </c:pt>
                <c:pt idx="350">
                  <c:v>92</c:v>
                </c:pt>
                <c:pt idx="351">
                  <c:v>137</c:v>
                </c:pt>
                <c:pt idx="352">
                  <c:v>61</c:v>
                </c:pt>
                <c:pt idx="353">
                  <c:v>90</c:v>
                </c:pt>
                <c:pt idx="354">
                  <c:v>90</c:v>
                </c:pt>
                <c:pt idx="355">
                  <c:v>165</c:v>
                </c:pt>
                <c:pt idx="356">
                  <c:v>125</c:v>
                </c:pt>
                <c:pt idx="357">
                  <c:v>129</c:v>
                </c:pt>
                <c:pt idx="358">
                  <c:v>88</c:v>
                </c:pt>
                <c:pt idx="359">
                  <c:v>196</c:v>
                </c:pt>
                <c:pt idx="360">
                  <c:v>189</c:v>
                </c:pt>
                <c:pt idx="361">
                  <c:v>158</c:v>
                </c:pt>
                <c:pt idx="362">
                  <c:v>103</c:v>
                </c:pt>
                <c:pt idx="363">
                  <c:v>146</c:v>
                </c:pt>
                <c:pt idx="364">
                  <c:v>147</c:v>
                </c:pt>
                <c:pt idx="365">
                  <c:v>99</c:v>
                </c:pt>
                <c:pt idx="366">
                  <c:v>124</c:v>
                </c:pt>
                <c:pt idx="367">
                  <c:v>101</c:v>
                </c:pt>
                <c:pt idx="368">
                  <c:v>81</c:v>
                </c:pt>
                <c:pt idx="369">
                  <c:v>133</c:v>
                </c:pt>
                <c:pt idx="370">
                  <c:v>173</c:v>
                </c:pt>
                <c:pt idx="371">
                  <c:v>118</c:v>
                </c:pt>
                <c:pt idx="372">
                  <c:v>84</c:v>
                </c:pt>
                <c:pt idx="373">
                  <c:v>105</c:v>
                </c:pt>
                <c:pt idx="374">
                  <c:v>122</c:v>
                </c:pt>
                <c:pt idx="375">
                  <c:v>140</c:v>
                </c:pt>
                <c:pt idx="376">
                  <c:v>98</c:v>
                </c:pt>
                <c:pt idx="377">
                  <c:v>87</c:v>
                </c:pt>
                <c:pt idx="378">
                  <c:v>156</c:v>
                </c:pt>
                <c:pt idx="379">
                  <c:v>93</c:v>
                </c:pt>
                <c:pt idx="380">
                  <c:v>107</c:v>
                </c:pt>
                <c:pt idx="381">
                  <c:v>105</c:v>
                </c:pt>
                <c:pt idx="382">
                  <c:v>109</c:v>
                </c:pt>
                <c:pt idx="383">
                  <c:v>90</c:v>
                </c:pt>
                <c:pt idx="384">
                  <c:v>125</c:v>
                </c:pt>
                <c:pt idx="385">
                  <c:v>119</c:v>
                </c:pt>
                <c:pt idx="386">
                  <c:v>116</c:v>
                </c:pt>
                <c:pt idx="387">
                  <c:v>105</c:v>
                </c:pt>
                <c:pt idx="388">
                  <c:v>144</c:v>
                </c:pt>
                <c:pt idx="389">
                  <c:v>100</c:v>
                </c:pt>
                <c:pt idx="390">
                  <c:v>100</c:v>
                </c:pt>
                <c:pt idx="391">
                  <c:v>166</c:v>
                </c:pt>
                <c:pt idx="392">
                  <c:v>131</c:v>
                </c:pt>
                <c:pt idx="393">
                  <c:v>116</c:v>
                </c:pt>
                <c:pt idx="394">
                  <c:v>158</c:v>
                </c:pt>
                <c:pt idx="395">
                  <c:v>127</c:v>
                </c:pt>
                <c:pt idx="396">
                  <c:v>96</c:v>
                </c:pt>
                <c:pt idx="397">
                  <c:v>131</c:v>
                </c:pt>
                <c:pt idx="398">
                  <c:v>82</c:v>
                </c:pt>
                <c:pt idx="399">
                  <c:v>193</c:v>
                </c:pt>
                <c:pt idx="400">
                  <c:v>95</c:v>
                </c:pt>
                <c:pt idx="401">
                  <c:v>137</c:v>
                </c:pt>
                <c:pt idx="402">
                  <c:v>136</c:v>
                </c:pt>
                <c:pt idx="403">
                  <c:v>72</c:v>
                </c:pt>
                <c:pt idx="404">
                  <c:v>168</c:v>
                </c:pt>
                <c:pt idx="405">
                  <c:v>123</c:v>
                </c:pt>
                <c:pt idx="406">
                  <c:v>115</c:v>
                </c:pt>
                <c:pt idx="407">
                  <c:v>101</c:v>
                </c:pt>
                <c:pt idx="408">
                  <c:v>197</c:v>
                </c:pt>
                <c:pt idx="409">
                  <c:v>172</c:v>
                </c:pt>
                <c:pt idx="410">
                  <c:v>102</c:v>
                </c:pt>
                <c:pt idx="411">
                  <c:v>112</c:v>
                </c:pt>
                <c:pt idx="412">
                  <c:v>143</c:v>
                </c:pt>
                <c:pt idx="413">
                  <c:v>143</c:v>
                </c:pt>
                <c:pt idx="414">
                  <c:v>138</c:v>
                </c:pt>
                <c:pt idx="415">
                  <c:v>173</c:v>
                </c:pt>
                <c:pt idx="416">
                  <c:v>97</c:v>
                </c:pt>
                <c:pt idx="417">
                  <c:v>144</c:v>
                </c:pt>
                <c:pt idx="418">
                  <c:v>83</c:v>
                </c:pt>
                <c:pt idx="419">
                  <c:v>129</c:v>
                </c:pt>
                <c:pt idx="420">
                  <c:v>119</c:v>
                </c:pt>
                <c:pt idx="421">
                  <c:v>94</c:v>
                </c:pt>
                <c:pt idx="422">
                  <c:v>102</c:v>
                </c:pt>
                <c:pt idx="423">
                  <c:v>115</c:v>
                </c:pt>
                <c:pt idx="424">
                  <c:v>151</c:v>
                </c:pt>
                <c:pt idx="425">
                  <c:v>184</c:v>
                </c:pt>
                <c:pt idx="426">
                  <c:v>94</c:v>
                </c:pt>
                <c:pt idx="427">
                  <c:v>181</c:v>
                </c:pt>
                <c:pt idx="428">
                  <c:v>135</c:v>
                </c:pt>
                <c:pt idx="429">
                  <c:v>95</c:v>
                </c:pt>
                <c:pt idx="430">
                  <c:v>99</c:v>
                </c:pt>
                <c:pt idx="431">
                  <c:v>89</c:v>
                </c:pt>
                <c:pt idx="432">
                  <c:v>80</c:v>
                </c:pt>
                <c:pt idx="433">
                  <c:v>139</c:v>
                </c:pt>
                <c:pt idx="434">
                  <c:v>90</c:v>
                </c:pt>
                <c:pt idx="435">
                  <c:v>141</c:v>
                </c:pt>
                <c:pt idx="436">
                  <c:v>140</c:v>
                </c:pt>
                <c:pt idx="437">
                  <c:v>147</c:v>
                </c:pt>
                <c:pt idx="438">
                  <c:v>97</c:v>
                </c:pt>
                <c:pt idx="439">
                  <c:v>107</c:v>
                </c:pt>
                <c:pt idx="440">
                  <c:v>189</c:v>
                </c:pt>
                <c:pt idx="441">
                  <c:v>83</c:v>
                </c:pt>
                <c:pt idx="442">
                  <c:v>117</c:v>
                </c:pt>
                <c:pt idx="443">
                  <c:v>108</c:v>
                </c:pt>
                <c:pt idx="444">
                  <c:v>117</c:v>
                </c:pt>
                <c:pt idx="445">
                  <c:v>180</c:v>
                </c:pt>
                <c:pt idx="446">
                  <c:v>100</c:v>
                </c:pt>
                <c:pt idx="447">
                  <c:v>95</c:v>
                </c:pt>
                <c:pt idx="448">
                  <c:v>104</c:v>
                </c:pt>
                <c:pt idx="449">
                  <c:v>120</c:v>
                </c:pt>
                <c:pt idx="450">
                  <c:v>82</c:v>
                </c:pt>
                <c:pt idx="451">
                  <c:v>134</c:v>
                </c:pt>
                <c:pt idx="452">
                  <c:v>91</c:v>
                </c:pt>
                <c:pt idx="453">
                  <c:v>119</c:v>
                </c:pt>
                <c:pt idx="454">
                  <c:v>100</c:v>
                </c:pt>
                <c:pt idx="455">
                  <c:v>175</c:v>
                </c:pt>
                <c:pt idx="456">
                  <c:v>135</c:v>
                </c:pt>
                <c:pt idx="457">
                  <c:v>86</c:v>
                </c:pt>
                <c:pt idx="458">
                  <c:v>148</c:v>
                </c:pt>
                <c:pt idx="459">
                  <c:v>134</c:v>
                </c:pt>
                <c:pt idx="460">
                  <c:v>120</c:v>
                </c:pt>
                <c:pt idx="461">
                  <c:v>71</c:v>
                </c:pt>
                <c:pt idx="462">
                  <c:v>74</c:v>
                </c:pt>
                <c:pt idx="463">
                  <c:v>88</c:v>
                </c:pt>
                <c:pt idx="464">
                  <c:v>115</c:v>
                </c:pt>
                <c:pt idx="465">
                  <c:v>124</c:v>
                </c:pt>
                <c:pt idx="466">
                  <c:v>74</c:v>
                </c:pt>
                <c:pt idx="467">
                  <c:v>97</c:v>
                </c:pt>
                <c:pt idx="468">
                  <c:v>120</c:v>
                </c:pt>
                <c:pt idx="469">
                  <c:v>154</c:v>
                </c:pt>
                <c:pt idx="470">
                  <c:v>144</c:v>
                </c:pt>
                <c:pt idx="471">
                  <c:v>137</c:v>
                </c:pt>
                <c:pt idx="472">
                  <c:v>119</c:v>
                </c:pt>
                <c:pt idx="473">
                  <c:v>136</c:v>
                </c:pt>
                <c:pt idx="474">
                  <c:v>114</c:v>
                </c:pt>
                <c:pt idx="475">
                  <c:v>137</c:v>
                </c:pt>
                <c:pt idx="476">
                  <c:v>105</c:v>
                </c:pt>
                <c:pt idx="477">
                  <c:v>114</c:v>
                </c:pt>
                <c:pt idx="478">
                  <c:v>126</c:v>
                </c:pt>
                <c:pt idx="479">
                  <c:v>132</c:v>
                </c:pt>
                <c:pt idx="480">
                  <c:v>158</c:v>
                </c:pt>
                <c:pt idx="481">
                  <c:v>123</c:v>
                </c:pt>
                <c:pt idx="482">
                  <c:v>85</c:v>
                </c:pt>
                <c:pt idx="483">
                  <c:v>84</c:v>
                </c:pt>
                <c:pt idx="484">
                  <c:v>145</c:v>
                </c:pt>
                <c:pt idx="485">
                  <c:v>135</c:v>
                </c:pt>
                <c:pt idx="486">
                  <c:v>139</c:v>
                </c:pt>
                <c:pt idx="487">
                  <c:v>173</c:v>
                </c:pt>
                <c:pt idx="488">
                  <c:v>99</c:v>
                </c:pt>
                <c:pt idx="489">
                  <c:v>194</c:v>
                </c:pt>
                <c:pt idx="490">
                  <c:v>83</c:v>
                </c:pt>
                <c:pt idx="491">
                  <c:v>89</c:v>
                </c:pt>
                <c:pt idx="492">
                  <c:v>99</c:v>
                </c:pt>
                <c:pt idx="493">
                  <c:v>125</c:v>
                </c:pt>
                <c:pt idx="494">
                  <c:v>80</c:v>
                </c:pt>
                <c:pt idx="495">
                  <c:v>166</c:v>
                </c:pt>
                <c:pt idx="496">
                  <c:v>110</c:v>
                </c:pt>
                <c:pt idx="497">
                  <c:v>81</c:v>
                </c:pt>
                <c:pt idx="498">
                  <c:v>195</c:v>
                </c:pt>
                <c:pt idx="499">
                  <c:v>154</c:v>
                </c:pt>
                <c:pt idx="500">
                  <c:v>117</c:v>
                </c:pt>
                <c:pt idx="501">
                  <c:v>84</c:v>
                </c:pt>
                <c:pt idx="502">
                  <c:v>117</c:v>
                </c:pt>
                <c:pt idx="503">
                  <c:v>94</c:v>
                </c:pt>
                <c:pt idx="504">
                  <c:v>96</c:v>
                </c:pt>
                <c:pt idx="505">
                  <c:v>75</c:v>
                </c:pt>
                <c:pt idx="506">
                  <c:v>180</c:v>
                </c:pt>
                <c:pt idx="507">
                  <c:v>130</c:v>
                </c:pt>
                <c:pt idx="508">
                  <c:v>84</c:v>
                </c:pt>
                <c:pt idx="509">
                  <c:v>120</c:v>
                </c:pt>
                <c:pt idx="510">
                  <c:v>84</c:v>
                </c:pt>
                <c:pt idx="511">
                  <c:v>139</c:v>
                </c:pt>
                <c:pt idx="512">
                  <c:v>91</c:v>
                </c:pt>
                <c:pt idx="513">
                  <c:v>91</c:v>
                </c:pt>
                <c:pt idx="514">
                  <c:v>99</c:v>
                </c:pt>
                <c:pt idx="515">
                  <c:v>163</c:v>
                </c:pt>
                <c:pt idx="516">
                  <c:v>145</c:v>
                </c:pt>
                <c:pt idx="517">
                  <c:v>125</c:v>
                </c:pt>
                <c:pt idx="518">
                  <c:v>76</c:v>
                </c:pt>
                <c:pt idx="519">
                  <c:v>129</c:v>
                </c:pt>
                <c:pt idx="520">
                  <c:v>68</c:v>
                </c:pt>
                <c:pt idx="521">
                  <c:v>124</c:v>
                </c:pt>
                <c:pt idx="522">
                  <c:v>114</c:v>
                </c:pt>
                <c:pt idx="523">
                  <c:v>130</c:v>
                </c:pt>
                <c:pt idx="524">
                  <c:v>125</c:v>
                </c:pt>
                <c:pt idx="525">
                  <c:v>87</c:v>
                </c:pt>
                <c:pt idx="526">
                  <c:v>97</c:v>
                </c:pt>
                <c:pt idx="527">
                  <c:v>116</c:v>
                </c:pt>
                <c:pt idx="528">
                  <c:v>117</c:v>
                </c:pt>
                <c:pt idx="529">
                  <c:v>111</c:v>
                </c:pt>
                <c:pt idx="530">
                  <c:v>122</c:v>
                </c:pt>
                <c:pt idx="531">
                  <c:v>107</c:v>
                </c:pt>
                <c:pt idx="532">
                  <c:v>86</c:v>
                </c:pt>
                <c:pt idx="533">
                  <c:v>91</c:v>
                </c:pt>
                <c:pt idx="534">
                  <c:v>77</c:v>
                </c:pt>
                <c:pt idx="535">
                  <c:v>132</c:v>
                </c:pt>
                <c:pt idx="536">
                  <c:v>105</c:v>
                </c:pt>
                <c:pt idx="537">
                  <c:v>57</c:v>
                </c:pt>
                <c:pt idx="538">
                  <c:v>127</c:v>
                </c:pt>
                <c:pt idx="539">
                  <c:v>129</c:v>
                </c:pt>
                <c:pt idx="540">
                  <c:v>100</c:v>
                </c:pt>
                <c:pt idx="541">
                  <c:v>128</c:v>
                </c:pt>
                <c:pt idx="542">
                  <c:v>90</c:v>
                </c:pt>
                <c:pt idx="543">
                  <c:v>84</c:v>
                </c:pt>
                <c:pt idx="544">
                  <c:v>88</c:v>
                </c:pt>
                <c:pt idx="545">
                  <c:v>186</c:v>
                </c:pt>
                <c:pt idx="546">
                  <c:v>187</c:v>
                </c:pt>
                <c:pt idx="547">
                  <c:v>131</c:v>
                </c:pt>
                <c:pt idx="548">
                  <c:v>164</c:v>
                </c:pt>
                <c:pt idx="549">
                  <c:v>189</c:v>
                </c:pt>
                <c:pt idx="550">
                  <c:v>116</c:v>
                </c:pt>
                <c:pt idx="551">
                  <c:v>84</c:v>
                </c:pt>
                <c:pt idx="552">
                  <c:v>114</c:v>
                </c:pt>
                <c:pt idx="553">
                  <c:v>88</c:v>
                </c:pt>
                <c:pt idx="554">
                  <c:v>84</c:v>
                </c:pt>
                <c:pt idx="555">
                  <c:v>124</c:v>
                </c:pt>
                <c:pt idx="556">
                  <c:v>97</c:v>
                </c:pt>
                <c:pt idx="557">
                  <c:v>110</c:v>
                </c:pt>
                <c:pt idx="558">
                  <c:v>103</c:v>
                </c:pt>
                <c:pt idx="559">
                  <c:v>85</c:v>
                </c:pt>
                <c:pt idx="560">
                  <c:v>125</c:v>
                </c:pt>
                <c:pt idx="561">
                  <c:v>198</c:v>
                </c:pt>
                <c:pt idx="562">
                  <c:v>87</c:v>
                </c:pt>
                <c:pt idx="563">
                  <c:v>99</c:v>
                </c:pt>
                <c:pt idx="564">
                  <c:v>91</c:v>
                </c:pt>
                <c:pt idx="565">
                  <c:v>95</c:v>
                </c:pt>
                <c:pt idx="566">
                  <c:v>99</c:v>
                </c:pt>
                <c:pt idx="567">
                  <c:v>92</c:v>
                </c:pt>
                <c:pt idx="568">
                  <c:v>154</c:v>
                </c:pt>
                <c:pt idx="569">
                  <c:v>121</c:v>
                </c:pt>
                <c:pt idx="570">
                  <c:v>78</c:v>
                </c:pt>
                <c:pt idx="571">
                  <c:v>130</c:v>
                </c:pt>
                <c:pt idx="572">
                  <c:v>111</c:v>
                </c:pt>
                <c:pt idx="573">
                  <c:v>98</c:v>
                </c:pt>
                <c:pt idx="574">
                  <c:v>143</c:v>
                </c:pt>
                <c:pt idx="575">
                  <c:v>119</c:v>
                </c:pt>
                <c:pt idx="576">
                  <c:v>108</c:v>
                </c:pt>
                <c:pt idx="577">
                  <c:v>118</c:v>
                </c:pt>
                <c:pt idx="578">
                  <c:v>133</c:v>
                </c:pt>
                <c:pt idx="579">
                  <c:v>197</c:v>
                </c:pt>
                <c:pt idx="580">
                  <c:v>151</c:v>
                </c:pt>
                <c:pt idx="581">
                  <c:v>109</c:v>
                </c:pt>
                <c:pt idx="582">
                  <c:v>121</c:v>
                </c:pt>
                <c:pt idx="583">
                  <c:v>100</c:v>
                </c:pt>
                <c:pt idx="584">
                  <c:v>124</c:v>
                </c:pt>
                <c:pt idx="585">
                  <c:v>93</c:v>
                </c:pt>
                <c:pt idx="586">
                  <c:v>143</c:v>
                </c:pt>
                <c:pt idx="587">
                  <c:v>103</c:v>
                </c:pt>
                <c:pt idx="588">
                  <c:v>176</c:v>
                </c:pt>
                <c:pt idx="589">
                  <c:v>73</c:v>
                </c:pt>
                <c:pt idx="590">
                  <c:v>111</c:v>
                </c:pt>
                <c:pt idx="591">
                  <c:v>112</c:v>
                </c:pt>
                <c:pt idx="592">
                  <c:v>132</c:v>
                </c:pt>
                <c:pt idx="593">
                  <c:v>82</c:v>
                </c:pt>
                <c:pt idx="594">
                  <c:v>123</c:v>
                </c:pt>
                <c:pt idx="595">
                  <c:v>188</c:v>
                </c:pt>
                <c:pt idx="596">
                  <c:v>67</c:v>
                </c:pt>
                <c:pt idx="597">
                  <c:v>89</c:v>
                </c:pt>
                <c:pt idx="598">
                  <c:v>173</c:v>
                </c:pt>
                <c:pt idx="599">
                  <c:v>109</c:v>
                </c:pt>
                <c:pt idx="600">
                  <c:v>108</c:v>
                </c:pt>
                <c:pt idx="601">
                  <c:v>96</c:v>
                </c:pt>
                <c:pt idx="602">
                  <c:v>124</c:v>
                </c:pt>
                <c:pt idx="603">
                  <c:v>150</c:v>
                </c:pt>
                <c:pt idx="604">
                  <c:v>183</c:v>
                </c:pt>
                <c:pt idx="605">
                  <c:v>124</c:v>
                </c:pt>
                <c:pt idx="606">
                  <c:v>181</c:v>
                </c:pt>
                <c:pt idx="607">
                  <c:v>92</c:v>
                </c:pt>
                <c:pt idx="608">
                  <c:v>152</c:v>
                </c:pt>
                <c:pt idx="609">
                  <c:v>111</c:v>
                </c:pt>
                <c:pt idx="610">
                  <c:v>106</c:v>
                </c:pt>
                <c:pt idx="611">
                  <c:v>174</c:v>
                </c:pt>
                <c:pt idx="612">
                  <c:v>168</c:v>
                </c:pt>
                <c:pt idx="613">
                  <c:v>105</c:v>
                </c:pt>
                <c:pt idx="614">
                  <c:v>138</c:v>
                </c:pt>
                <c:pt idx="615">
                  <c:v>106</c:v>
                </c:pt>
                <c:pt idx="616">
                  <c:v>117</c:v>
                </c:pt>
                <c:pt idx="617">
                  <c:v>68</c:v>
                </c:pt>
                <c:pt idx="618">
                  <c:v>112</c:v>
                </c:pt>
                <c:pt idx="619">
                  <c:v>119</c:v>
                </c:pt>
                <c:pt idx="620">
                  <c:v>112</c:v>
                </c:pt>
                <c:pt idx="621">
                  <c:v>92</c:v>
                </c:pt>
                <c:pt idx="622">
                  <c:v>183</c:v>
                </c:pt>
                <c:pt idx="623">
                  <c:v>94</c:v>
                </c:pt>
                <c:pt idx="624">
                  <c:v>108</c:v>
                </c:pt>
                <c:pt idx="625">
                  <c:v>90</c:v>
                </c:pt>
                <c:pt idx="626">
                  <c:v>125</c:v>
                </c:pt>
                <c:pt idx="627">
                  <c:v>132</c:v>
                </c:pt>
                <c:pt idx="628">
                  <c:v>128</c:v>
                </c:pt>
                <c:pt idx="629">
                  <c:v>94</c:v>
                </c:pt>
                <c:pt idx="630">
                  <c:v>114</c:v>
                </c:pt>
                <c:pt idx="631">
                  <c:v>102</c:v>
                </c:pt>
                <c:pt idx="632">
                  <c:v>111</c:v>
                </c:pt>
                <c:pt idx="633">
                  <c:v>128</c:v>
                </c:pt>
                <c:pt idx="634">
                  <c:v>92</c:v>
                </c:pt>
                <c:pt idx="635">
                  <c:v>104</c:v>
                </c:pt>
                <c:pt idx="636">
                  <c:v>104</c:v>
                </c:pt>
                <c:pt idx="637">
                  <c:v>94</c:v>
                </c:pt>
                <c:pt idx="638">
                  <c:v>97</c:v>
                </c:pt>
                <c:pt idx="639">
                  <c:v>100</c:v>
                </c:pt>
                <c:pt idx="640">
                  <c:v>102</c:v>
                </c:pt>
                <c:pt idx="641">
                  <c:v>128</c:v>
                </c:pt>
                <c:pt idx="642">
                  <c:v>147</c:v>
                </c:pt>
                <c:pt idx="643">
                  <c:v>90</c:v>
                </c:pt>
                <c:pt idx="644">
                  <c:v>103</c:v>
                </c:pt>
                <c:pt idx="645">
                  <c:v>157</c:v>
                </c:pt>
                <c:pt idx="646">
                  <c:v>167</c:v>
                </c:pt>
                <c:pt idx="647">
                  <c:v>179</c:v>
                </c:pt>
                <c:pt idx="648">
                  <c:v>136</c:v>
                </c:pt>
                <c:pt idx="649">
                  <c:v>107</c:v>
                </c:pt>
                <c:pt idx="650">
                  <c:v>91</c:v>
                </c:pt>
                <c:pt idx="651">
                  <c:v>117</c:v>
                </c:pt>
                <c:pt idx="652">
                  <c:v>123</c:v>
                </c:pt>
                <c:pt idx="653">
                  <c:v>120</c:v>
                </c:pt>
                <c:pt idx="654">
                  <c:v>106</c:v>
                </c:pt>
                <c:pt idx="655">
                  <c:v>155</c:v>
                </c:pt>
                <c:pt idx="656">
                  <c:v>101</c:v>
                </c:pt>
                <c:pt idx="657">
                  <c:v>120</c:v>
                </c:pt>
                <c:pt idx="658">
                  <c:v>127</c:v>
                </c:pt>
                <c:pt idx="659">
                  <c:v>80</c:v>
                </c:pt>
                <c:pt idx="660">
                  <c:v>162</c:v>
                </c:pt>
                <c:pt idx="661">
                  <c:v>199</c:v>
                </c:pt>
                <c:pt idx="662">
                  <c:v>167</c:v>
                </c:pt>
                <c:pt idx="663">
                  <c:v>145</c:v>
                </c:pt>
                <c:pt idx="664">
                  <c:v>115</c:v>
                </c:pt>
                <c:pt idx="665">
                  <c:v>112</c:v>
                </c:pt>
                <c:pt idx="666">
                  <c:v>145</c:v>
                </c:pt>
                <c:pt idx="667">
                  <c:v>111</c:v>
                </c:pt>
                <c:pt idx="668">
                  <c:v>98</c:v>
                </c:pt>
                <c:pt idx="669">
                  <c:v>154</c:v>
                </c:pt>
                <c:pt idx="670">
                  <c:v>165</c:v>
                </c:pt>
                <c:pt idx="671">
                  <c:v>99</c:v>
                </c:pt>
                <c:pt idx="672">
                  <c:v>68</c:v>
                </c:pt>
                <c:pt idx="673">
                  <c:v>123</c:v>
                </c:pt>
                <c:pt idx="674">
                  <c:v>91</c:v>
                </c:pt>
                <c:pt idx="675">
                  <c:v>195</c:v>
                </c:pt>
                <c:pt idx="676">
                  <c:v>156</c:v>
                </c:pt>
                <c:pt idx="677">
                  <c:v>93</c:v>
                </c:pt>
                <c:pt idx="678">
                  <c:v>121</c:v>
                </c:pt>
                <c:pt idx="679">
                  <c:v>101</c:v>
                </c:pt>
                <c:pt idx="680">
                  <c:v>56</c:v>
                </c:pt>
                <c:pt idx="681">
                  <c:v>162</c:v>
                </c:pt>
                <c:pt idx="682">
                  <c:v>95</c:v>
                </c:pt>
                <c:pt idx="683">
                  <c:v>125</c:v>
                </c:pt>
                <c:pt idx="684">
                  <c:v>136</c:v>
                </c:pt>
                <c:pt idx="685">
                  <c:v>129</c:v>
                </c:pt>
                <c:pt idx="686">
                  <c:v>130</c:v>
                </c:pt>
                <c:pt idx="687">
                  <c:v>107</c:v>
                </c:pt>
                <c:pt idx="688">
                  <c:v>140</c:v>
                </c:pt>
                <c:pt idx="689">
                  <c:v>144</c:v>
                </c:pt>
                <c:pt idx="690">
                  <c:v>107</c:v>
                </c:pt>
                <c:pt idx="691">
                  <c:v>158</c:v>
                </c:pt>
                <c:pt idx="692">
                  <c:v>121</c:v>
                </c:pt>
                <c:pt idx="693">
                  <c:v>129</c:v>
                </c:pt>
                <c:pt idx="694">
                  <c:v>90</c:v>
                </c:pt>
                <c:pt idx="695">
                  <c:v>142</c:v>
                </c:pt>
                <c:pt idx="696">
                  <c:v>169</c:v>
                </c:pt>
                <c:pt idx="697">
                  <c:v>99</c:v>
                </c:pt>
                <c:pt idx="698">
                  <c:v>127</c:v>
                </c:pt>
                <c:pt idx="699">
                  <c:v>118</c:v>
                </c:pt>
                <c:pt idx="700">
                  <c:v>122</c:v>
                </c:pt>
                <c:pt idx="701">
                  <c:v>125</c:v>
                </c:pt>
                <c:pt idx="702">
                  <c:v>168</c:v>
                </c:pt>
                <c:pt idx="703">
                  <c:v>129</c:v>
                </c:pt>
                <c:pt idx="704">
                  <c:v>110</c:v>
                </c:pt>
                <c:pt idx="705">
                  <c:v>80</c:v>
                </c:pt>
                <c:pt idx="706">
                  <c:v>115</c:v>
                </c:pt>
                <c:pt idx="707">
                  <c:v>127</c:v>
                </c:pt>
                <c:pt idx="708">
                  <c:v>164</c:v>
                </c:pt>
                <c:pt idx="709">
                  <c:v>93</c:v>
                </c:pt>
                <c:pt idx="710">
                  <c:v>158</c:v>
                </c:pt>
                <c:pt idx="711">
                  <c:v>126</c:v>
                </c:pt>
                <c:pt idx="712">
                  <c:v>129</c:v>
                </c:pt>
                <c:pt idx="713">
                  <c:v>134</c:v>
                </c:pt>
                <c:pt idx="714">
                  <c:v>102</c:v>
                </c:pt>
                <c:pt idx="715">
                  <c:v>187</c:v>
                </c:pt>
                <c:pt idx="716">
                  <c:v>173</c:v>
                </c:pt>
                <c:pt idx="717">
                  <c:v>94</c:v>
                </c:pt>
                <c:pt idx="718">
                  <c:v>108</c:v>
                </c:pt>
                <c:pt idx="719">
                  <c:v>97</c:v>
                </c:pt>
                <c:pt idx="720">
                  <c:v>83</c:v>
                </c:pt>
                <c:pt idx="721">
                  <c:v>114</c:v>
                </c:pt>
                <c:pt idx="722">
                  <c:v>149</c:v>
                </c:pt>
                <c:pt idx="723">
                  <c:v>117</c:v>
                </c:pt>
                <c:pt idx="724">
                  <c:v>111</c:v>
                </c:pt>
                <c:pt idx="725">
                  <c:v>112</c:v>
                </c:pt>
                <c:pt idx="726">
                  <c:v>116</c:v>
                </c:pt>
                <c:pt idx="727">
                  <c:v>141</c:v>
                </c:pt>
                <c:pt idx="728">
                  <c:v>175</c:v>
                </c:pt>
                <c:pt idx="729">
                  <c:v>92</c:v>
                </c:pt>
                <c:pt idx="730">
                  <c:v>130</c:v>
                </c:pt>
                <c:pt idx="731">
                  <c:v>120</c:v>
                </c:pt>
                <c:pt idx="732">
                  <c:v>174</c:v>
                </c:pt>
                <c:pt idx="733">
                  <c:v>106</c:v>
                </c:pt>
                <c:pt idx="734">
                  <c:v>105</c:v>
                </c:pt>
                <c:pt idx="735">
                  <c:v>95</c:v>
                </c:pt>
                <c:pt idx="736">
                  <c:v>126</c:v>
                </c:pt>
                <c:pt idx="737">
                  <c:v>65</c:v>
                </c:pt>
                <c:pt idx="738">
                  <c:v>99</c:v>
                </c:pt>
                <c:pt idx="739">
                  <c:v>102</c:v>
                </c:pt>
                <c:pt idx="740">
                  <c:v>120</c:v>
                </c:pt>
                <c:pt idx="741">
                  <c:v>102</c:v>
                </c:pt>
                <c:pt idx="742">
                  <c:v>109</c:v>
                </c:pt>
                <c:pt idx="743">
                  <c:v>140</c:v>
                </c:pt>
                <c:pt idx="744">
                  <c:v>153</c:v>
                </c:pt>
                <c:pt idx="745">
                  <c:v>100</c:v>
                </c:pt>
                <c:pt idx="746">
                  <c:v>147</c:v>
                </c:pt>
                <c:pt idx="747">
                  <c:v>81</c:v>
                </c:pt>
                <c:pt idx="748">
                  <c:v>187</c:v>
                </c:pt>
                <c:pt idx="749">
                  <c:v>162</c:v>
                </c:pt>
                <c:pt idx="750">
                  <c:v>136</c:v>
                </c:pt>
                <c:pt idx="751">
                  <c:v>121</c:v>
                </c:pt>
                <c:pt idx="752">
                  <c:v>108</c:v>
                </c:pt>
                <c:pt idx="753">
                  <c:v>181</c:v>
                </c:pt>
                <c:pt idx="754">
                  <c:v>154</c:v>
                </c:pt>
                <c:pt idx="755">
                  <c:v>128</c:v>
                </c:pt>
                <c:pt idx="756">
                  <c:v>137</c:v>
                </c:pt>
                <c:pt idx="757">
                  <c:v>123</c:v>
                </c:pt>
                <c:pt idx="758">
                  <c:v>106</c:v>
                </c:pt>
                <c:pt idx="759">
                  <c:v>190</c:v>
                </c:pt>
                <c:pt idx="760">
                  <c:v>88</c:v>
                </c:pt>
                <c:pt idx="761">
                  <c:v>170</c:v>
                </c:pt>
                <c:pt idx="762">
                  <c:v>89</c:v>
                </c:pt>
                <c:pt idx="763">
                  <c:v>101</c:v>
                </c:pt>
                <c:pt idx="764">
                  <c:v>122</c:v>
                </c:pt>
                <c:pt idx="765">
                  <c:v>121</c:v>
                </c:pt>
                <c:pt idx="766">
                  <c:v>126</c:v>
                </c:pt>
                <c:pt idx="767">
                  <c:v>93</c:v>
                </c:pt>
              </c:numCache>
            </c:numRef>
          </c:xVal>
          <c:yVal>
            <c:numRef>
              <c:f>diabetes!$U$2:$U$769</c:f>
              <c:numCache>
                <c:formatCode>General</c:formatCode>
                <c:ptCount val="768"/>
                <c:pt idx="0">
                  <c:v>#N/A</c:v>
                </c:pt>
                <c:pt idx="1">
                  <c:v>125</c:v>
                </c:pt>
                <c:pt idx="2">
                  <c:v>#N/A</c:v>
                </c:pt>
                <c:pt idx="3">
                  <c:v>94</c:v>
                </c:pt>
                <c:pt idx="4">
                  <c:v>#N/A</c:v>
                </c:pt>
                <c:pt idx="5">
                  <c:v>125</c:v>
                </c:pt>
                <c:pt idx="6">
                  <c:v>#N/A</c:v>
                </c:pt>
                <c:pt idx="7">
                  <c:v>125</c:v>
                </c:pt>
                <c:pt idx="8">
                  <c:v>#N/A</c:v>
                </c:pt>
                <c:pt idx="9">
                  <c:v>#N/A</c:v>
                </c:pt>
                <c:pt idx="10">
                  <c:v>125</c:v>
                </c:pt>
                <c:pt idx="11">
                  <c:v>#N/A</c:v>
                </c:pt>
                <c:pt idx="12">
                  <c:v>125</c:v>
                </c:pt>
                <c:pt idx="13">
                  <c:v>#N/A</c:v>
                </c:pt>
                <c:pt idx="14">
                  <c:v>#N/A</c:v>
                </c:pt>
                <c:pt idx="15">
                  <c:v>#N/A</c:v>
                </c:pt>
                <c:pt idx="16">
                  <c:v>#N/A</c:v>
                </c:pt>
                <c:pt idx="17">
                  <c:v>#N/A</c:v>
                </c:pt>
                <c:pt idx="18">
                  <c:v>83</c:v>
                </c:pt>
                <c:pt idx="19">
                  <c:v>#N/A</c:v>
                </c:pt>
                <c:pt idx="20">
                  <c:v>235</c:v>
                </c:pt>
                <c:pt idx="21">
                  <c:v>125</c:v>
                </c:pt>
                <c:pt idx="22">
                  <c:v>#N/A</c:v>
                </c:pt>
                <c:pt idx="23">
                  <c:v>#N/A</c:v>
                </c:pt>
                <c:pt idx="24">
                  <c:v>#N/A</c:v>
                </c:pt>
                <c:pt idx="25">
                  <c:v>#N/A</c:v>
                </c:pt>
                <c:pt idx="26">
                  <c:v>#N/A</c:v>
                </c:pt>
                <c:pt idx="27">
                  <c:v>140</c:v>
                </c:pt>
                <c:pt idx="28">
                  <c:v>110</c:v>
                </c:pt>
                <c:pt idx="29">
                  <c:v>125</c:v>
                </c:pt>
                <c:pt idx="30">
                  <c:v>125</c:v>
                </c:pt>
                <c:pt idx="31">
                  <c:v>#N/A</c:v>
                </c:pt>
                <c:pt idx="32">
                  <c:v>54</c:v>
                </c:pt>
                <c:pt idx="33">
                  <c:v>125</c:v>
                </c:pt>
                <c:pt idx="34">
                  <c:v>125</c:v>
                </c:pt>
                <c:pt idx="35">
                  <c:v>192</c:v>
                </c:pt>
                <c:pt idx="36">
                  <c:v>125</c:v>
                </c:pt>
                <c:pt idx="37">
                  <c:v>#N/A</c:v>
                </c:pt>
                <c:pt idx="38">
                  <c:v>#N/A</c:v>
                </c:pt>
                <c:pt idx="39">
                  <c:v>#N/A</c:v>
                </c:pt>
                <c:pt idx="40">
                  <c:v>70</c:v>
                </c:pt>
                <c:pt idx="41">
                  <c:v>125</c:v>
                </c:pt>
                <c:pt idx="42">
                  <c:v>125</c:v>
                </c:pt>
                <c:pt idx="43">
                  <c:v>#N/A</c:v>
                </c:pt>
                <c:pt idx="44">
                  <c:v>125</c:v>
                </c:pt>
                <c:pt idx="45">
                  <c:v>#N/A</c:v>
                </c:pt>
                <c:pt idx="46">
                  <c:v>125</c:v>
                </c:pt>
                <c:pt idx="47">
                  <c:v>125</c:v>
                </c:pt>
                <c:pt idx="48">
                  <c:v>#N/A</c:v>
                </c:pt>
                <c:pt idx="49">
                  <c:v>125</c:v>
                </c:pt>
                <c:pt idx="50">
                  <c:v>82</c:v>
                </c:pt>
                <c:pt idx="51">
                  <c:v>36</c:v>
                </c:pt>
                <c:pt idx="52">
                  <c:v>23</c:v>
                </c:pt>
                <c:pt idx="53">
                  <c:v>#N/A</c:v>
                </c:pt>
                <c:pt idx="54">
                  <c:v>342</c:v>
                </c:pt>
                <c:pt idx="55">
                  <c:v>125</c:v>
                </c:pt>
                <c:pt idx="56">
                  <c:v>#N/A</c:v>
                </c:pt>
                <c:pt idx="57">
                  <c:v>110</c:v>
                </c:pt>
                <c:pt idx="58">
                  <c:v>125</c:v>
                </c:pt>
                <c:pt idx="59">
                  <c:v>142</c:v>
                </c:pt>
                <c:pt idx="60">
                  <c:v>125</c:v>
                </c:pt>
                <c:pt idx="61">
                  <c:v>#N/A</c:v>
                </c:pt>
                <c:pt idx="62">
                  <c:v>125</c:v>
                </c:pt>
                <c:pt idx="63">
                  <c:v>128</c:v>
                </c:pt>
                <c:pt idx="64">
                  <c:v>#N/A</c:v>
                </c:pt>
                <c:pt idx="65">
                  <c:v>125</c:v>
                </c:pt>
                <c:pt idx="66">
                  <c:v>#N/A</c:v>
                </c:pt>
                <c:pt idx="67">
                  <c:v>125</c:v>
                </c:pt>
                <c:pt idx="68">
                  <c:v>38</c:v>
                </c:pt>
                <c:pt idx="69">
                  <c:v>100</c:v>
                </c:pt>
                <c:pt idx="70">
                  <c:v>#N/A</c:v>
                </c:pt>
                <c:pt idx="71">
                  <c:v>140</c:v>
                </c:pt>
                <c:pt idx="72">
                  <c:v>#N/A</c:v>
                </c:pt>
                <c:pt idx="73">
                  <c:v>270</c:v>
                </c:pt>
                <c:pt idx="74">
                  <c:v>125</c:v>
                </c:pt>
                <c:pt idx="75">
                  <c:v>125</c:v>
                </c:pt>
                <c:pt idx="76">
                  <c:v>125</c:v>
                </c:pt>
                <c:pt idx="77">
                  <c:v>125</c:v>
                </c:pt>
                <c:pt idx="78">
                  <c:v>#N/A</c:v>
                </c:pt>
                <c:pt idx="79">
                  <c:v>125</c:v>
                </c:pt>
                <c:pt idx="80">
                  <c:v>125</c:v>
                </c:pt>
                <c:pt idx="81">
                  <c:v>125</c:v>
                </c:pt>
                <c:pt idx="82">
                  <c:v>71</c:v>
                </c:pt>
                <c:pt idx="83">
                  <c:v>125</c:v>
                </c:pt>
                <c:pt idx="84">
                  <c:v>#N/A</c:v>
                </c:pt>
                <c:pt idx="85">
                  <c:v>125</c:v>
                </c:pt>
                <c:pt idx="86">
                  <c:v>125</c:v>
                </c:pt>
                <c:pt idx="87">
                  <c:v>71</c:v>
                </c:pt>
                <c:pt idx="88">
                  <c:v>#N/A</c:v>
                </c:pt>
                <c:pt idx="89">
                  <c:v>125</c:v>
                </c:pt>
                <c:pt idx="90">
                  <c:v>125</c:v>
                </c:pt>
                <c:pt idx="91">
                  <c:v>176</c:v>
                </c:pt>
                <c:pt idx="92">
                  <c:v>48</c:v>
                </c:pt>
                <c:pt idx="93">
                  <c:v>#N/A</c:v>
                </c:pt>
                <c:pt idx="94">
                  <c:v>64</c:v>
                </c:pt>
                <c:pt idx="95">
                  <c:v>228</c:v>
                </c:pt>
                <c:pt idx="96">
                  <c:v>125</c:v>
                </c:pt>
                <c:pt idx="97">
                  <c:v>76</c:v>
                </c:pt>
                <c:pt idx="98">
                  <c:v>64</c:v>
                </c:pt>
                <c:pt idx="99">
                  <c:v>#N/A</c:v>
                </c:pt>
                <c:pt idx="100">
                  <c:v>#N/A</c:v>
                </c:pt>
                <c:pt idx="101">
                  <c:v>125</c:v>
                </c:pt>
                <c:pt idx="102">
                  <c:v>125</c:v>
                </c:pt>
                <c:pt idx="103">
                  <c:v>40</c:v>
                </c:pt>
                <c:pt idx="104">
                  <c:v>125</c:v>
                </c:pt>
                <c:pt idx="105">
                  <c:v>152</c:v>
                </c:pt>
                <c:pt idx="106">
                  <c:v>125</c:v>
                </c:pt>
                <c:pt idx="107">
                  <c:v>140</c:v>
                </c:pt>
                <c:pt idx="108">
                  <c:v>18</c:v>
                </c:pt>
                <c:pt idx="109">
                  <c:v>#N/A</c:v>
                </c:pt>
                <c:pt idx="110">
                  <c:v>#N/A</c:v>
                </c:pt>
                <c:pt idx="111">
                  <c:v>#N/A</c:v>
                </c:pt>
                <c:pt idx="112">
                  <c:v>37</c:v>
                </c:pt>
                <c:pt idx="113">
                  <c:v>125</c:v>
                </c:pt>
                <c:pt idx="114">
                  <c:v>#N/A</c:v>
                </c:pt>
                <c:pt idx="115">
                  <c:v>#N/A</c:v>
                </c:pt>
                <c:pt idx="116">
                  <c:v>#N/A</c:v>
                </c:pt>
                <c:pt idx="117">
                  <c:v>125</c:v>
                </c:pt>
                <c:pt idx="118">
                  <c:v>125</c:v>
                </c:pt>
                <c:pt idx="119">
                  <c:v>51</c:v>
                </c:pt>
                <c:pt idx="120">
                  <c:v>#N/A</c:v>
                </c:pt>
                <c:pt idx="121">
                  <c:v>125</c:v>
                </c:pt>
                <c:pt idx="122">
                  <c:v>100</c:v>
                </c:pt>
                <c:pt idx="123">
                  <c:v>125</c:v>
                </c:pt>
                <c:pt idx="124">
                  <c:v>#N/A</c:v>
                </c:pt>
                <c:pt idx="125">
                  <c:v>#N/A</c:v>
                </c:pt>
                <c:pt idx="126">
                  <c:v>135</c:v>
                </c:pt>
                <c:pt idx="127">
                  <c:v>94</c:v>
                </c:pt>
                <c:pt idx="128">
                  <c:v>#N/A</c:v>
                </c:pt>
                <c:pt idx="129">
                  <c:v>#N/A</c:v>
                </c:pt>
                <c:pt idx="130">
                  <c:v>#N/A</c:v>
                </c:pt>
                <c:pt idx="131">
                  <c:v>#N/A</c:v>
                </c:pt>
                <c:pt idx="132">
                  <c:v>#N/A</c:v>
                </c:pt>
                <c:pt idx="133">
                  <c:v>125</c:v>
                </c:pt>
                <c:pt idx="134">
                  <c:v>49</c:v>
                </c:pt>
                <c:pt idx="135">
                  <c:v>140</c:v>
                </c:pt>
                <c:pt idx="136">
                  <c:v>50</c:v>
                </c:pt>
                <c:pt idx="137">
                  <c:v>92</c:v>
                </c:pt>
                <c:pt idx="138">
                  <c:v>125</c:v>
                </c:pt>
                <c:pt idx="139">
                  <c:v>325</c:v>
                </c:pt>
                <c:pt idx="140">
                  <c:v>125</c:v>
                </c:pt>
                <c:pt idx="141">
                  <c:v>125</c:v>
                </c:pt>
                <c:pt idx="142">
                  <c:v>63</c:v>
                </c:pt>
                <c:pt idx="143">
                  <c:v>#N/A</c:v>
                </c:pt>
                <c:pt idx="144">
                  <c:v>284</c:v>
                </c:pt>
                <c:pt idx="145">
                  <c:v>125</c:v>
                </c:pt>
                <c:pt idx="146">
                  <c:v>125</c:v>
                </c:pt>
                <c:pt idx="147">
                  <c:v>119</c:v>
                </c:pt>
                <c:pt idx="148">
                  <c:v>125</c:v>
                </c:pt>
                <c:pt idx="149">
                  <c:v>125</c:v>
                </c:pt>
                <c:pt idx="150">
                  <c:v>204</c:v>
                </c:pt>
                <c:pt idx="151">
                  <c:v>125</c:v>
                </c:pt>
                <c:pt idx="152">
                  <c:v>#N/A</c:v>
                </c:pt>
                <c:pt idx="153">
                  <c:v>485</c:v>
                </c:pt>
                <c:pt idx="154">
                  <c:v>#N/A</c:v>
                </c:pt>
                <c:pt idx="155">
                  <c:v>#N/A</c:v>
                </c:pt>
                <c:pt idx="156">
                  <c:v>94</c:v>
                </c:pt>
                <c:pt idx="157">
                  <c:v>135</c:v>
                </c:pt>
                <c:pt idx="158">
                  <c:v>53</c:v>
                </c:pt>
                <c:pt idx="159">
                  <c:v>#N/A</c:v>
                </c:pt>
                <c:pt idx="160">
                  <c:v>125</c:v>
                </c:pt>
                <c:pt idx="161">
                  <c:v>105</c:v>
                </c:pt>
                <c:pt idx="162">
                  <c:v>285</c:v>
                </c:pt>
                <c:pt idx="163">
                  <c:v>125</c:v>
                </c:pt>
                <c:pt idx="164">
                  <c:v>#N/A</c:v>
                </c:pt>
                <c:pt idx="165">
                  <c:v>#N/A</c:v>
                </c:pt>
                <c:pt idx="166">
                  <c:v>125</c:v>
                </c:pt>
                <c:pt idx="167">
                  <c:v>125</c:v>
                </c:pt>
                <c:pt idx="168">
                  <c:v>125</c:v>
                </c:pt>
                <c:pt idx="169">
                  <c:v>78</c:v>
                </c:pt>
                <c:pt idx="170">
                  <c:v>#N/A</c:v>
                </c:pt>
                <c:pt idx="171">
                  <c:v>#N/A</c:v>
                </c:pt>
                <c:pt idx="172">
                  <c:v>125</c:v>
                </c:pt>
                <c:pt idx="173">
                  <c:v>48</c:v>
                </c:pt>
                <c:pt idx="174">
                  <c:v>55</c:v>
                </c:pt>
                <c:pt idx="175">
                  <c:v>#N/A</c:v>
                </c:pt>
                <c:pt idx="176">
                  <c:v>125</c:v>
                </c:pt>
                <c:pt idx="177">
                  <c:v>#N/A</c:v>
                </c:pt>
                <c:pt idx="178">
                  <c:v>125</c:v>
                </c:pt>
                <c:pt idx="179">
                  <c:v>#N/A</c:v>
                </c:pt>
                <c:pt idx="180">
                  <c:v>125</c:v>
                </c:pt>
                <c:pt idx="181">
                  <c:v>92</c:v>
                </c:pt>
                <c:pt idx="182">
                  <c:v>23</c:v>
                </c:pt>
                <c:pt idx="183">
                  <c:v>125</c:v>
                </c:pt>
                <c:pt idx="184">
                  <c:v>125</c:v>
                </c:pt>
                <c:pt idx="185">
                  <c:v>#N/A</c:v>
                </c:pt>
                <c:pt idx="186">
                  <c:v>#N/A</c:v>
                </c:pt>
                <c:pt idx="187">
                  <c:v>#N/A</c:v>
                </c:pt>
                <c:pt idx="188">
                  <c:v>#N/A</c:v>
                </c:pt>
                <c:pt idx="189">
                  <c:v>#N/A</c:v>
                </c:pt>
                <c:pt idx="190">
                  <c:v>125</c:v>
                </c:pt>
                <c:pt idx="191">
                  <c:v>94</c:v>
                </c:pt>
                <c:pt idx="192">
                  <c:v>#N/A</c:v>
                </c:pt>
                <c:pt idx="193">
                  <c:v>#N/A</c:v>
                </c:pt>
                <c:pt idx="194">
                  <c:v>125</c:v>
                </c:pt>
                <c:pt idx="195">
                  <c:v>#N/A</c:v>
                </c:pt>
                <c:pt idx="196">
                  <c:v>125</c:v>
                </c:pt>
                <c:pt idx="197">
                  <c:v>#N/A</c:v>
                </c:pt>
                <c:pt idx="198">
                  <c:v>#N/A</c:v>
                </c:pt>
                <c:pt idx="199">
                  <c:v>#N/A</c:v>
                </c:pt>
                <c:pt idx="200">
                  <c:v>125</c:v>
                </c:pt>
                <c:pt idx="201">
                  <c:v>125</c:v>
                </c:pt>
                <c:pt idx="202">
                  <c:v>125</c:v>
                </c:pt>
                <c:pt idx="203">
                  <c:v>44</c:v>
                </c:pt>
                <c:pt idx="204">
                  <c:v>190</c:v>
                </c:pt>
                <c:pt idx="205">
                  <c:v>125</c:v>
                </c:pt>
                <c:pt idx="206">
                  <c:v>#N/A</c:v>
                </c:pt>
                <c:pt idx="207">
                  <c:v>#N/A</c:v>
                </c:pt>
                <c:pt idx="208">
                  <c:v>87</c:v>
                </c:pt>
                <c:pt idx="209">
                  <c:v>#N/A</c:v>
                </c:pt>
                <c:pt idx="210">
                  <c:v>125</c:v>
                </c:pt>
                <c:pt idx="211">
                  <c:v>125</c:v>
                </c:pt>
                <c:pt idx="212">
                  <c:v>125</c:v>
                </c:pt>
                <c:pt idx="213">
                  <c:v>#N/A</c:v>
                </c:pt>
                <c:pt idx="214">
                  <c:v>#N/A</c:v>
                </c:pt>
                <c:pt idx="215">
                  <c:v>#N/A</c:v>
                </c:pt>
                <c:pt idx="216">
                  <c:v>#N/A</c:v>
                </c:pt>
                <c:pt idx="217">
                  <c:v>120</c:v>
                </c:pt>
                <c:pt idx="218">
                  <c:v>#N/A</c:v>
                </c:pt>
                <c:pt idx="219">
                  <c:v>#N/A</c:v>
                </c:pt>
                <c:pt idx="220">
                  <c:v>#N/A</c:v>
                </c:pt>
                <c:pt idx="221">
                  <c:v>#N/A</c:v>
                </c:pt>
                <c:pt idx="222">
                  <c:v>125</c:v>
                </c:pt>
                <c:pt idx="223">
                  <c:v>190</c:v>
                </c:pt>
                <c:pt idx="224">
                  <c:v>56</c:v>
                </c:pt>
                <c:pt idx="225">
                  <c:v>32</c:v>
                </c:pt>
                <c:pt idx="226">
                  <c:v>125</c:v>
                </c:pt>
                <c:pt idx="227">
                  <c:v>#N/A</c:v>
                </c:pt>
                <c:pt idx="228">
                  <c:v>744</c:v>
                </c:pt>
                <c:pt idx="229">
                  <c:v>53</c:v>
                </c:pt>
                <c:pt idx="230">
                  <c:v>#N/A</c:v>
                </c:pt>
                <c:pt idx="231">
                  <c:v>#N/A</c:v>
                </c:pt>
                <c:pt idx="232">
                  <c:v>37</c:v>
                </c:pt>
                <c:pt idx="233">
                  <c:v>125</c:v>
                </c:pt>
                <c:pt idx="234">
                  <c:v>45</c:v>
                </c:pt>
                <c:pt idx="235">
                  <c:v>#N/A</c:v>
                </c:pt>
                <c:pt idx="236">
                  <c:v>#N/A</c:v>
                </c:pt>
                <c:pt idx="237">
                  <c:v>#N/A</c:v>
                </c:pt>
                <c:pt idx="238">
                  <c:v>#N/A</c:v>
                </c:pt>
                <c:pt idx="239">
                  <c:v>125</c:v>
                </c:pt>
                <c:pt idx="240">
                  <c:v>125</c:v>
                </c:pt>
                <c:pt idx="241">
                  <c:v>88</c:v>
                </c:pt>
                <c:pt idx="242">
                  <c:v>#N/A</c:v>
                </c:pt>
                <c:pt idx="243">
                  <c:v>#N/A</c:v>
                </c:pt>
                <c:pt idx="244">
                  <c:v>194</c:v>
                </c:pt>
                <c:pt idx="245">
                  <c:v>#N/A</c:v>
                </c:pt>
                <c:pt idx="246">
                  <c:v>125</c:v>
                </c:pt>
                <c:pt idx="247">
                  <c:v>680</c:v>
                </c:pt>
                <c:pt idx="248">
                  <c:v>402</c:v>
                </c:pt>
                <c:pt idx="249">
                  <c:v>125</c:v>
                </c:pt>
                <c:pt idx="250">
                  <c:v>125</c:v>
                </c:pt>
                <c:pt idx="251">
                  <c:v>125</c:v>
                </c:pt>
                <c:pt idx="252">
                  <c:v>55</c:v>
                </c:pt>
                <c:pt idx="253">
                  <c:v>125</c:v>
                </c:pt>
                <c:pt idx="254">
                  <c:v>#N/A</c:v>
                </c:pt>
                <c:pt idx="255">
                  <c:v>#N/A</c:v>
                </c:pt>
                <c:pt idx="256">
                  <c:v>125</c:v>
                </c:pt>
                <c:pt idx="257">
                  <c:v>125</c:v>
                </c:pt>
                <c:pt idx="258">
                  <c:v>375</c:v>
                </c:pt>
                <c:pt idx="259">
                  <c:v>#N/A</c:v>
                </c:pt>
                <c:pt idx="260">
                  <c:v>130</c:v>
                </c:pt>
                <c:pt idx="261">
                  <c:v>#N/A</c:v>
                </c:pt>
                <c:pt idx="262">
                  <c:v>125</c:v>
                </c:pt>
                <c:pt idx="263">
                  <c:v>125</c:v>
                </c:pt>
                <c:pt idx="264">
                  <c:v>#N/A</c:v>
                </c:pt>
                <c:pt idx="265">
                  <c:v>67</c:v>
                </c:pt>
                <c:pt idx="266">
                  <c:v>#N/A</c:v>
                </c:pt>
                <c:pt idx="267">
                  <c:v>125</c:v>
                </c:pt>
                <c:pt idx="268">
                  <c:v>125</c:v>
                </c:pt>
                <c:pt idx="269">
                  <c:v>#N/A</c:v>
                </c:pt>
                <c:pt idx="270">
                  <c:v>#N/A</c:v>
                </c:pt>
                <c:pt idx="271">
                  <c:v>56</c:v>
                </c:pt>
                <c:pt idx="272">
                  <c:v>125</c:v>
                </c:pt>
                <c:pt idx="273">
                  <c:v>45</c:v>
                </c:pt>
                <c:pt idx="274">
                  <c:v>125</c:v>
                </c:pt>
                <c:pt idx="275">
                  <c:v>57</c:v>
                </c:pt>
                <c:pt idx="276">
                  <c:v>#N/A</c:v>
                </c:pt>
                <c:pt idx="277">
                  <c:v>116</c:v>
                </c:pt>
                <c:pt idx="278">
                  <c:v>125</c:v>
                </c:pt>
                <c:pt idx="279">
                  <c:v>278</c:v>
                </c:pt>
                <c:pt idx="280">
                  <c:v>#N/A</c:v>
                </c:pt>
                <c:pt idx="281">
                  <c:v>122</c:v>
                </c:pt>
                <c:pt idx="282">
                  <c:v>155</c:v>
                </c:pt>
                <c:pt idx="283">
                  <c:v>#N/A</c:v>
                </c:pt>
                <c:pt idx="284">
                  <c:v>#N/A</c:v>
                </c:pt>
                <c:pt idx="285">
                  <c:v>135</c:v>
                </c:pt>
                <c:pt idx="286">
                  <c:v>545</c:v>
                </c:pt>
                <c:pt idx="287">
                  <c:v>#N/A</c:v>
                </c:pt>
                <c:pt idx="288">
                  <c:v>49</c:v>
                </c:pt>
                <c:pt idx="289">
                  <c:v>75</c:v>
                </c:pt>
                <c:pt idx="290">
                  <c:v>40</c:v>
                </c:pt>
                <c:pt idx="291">
                  <c:v>#N/A</c:v>
                </c:pt>
                <c:pt idx="292">
                  <c:v>#N/A</c:v>
                </c:pt>
                <c:pt idx="293">
                  <c:v>#N/A</c:v>
                </c:pt>
                <c:pt idx="294">
                  <c:v>125</c:v>
                </c:pt>
                <c:pt idx="295">
                  <c:v>120</c:v>
                </c:pt>
                <c:pt idx="296">
                  <c:v>#N/A</c:v>
                </c:pt>
                <c:pt idx="297">
                  <c:v>215</c:v>
                </c:pt>
                <c:pt idx="298">
                  <c:v>#N/A</c:v>
                </c:pt>
                <c:pt idx="299">
                  <c:v>125</c:v>
                </c:pt>
                <c:pt idx="300">
                  <c:v>#N/A</c:v>
                </c:pt>
                <c:pt idx="301">
                  <c:v>#N/A</c:v>
                </c:pt>
                <c:pt idx="302">
                  <c:v>42</c:v>
                </c:pt>
                <c:pt idx="303">
                  <c:v>#N/A</c:v>
                </c:pt>
                <c:pt idx="304">
                  <c:v>125</c:v>
                </c:pt>
                <c:pt idx="305">
                  <c:v>105</c:v>
                </c:pt>
                <c:pt idx="306">
                  <c:v>#N/A</c:v>
                </c:pt>
                <c:pt idx="307">
                  <c:v>148</c:v>
                </c:pt>
                <c:pt idx="308">
                  <c:v>#N/A</c:v>
                </c:pt>
                <c:pt idx="309">
                  <c:v>#N/A</c:v>
                </c:pt>
                <c:pt idx="310">
                  <c:v>125</c:v>
                </c:pt>
                <c:pt idx="311">
                  <c:v>148</c:v>
                </c:pt>
                <c:pt idx="312">
                  <c:v>#N/A</c:v>
                </c:pt>
                <c:pt idx="313">
                  <c:v>85</c:v>
                </c:pt>
                <c:pt idx="314">
                  <c:v>#N/A</c:v>
                </c:pt>
                <c:pt idx="315">
                  <c:v>94</c:v>
                </c:pt>
                <c:pt idx="316">
                  <c:v>64</c:v>
                </c:pt>
                <c:pt idx="317">
                  <c:v>#N/A</c:v>
                </c:pt>
                <c:pt idx="318">
                  <c:v>140</c:v>
                </c:pt>
                <c:pt idx="319">
                  <c:v>#N/A</c:v>
                </c:pt>
                <c:pt idx="320">
                  <c:v>231</c:v>
                </c:pt>
                <c:pt idx="321">
                  <c:v>#N/A</c:v>
                </c:pt>
                <c:pt idx="322">
                  <c:v>#N/A</c:v>
                </c:pt>
                <c:pt idx="323">
                  <c:v>#N/A</c:v>
                </c:pt>
                <c:pt idx="324">
                  <c:v>125</c:v>
                </c:pt>
                <c:pt idx="325">
                  <c:v>168</c:v>
                </c:pt>
                <c:pt idx="326">
                  <c:v>#N/A</c:v>
                </c:pt>
                <c:pt idx="327">
                  <c:v>125</c:v>
                </c:pt>
                <c:pt idx="328">
                  <c:v>#N/A</c:v>
                </c:pt>
                <c:pt idx="329">
                  <c:v>68</c:v>
                </c:pt>
                <c:pt idx="330">
                  <c:v>125</c:v>
                </c:pt>
                <c:pt idx="331">
                  <c:v>52</c:v>
                </c:pt>
                <c:pt idx="332">
                  <c:v>#N/A</c:v>
                </c:pt>
                <c:pt idx="333">
                  <c:v>125</c:v>
                </c:pt>
                <c:pt idx="334">
                  <c:v>58</c:v>
                </c:pt>
                <c:pt idx="335">
                  <c:v>255</c:v>
                </c:pt>
                <c:pt idx="336">
                  <c:v>125</c:v>
                </c:pt>
                <c:pt idx="337">
                  <c:v>#N/A</c:v>
                </c:pt>
                <c:pt idx="338">
                  <c:v>#N/A</c:v>
                </c:pt>
                <c:pt idx="339">
                  <c:v>#N/A</c:v>
                </c:pt>
                <c:pt idx="340">
                  <c:v>105</c:v>
                </c:pt>
                <c:pt idx="341">
                  <c:v>73</c:v>
                </c:pt>
                <c:pt idx="342">
                  <c:v>125</c:v>
                </c:pt>
                <c:pt idx="343">
                  <c:v>125</c:v>
                </c:pt>
                <c:pt idx="344">
                  <c:v>125</c:v>
                </c:pt>
                <c:pt idx="345">
                  <c:v>108</c:v>
                </c:pt>
                <c:pt idx="346">
                  <c:v>83</c:v>
                </c:pt>
                <c:pt idx="347">
                  <c:v>125</c:v>
                </c:pt>
                <c:pt idx="348">
                  <c:v>74</c:v>
                </c:pt>
                <c:pt idx="349">
                  <c:v>#N/A</c:v>
                </c:pt>
                <c:pt idx="350">
                  <c:v>125</c:v>
                </c:pt>
                <c:pt idx="351">
                  <c:v>125</c:v>
                </c:pt>
                <c:pt idx="352">
                  <c:v>125</c:v>
                </c:pt>
                <c:pt idx="353">
                  <c:v>43</c:v>
                </c:pt>
                <c:pt idx="354">
                  <c:v>125</c:v>
                </c:pt>
                <c:pt idx="355">
                  <c:v>#N/A</c:v>
                </c:pt>
                <c:pt idx="356">
                  <c:v>#N/A</c:v>
                </c:pt>
                <c:pt idx="357">
                  <c:v>#N/A</c:v>
                </c:pt>
                <c:pt idx="358">
                  <c:v>54</c:v>
                </c:pt>
                <c:pt idx="359">
                  <c:v>#N/A</c:v>
                </c:pt>
                <c:pt idx="360">
                  <c:v>#N/A</c:v>
                </c:pt>
                <c:pt idx="361">
                  <c:v>125</c:v>
                </c:pt>
                <c:pt idx="362">
                  <c:v>125</c:v>
                </c:pt>
                <c:pt idx="363">
                  <c:v>#N/A</c:v>
                </c:pt>
                <c:pt idx="364">
                  <c:v>293</c:v>
                </c:pt>
                <c:pt idx="365">
                  <c:v>83</c:v>
                </c:pt>
                <c:pt idx="366">
                  <c:v>#N/A</c:v>
                </c:pt>
                <c:pt idx="367">
                  <c:v>125</c:v>
                </c:pt>
                <c:pt idx="368">
                  <c:v>66</c:v>
                </c:pt>
                <c:pt idx="369">
                  <c:v>#N/A</c:v>
                </c:pt>
                <c:pt idx="370">
                  <c:v>#N/A</c:v>
                </c:pt>
                <c:pt idx="371">
                  <c:v>89</c:v>
                </c:pt>
                <c:pt idx="372">
                  <c:v>66</c:v>
                </c:pt>
                <c:pt idx="373">
                  <c:v>94</c:v>
                </c:pt>
                <c:pt idx="374">
                  <c:v>158</c:v>
                </c:pt>
                <c:pt idx="375">
                  <c:v>#N/A</c:v>
                </c:pt>
                <c:pt idx="376">
                  <c:v>84</c:v>
                </c:pt>
                <c:pt idx="377">
                  <c:v>75</c:v>
                </c:pt>
                <c:pt idx="378">
                  <c:v>#N/A</c:v>
                </c:pt>
                <c:pt idx="379">
                  <c:v>72</c:v>
                </c:pt>
                <c:pt idx="380">
                  <c:v>82</c:v>
                </c:pt>
                <c:pt idx="381">
                  <c:v>125</c:v>
                </c:pt>
                <c:pt idx="382">
                  <c:v>182</c:v>
                </c:pt>
                <c:pt idx="383">
                  <c:v>59</c:v>
                </c:pt>
                <c:pt idx="384">
                  <c:v>110</c:v>
                </c:pt>
                <c:pt idx="385">
                  <c:v>50</c:v>
                </c:pt>
                <c:pt idx="386">
                  <c:v>#N/A</c:v>
                </c:pt>
                <c:pt idx="387">
                  <c:v>#N/A</c:v>
                </c:pt>
                <c:pt idx="388">
                  <c:v>#N/A</c:v>
                </c:pt>
                <c:pt idx="389">
                  <c:v>81</c:v>
                </c:pt>
                <c:pt idx="390">
                  <c:v>196</c:v>
                </c:pt>
                <c:pt idx="391">
                  <c:v>#N/A</c:v>
                </c:pt>
                <c:pt idx="392">
                  <c:v>415</c:v>
                </c:pt>
                <c:pt idx="393">
                  <c:v>87</c:v>
                </c:pt>
                <c:pt idx="394">
                  <c:v>#N/A</c:v>
                </c:pt>
                <c:pt idx="395">
                  <c:v>275</c:v>
                </c:pt>
                <c:pt idx="396">
                  <c:v>115</c:v>
                </c:pt>
                <c:pt idx="397">
                  <c:v>#N/A</c:v>
                </c:pt>
                <c:pt idx="398">
                  <c:v>125</c:v>
                </c:pt>
                <c:pt idx="399">
                  <c:v>#N/A</c:v>
                </c:pt>
                <c:pt idx="400">
                  <c:v>#N/A</c:v>
                </c:pt>
                <c:pt idx="401">
                  <c:v>125</c:v>
                </c:pt>
                <c:pt idx="402">
                  <c:v>#N/A</c:v>
                </c:pt>
                <c:pt idx="403">
                  <c:v>125</c:v>
                </c:pt>
                <c:pt idx="404">
                  <c:v>#N/A</c:v>
                </c:pt>
                <c:pt idx="405">
                  <c:v>165</c:v>
                </c:pt>
                <c:pt idx="406">
                  <c:v>#N/A</c:v>
                </c:pt>
                <c:pt idx="407">
                  <c:v>125</c:v>
                </c:pt>
                <c:pt idx="408">
                  <c:v>#N/A</c:v>
                </c:pt>
                <c:pt idx="409">
                  <c:v>#N/A</c:v>
                </c:pt>
                <c:pt idx="410">
                  <c:v>125</c:v>
                </c:pt>
                <c:pt idx="411">
                  <c:v>176</c:v>
                </c:pt>
                <c:pt idx="412">
                  <c:v>310</c:v>
                </c:pt>
                <c:pt idx="413">
                  <c:v>61</c:v>
                </c:pt>
                <c:pt idx="414">
                  <c:v>#N/A</c:v>
                </c:pt>
                <c:pt idx="415">
                  <c:v>#N/A</c:v>
                </c:pt>
                <c:pt idx="416">
                  <c:v>125</c:v>
                </c:pt>
                <c:pt idx="417">
                  <c:v>#N/A</c:v>
                </c:pt>
                <c:pt idx="418">
                  <c:v>125</c:v>
                </c:pt>
                <c:pt idx="419">
                  <c:v>#N/A</c:v>
                </c:pt>
                <c:pt idx="420">
                  <c:v>170</c:v>
                </c:pt>
                <c:pt idx="421">
                  <c:v>76</c:v>
                </c:pt>
                <c:pt idx="422">
                  <c:v>78</c:v>
                </c:pt>
                <c:pt idx="423">
                  <c:v>125</c:v>
                </c:pt>
                <c:pt idx="424">
                  <c:v>#N/A</c:v>
                </c:pt>
                <c:pt idx="425">
                  <c:v>#N/A</c:v>
                </c:pt>
                <c:pt idx="426">
                  <c:v>125</c:v>
                </c:pt>
                <c:pt idx="427">
                  <c:v>#N/A</c:v>
                </c:pt>
                <c:pt idx="428">
                  <c:v>145</c:v>
                </c:pt>
                <c:pt idx="429">
                  <c:v>#N/A</c:v>
                </c:pt>
                <c:pt idx="430">
                  <c:v>125</c:v>
                </c:pt>
                <c:pt idx="431">
                  <c:v>85</c:v>
                </c:pt>
                <c:pt idx="432">
                  <c:v>60</c:v>
                </c:pt>
                <c:pt idx="433">
                  <c:v>125</c:v>
                </c:pt>
                <c:pt idx="434">
                  <c:v>125</c:v>
                </c:pt>
                <c:pt idx="435">
                  <c:v>#N/A</c:v>
                </c:pt>
                <c:pt idx="436">
                  <c:v>125</c:v>
                </c:pt>
                <c:pt idx="437">
                  <c:v>125</c:v>
                </c:pt>
                <c:pt idx="438">
                  <c:v>125</c:v>
                </c:pt>
                <c:pt idx="439">
                  <c:v>125</c:v>
                </c:pt>
                <c:pt idx="440">
                  <c:v>#N/A</c:v>
                </c:pt>
                <c:pt idx="441">
                  <c:v>50</c:v>
                </c:pt>
                <c:pt idx="442">
                  <c:v>120</c:v>
                </c:pt>
                <c:pt idx="443">
                  <c:v>#N/A</c:v>
                </c:pt>
                <c:pt idx="444">
                  <c:v>#N/A</c:v>
                </c:pt>
                <c:pt idx="445">
                  <c:v>#N/A</c:v>
                </c:pt>
                <c:pt idx="446">
                  <c:v>70</c:v>
                </c:pt>
                <c:pt idx="447">
                  <c:v>92</c:v>
                </c:pt>
                <c:pt idx="448">
                  <c:v>#N/A</c:v>
                </c:pt>
                <c:pt idx="449">
                  <c:v>63</c:v>
                </c:pt>
                <c:pt idx="450">
                  <c:v>95</c:v>
                </c:pt>
                <c:pt idx="451">
                  <c:v>#N/A</c:v>
                </c:pt>
                <c:pt idx="452">
                  <c:v>210</c:v>
                </c:pt>
                <c:pt idx="453">
                  <c:v>125</c:v>
                </c:pt>
                <c:pt idx="454">
                  <c:v>105</c:v>
                </c:pt>
                <c:pt idx="455">
                  <c:v>#N/A</c:v>
                </c:pt>
                <c:pt idx="456">
                  <c:v>125</c:v>
                </c:pt>
                <c:pt idx="457">
                  <c:v>71</c:v>
                </c:pt>
                <c:pt idx="458">
                  <c:v>#N/A</c:v>
                </c:pt>
                <c:pt idx="459">
                  <c:v>60</c:v>
                </c:pt>
                <c:pt idx="460">
                  <c:v>56</c:v>
                </c:pt>
                <c:pt idx="461">
                  <c:v>125</c:v>
                </c:pt>
                <c:pt idx="462">
                  <c:v>49</c:v>
                </c:pt>
                <c:pt idx="463">
                  <c:v>125</c:v>
                </c:pt>
                <c:pt idx="464">
                  <c:v>125</c:v>
                </c:pt>
                <c:pt idx="465">
                  <c:v>105</c:v>
                </c:pt>
                <c:pt idx="466">
                  <c:v>36</c:v>
                </c:pt>
                <c:pt idx="467">
                  <c:v>100</c:v>
                </c:pt>
                <c:pt idx="468">
                  <c:v>#N/A</c:v>
                </c:pt>
                <c:pt idx="469">
                  <c:v>140</c:v>
                </c:pt>
                <c:pt idx="470">
                  <c:v>125</c:v>
                </c:pt>
                <c:pt idx="471">
                  <c:v>125</c:v>
                </c:pt>
                <c:pt idx="472">
                  <c:v>125</c:v>
                </c:pt>
                <c:pt idx="473">
                  <c:v>125</c:v>
                </c:pt>
                <c:pt idx="474">
                  <c:v>125</c:v>
                </c:pt>
                <c:pt idx="475">
                  <c:v>125</c:v>
                </c:pt>
                <c:pt idx="476">
                  <c:v>#N/A</c:v>
                </c:pt>
                <c:pt idx="477">
                  <c:v>110</c:v>
                </c:pt>
                <c:pt idx="478">
                  <c:v>75</c:v>
                </c:pt>
                <c:pt idx="479">
                  <c:v>125</c:v>
                </c:pt>
                <c:pt idx="480">
                  <c:v>#N/A</c:v>
                </c:pt>
                <c:pt idx="481">
                  <c:v>125</c:v>
                </c:pt>
                <c:pt idx="482">
                  <c:v>49</c:v>
                </c:pt>
                <c:pt idx="483">
                  <c:v>125</c:v>
                </c:pt>
                <c:pt idx="484">
                  <c:v>#N/A</c:v>
                </c:pt>
                <c:pt idx="485">
                  <c:v>#N/A</c:v>
                </c:pt>
                <c:pt idx="486">
                  <c:v>480</c:v>
                </c:pt>
                <c:pt idx="487">
                  <c:v>265</c:v>
                </c:pt>
                <c:pt idx="488">
                  <c:v>125</c:v>
                </c:pt>
                <c:pt idx="489">
                  <c:v>125</c:v>
                </c:pt>
                <c:pt idx="490">
                  <c:v>66</c:v>
                </c:pt>
                <c:pt idx="491">
                  <c:v>125</c:v>
                </c:pt>
                <c:pt idx="492">
                  <c:v>125</c:v>
                </c:pt>
                <c:pt idx="493">
                  <c:v>#N/A</c:v>
                </c:pt>
                <c:pt idx="494">
                  <c:v>125</c:v>
                </c:pt>
                <c:pt idx="495">
                  <c:v>125</c:v>
                </c:pt>
                <c:pt idx="496">
                  <c:v>125</c:v>
                </c:pt>
                <c:pt idx="497">
                  <c:v>76</c:v>
                </c:pt>
                <c:pt idx="498">
                  <c:v>#N/A</c:v>
                </c:pt>
                <c:pt idx="499">
                  <c:v>193</c:v>
                </c:pt>
                <c:pt idx="500">
                  <c:v>71</c:v>
                </c:pt>
                <c:pt idx="501">
                  <c:v>125</c:v>
                </c:pt>
                <c:pt idx="502">
                  <c:v>#N/A</c:v>
                </c:pt>
                <c:pt idx="503">
                  <c:v>79</c:v>
                </c:pt>
                <c:pt idx="504">
                  <c:v>125</c:v>
                </c:pt>
                <c:pt idx="505">
                  <c:v>125</c:v>
                </c:pt>
                <c:pt idx="506">
                  <c:v>#N/A</c:v>
                </c:pt>
                <c:pt idx="507">
                  <c:v>170</c:v>
                </c:pt>
                <c:pt idx="508">
                  <c:v>76</c:v>
                </c:pt>
                <c:pt idx="509">
                  <c:v>125</c:v>
                </c:pt>
                <c:pt idx="510">
                  <c:v>#N/A</c:v>
                </c:pt>
                <c:pt idx="511">
                  <c:v>210</c:v>
                </c:pt>
                <c:pt idx="512">
                  <c:v>125</c:v>
                </c:pt>
                <c:pt idx="513">
                  <c:v>125</c:v>
                </c:pt>
                <c:pt idx="514">
                  <c:v>86</c:v>
                </c:pt>
                <c:pt idx="515">
                  <c:v>#N/A</c:v>
                </c:pt>
                <c:pt idx="516">
                  <c:v>#N/A</c:v>
                </c:pt>
                <c:pt idx="517">
                  <c:v>125</c:v>
                </c:pt>
                <c:pt idx="518">
                  <c:v>125</c:v>
                </c:pt>
                <c:pt idx="519">
                  <c:v>326</c:v>
                </c:pt>
                <c:pt idx="520">
                  <c:v>66</c:v>
                </c:pt>
                <c:pt idx="521">
                  <c:v>130</c:v>
                </c:pt>
                <c:pt idx="522">
                  <c:v>125</c:v>
                </c:pt>
                <c:pt idx="523">
                  <c:v>#N/A</c:v>
                </c:pt>
                <c:pt idx="524">
                  <c:v>125</c:v>
                </c:pt>
                <c:pt idx="525">
                  <c:v>125</c:v>
                </c:pt>
                <c:pt idx="526">
                  <c:v>82</c:v>
                </c:pt>
                <c:pt idx="527">
                  <c:v>105</c:v>
                </c:pt>
                <c:pt idx="528">
                  <c:v>188</c:v>
                </c:pt>
                <c:pt idx="529">
                  <c:v>125</c:v>
                </c:pt>
                <c:pt idx="530">
                  <c:v>106</c:v>
                </c:pt>
                <c:pt idx="531">
                  <c:v>125</c:v>
                </c:pt>
                <c:pt idx="532">
                  <c:v>65</c:v>
                </c:pt>
                <c:pt idx="533">
                  <c:v>125</c:v>
                </c:pt>
                <c:pt idx="534">
                  <c:v>56</c:v>
                </c:pt>
                <c:pt idx="535">
                  <c:v>#N/A</c:v>
                </c:pt>
                <c:pt idx="536">
                  <c:v>125</c:v>
                </c:pt>
                <c:pt idx="537">
                  <c:v>125</c:v>
                </c:pt>
                <c:pt idx="538">
                  <c:v>210</c:v>
                </c:pt>
                <c:pt idx="539">
                  <c:v>#N/A</c:v>
                </c:pt>
                <c:pt idx="540">
                  <c:v>#N/A</c:v>
                </c:pt>
                <c:pt idx="541">
                  <c:v>#N/A</c:v>
                </c:pt>
                <c:pt idx="542">
                  <c:v>#N/A</c:v>
                </c:pt>
                <c:pt idx="543">
                  <c:v>56</c:v>
                </c:pt>
                <c:pt idx="544">
                  <c:v>76</c:v>
                </c:pt>
                <c:pt idx="545">
                  <c:v>#N/A</c:v>
                </c:pt>
                <c:pt idx="546">
                  <c:v>#N/A</c:v>
                </c:pt>
                <c:pt idx="547">
                  <c:v>166</c:v>
                </c:pt>
                <c:pt idx="548">
                  <c:v>67</c:v>
                </c:pt>
                <c:pt idx="549">
                  <c:v>125</c:v>
                </c:pt>
                <c:pt idx="550">
                  <c:v>125</c:v>
                </c:pt>
                <c:pt idx="551">
                  <c:v>106</c:v>
                </c:pt>
                <c:pt idx="552">
                  <c:v>125</c:v>
                </c:pt>
                <c:pt idx="553">
                  <c:v>44</c:v>
                </c:pt>
                <c:pt idx="554">
                  <c:v>115</c:v>
                </c:pt>
                <c:pt idx="555">
                  <c:v>215</c:v>
                </c:pt>
                <c:pt idx="556">
                  <c:v>125</c:v>
                </c:pt>
                <c:pt idx="557">
                  <c:v>125</c:v>
                </c:pt>
                <c:pt idx="558">
                  <c:v>125</c:v>
                </c:pt>
                <c:pt idx="559">
                  <c:v>125</c:v>
                </c:pt>
                <c:pt idx="560">
                  <c:v>#N/A</c:v>
                </c:pt>
                <c:pt idx="561">
                  <c:v>#N/A</c:v>
                </c:pt>
                <c:pt idx="562">
                  <c:v>77</c:v>
                </c:pt>
                <c:pt idx="563">
                  <c:v>54</c:v>
                </c:pt>
                <c:pt idx="564">
                  <c:v>125</c:v>
                </c:pt>
                <c:pt idx="565">
                  <c:v>88</c:v>
                </c:pt>
                <c:pt idx="566">
                  <c:v>18</c:v>
                </c:pt>
                <c:pt idx="567">
                  <c:v>126</c:v>
                </c:pt>
                <c:pt idx="568">
                  <c:v>126</c:v>
                </c:pt>
                <c:pt idx="569">
                  <c:v>#N/A</c:v>
                </c:pt>
                <c:pt idx="570">
                  <c:v>125</c:v>
                </c:pt>
                <c:pt idx="571">
                  <c:v>125</c:v>
                </c:pt>
                <c:pt idx="572">
                  <c:v>44</c:v>
                </c:pt>
                <c:pt idx="573">
                  <c:v>120</c:v>
                </c:pt>
                <c:pt idx="574">
                  <c:v>330</c:v>
                </c:pt>
                <c:pt idx="575">
                  <c:v>63</c:v>
                </c:pt>
                <c:pt idx="576">
                  <c:v>130</c:v>
                </c:pt>
                <c:pt idx="577">
                  <c:v>#N/A</c:v>
                </c:pt>
                <c:pt idx="578">
                  <c:v>125</c:v>
                </c:pt>
                <c:pt idx="579">
                  <c:v>#N/A</c:v>
                </c:pt>
                <c:pt idx="580">
                  <c:v>#N/A</c:v>
                </c:pt>
                <c:pt idx="581">
                  <c:v>125</c:v>
                </c:pt>
                <c:pt idx="582">
                  <c:v>125</c:v>
                </c:pt>
                <c:pt idx="583">
                  <c:v>125</c:v>
                </c:pt>
                <c:pt idx="584">
                  <c:v>#N/A</c:v>
                </c:pt>
                <c:pt idx="585">
                  <c:v>125</c:v>
                </c:pt>
                <c:pt idx="586">
                  <c:v>#N/A</c:v>
                </c:pt>
                <c:pt idx="587">
                  <c:v>125</c:v>
                </c:pt>
                <c:pt idx="588">
                  <c:v>#N/A</c:v>
                </c:pt>
                <c:pt idx="589">
                  <c:v>125</c:v>
                </c:pt>
                <c:pt idx="590">
                  <c:v>#N/A</c:v>
                </c:pt>
                <c:pt idx="591">
                  <c:v>140</c:v>
                </c:pt>
                <c:pt idx="592">
                  <c:v>#N/A</c:v>
                </c:pt>
                <c:pt idx="593">
                  <c:v>115</c:v>
                </c:pt>
                <c:pt idx="594">
                  <c:v>230</c:v>
                </c:pt>
                <c:pt idx="595">
                  <c:v>#N/A</c:v>
                </c:pt>
                <c:pt idx="596">
                  <c:v>125</c:v>
                </c:pt>
                <c:pt idx="597">
                  <c:v>25</c:v>
                </c:pt>
                <c:pt idx="598">
                  <c:v>#N/A</c:v>
                </c:pt>
                <c:pt idx="599">
                  <c:v>120</c:v>
                </c:pt>
                <c:pt idx="600">
                  <c:v>125</c:v>
                </c:pt>
                <c:pt idx="601">
                  <c:v>125</c:v>
                </c:pt>
                <c:pt idx="602">
                  <c:v>125</c:v>
                </c:pt>
                <c:pt idx="603">
                  <c:v>#N/A</c:v>
                </c:pt>
                <c:pt idx="604">
                  <c:v>#N/A</c:v>
                </c:pt>
                <c:pt idx="605">
                  <c:v>125</c:v>
                </c:pt>
                <c:pt idx="606">
                  <c:v>#N/A</c:v>
                </c:pt>
                <c:pt idx="607">
                  <c:v>41</c:v>
                </c:pt>
                <c:pt idx="608">
                  <c:v>272</c:v>
                </c:pt>
                <c:pt idx="609">
                  <c:v>182</c:v>
                </c:pt>
                <c:pt idx="610">
                  <c:v>158</c:v>
                </c:pt>
                <c:pt idx="611">
                  <c:v>#N/A</c:v>
                </c:pt>
                <c:pt idx="612">
                  <c:v>#N/A</c:v>
                </c:pt>
                <c:pt idx="613">
                  <c:v>125</c:v>
                </c:pt>
                <c:pt idx="614">
                  <c:v>#N/A</c:v>
                </c:pt>
                <c:pt idx="615">
                  <c:v>125</c:v>
                </c:pt>
                <c:pt idx="616">
                  <c:v>125</c:v>
                </c:pt>
                <c:pt idx="617">
                  <c:v>15</c:v>
                </c:pt>
                <c:pt idx="618">
                  <c:v>#N/A</c:v>
                </c:pt>
                <c:pt idx="619">
                  <c:v>#N/A</c:v>
                </c:pt>
                <c:pt idx="620">
                  <c:v>160</c:v>
                </c:pt>
                <c:pt idx="621">
                  <c:v>125</c:v>
                </c:pt>
                <c:pt idx="622">
                  <c:v>125</c:v>
                </c:pt>
                <c:pt idx="623">
                  <c:v>115</c:v>
                </c:pt>
                <c:pt idx="624">
                  <c:v>125</c:v>
                </c:pt>
                <c:pt idx="625">
                  <c:v>54</c:v>
                </c:pt>
                <c:pt idx="626">
                  <c:v>125</c:v>
                </c:pt>
                <c:pt idx="627">
                  <c:v>125</c:v>
                </c:pt>
                <c:pt idx="628">
                  <c:v>125</c:v>
                </c:pt>
                <c:pt idx="629">
                  <c:v>125</c:v>
                </c:pt>
                <c:pt idx="630">
                  <c:v>#N/A</c:v>
                </c:pt>
                <c:pt idx="631">
                  <c:v>90</c:v>
                </c:pt>
                <c:pt idx="632">
                  <c:v>125</c:v>
                </c:pt>
                <c:pt idx="633">
                  <c:v>183</c:v>
                </c:pt>
                <c:pt idx="634">
                  <c:v>125</c:v>
                </c:pt>
                <c:pt idx="635">
                  <c:v>#N/A</c:v>
                </c:pt>
                <c:pt idx="636">
                  <c:v>125</c:v>
                </c:pt>
                <c:pt idx="637">
                  <c:v>66</c:v>
                </c:pt>
                <c:pt idx="638">
                  <c:v>#N/A</c:v>
                </c:pt>
                <c:pt idx="639">
                  <c:v>46</c:v>
                </c:pt>
                <c:pt idx="640">
                  <c:v>105</c:v>
                </c:pt>
                <c:pt idx="641">
                  <c:v>125</c:v>
                </c:pt>
                <c:pt idx="642">
                  <c:v>#N/A</c:v>
                </c:pt>
                <c:pt idx="643">
                  <c:v>125</c:v>
                </c:pt>
                <c:pt idx="644">
                  <c:v>152</c:v>
                </c:pt>
                <c:pt idx="645">
                  <c:v>440</c:v>
                </c:pt>
                <c:pt idx="646">
                  <c:v>#N/A</c:v>
                </c:pt>
                <c:pt idx="647">
                  <c:v>#N/A</c:v>
                </c:pt>
                <c:pt idx="648">
                  <c:v>#N/A</c:v>
                </c:pt>
                <c:pt idx="649">
                  <c:v>125</c:v>
                </c:pt>
                <c:pt idx="650">
                  <c:v>100</c:v>
                </c:pt>
                <c:pt idx="651">
                  <c:v>106</c:v>
                </c:pt>
                <c:pt idx="652">
                  <c:v>77</c:v>
                </c:pt>
                <c:pt idx="653">
                  <c:v>125</c:v>
                </c:pt>
                <c:pt idx="654">
                  <c:v>135</c:v>
                </c:pt>
                <c:pt idx="655">
                  <c:v>#N/A</c:v>
                </c:pt>
                <c:pt idx="656">
                  <c:v>90</c:v>
                </c:pt>
                <c:pt idx="657">
                  <c:v>200</c:v>
                </c:pt>
                <c:pt idx="658">
                  <c:v>125</c:v>
                </c:pt>
                <c:pt idx="659">
                  <c:v>#N/A</c:v>
                </c:pt>
                <c:pt idx="660">
                  <c:v>125</c:v>
                </c:pt>
                <c:pt idx="661">
                  <c:v>#N/A</c:v>
                </c:pt>
                <c:pt idx="662">
                  <c:v>#N/A</c:v>
                </c:pt>
                <c:pt idx="663">
                  <c:v>#N/A</c:v>
                </c:pt>
                <c:pt idx="664">
                  <c:v>#N/A</c:v>
                </c:pt>
                <c:pt idx="665">
                  <c:v>132</c:v>
                </c:pt>
                <c:pt idx="666">
                  <c:v>#N/A</c:v>
                </c:pt>
                <c:pt idx="667">
                  <c:v>#N/A</c:v>
                </c:pt>
                <c:pt idx="668">
                  <c:v>190</c:v>
                </c:pt>
                <c:pt idx="669">
                  <c:v>100</c:v>
                </c:pt>
                <c:pt idx="670">
                  <c:v>168</c:v>
                </c:pt>
                <c:pt idx="671">
                  <c:v>125</c:v>
                </c:pt>
                <c:pt idx="672">
                  <c:v>49</c:v>
                </c:pt>
                <c:pt idx="673">
                  <c:v>240</c:v>
                </c:pt>
                <c:pt idx="674">
                  <c:v>125</c:v>
                </c:pt>
                <c:pt idx="675">
                  <c:v>#N/A</c:v>
                </c:pt>
                <c:pt idx="676">
                  <c:v>#N/A</c:v>
                </c:pt>
                <c:pt idx="677">
                  <c:v>125</c:v>
                </c:pt>
                <c:pt idx="678">
                  <c:v>#N/A</c:v>
                </c:pt>
                <c:pt idx="679">
                  <c:v>265</c:v>
                </c:pt>
                <c:pt idx="680">
                  <c:v>45</c:v>
                </c:pt>
                <c:pt idx="681">
                  <c:v>#N/A</c:v>
                </c:pt>
                <c:pt idx="682">
                  <c:v>105</c:v>
                </c:pt>
                <c:pt idx="683">
                  <c:v>#N/A</c:v>
                </c:pt>
                <c:pt idx="684">
                  <c:v>125</c:v>
                </c:pt>
                <c:pt idx="685">
                  <c:v>205</c:v>
                </c:pt>
                <c:pt idx="686">
                  <c:v>125</c:v>
                </c:pt>
                <c:pt idx="687">
                  <c:v>125</c:v>
                </c:pt>
                <c:pt idx="688">
                  <c:v>180</c:v>
                </c:pt>
                <c:pt idx="689">
                  <c:v>#N/A</c:v>
                </c:pt>
                <c:pt idx="690">
                  <c:v>125</c:v>
                </c:pt>
                <c:pt idx="691">
                  <c:v>#N/A</c:v>
                </c:pt>
                <c:pt idx="692">
                  <c:v>95</c:v>
                </c:pt>
                <c:pt idx="693">
                  <c:v>#N/A</c:v>
                </c:pt>
                <c:pt idx="694">
                  <c:v>125</c:v>
                </c:pt>
                <c:pt idx="695">
                  <c:v>#N/A</c:v>
                </c:pt>
                <c:pt idx="696">
                  <c:v>#N/A</c:v>
                </c:pt>
                <c:pt idx="697">
                  <c:v>125</c:v>
                </c:pt>
                <c:pt idx="698">
                  <c:v>155</c:v>
                </c:pt>
                <c:pt idx="699">
                  <c:v>125</c:v>
                </c:pt>
                <c:pt idx="700">
                  <c:v>200</c:v>
                </c:pt>
                <c:pt idx="701">
                  <c:v>#N/A</c:v>
                </c:pt>
                <c:pt idx="702">
                  <c:v>#N/A</c:v>
                </c:pt>
                <c:pt idx="703">
                  <c:v>125</c:v>
                </c:pt>
                <c:pt idx="704">
                  <c:v>100</c:v>
                </c:pt>
                <c:pt idx="705">
                  <c:v>125</c:v>
                </c:pt>
                <c:pt idx="706">
                  <c:v>#N/A</c:v>
                </c:pt>
                <c:pt idx="707">
                  <c:v>335</c:v>
                </c:pt>
                <c:pt idx="708">
                  <c:v>#N/A</c:v>
                </c:pt>
                <c:pt idx="709">
                  <c:v>#N/A</c:v>
                </c:pt>
                <c:pt idx="710">
                  <c:v>387</c:v>
                </c:pt>
                <c:pt idx="711">
                  <c:v>22</c:v>
                </c:pt>
                <c:pt idx="712">
                  <c:v>#N/A</c:v>
                </c:pt>
                <c:pt idx="713">
                  <c:v>291</c:v>
                </c:pt>
                <c:pt idx="714">
                  <c:v>125</c:v>
                </c:pt>
                <c:pt idx="715">
                  <c:v>#N/A</c:v>
                </c:pt>
                <c:pt idx="716">
                  <c:v>#N/A</c:v>
                </c:pt>
                <c:pt idx="717">
                  <c:v>125</c:v>
                </c:pt>
                <c:pt idx="718">
                  <c:v>178</c:v>
                </c:pt>
                <c:pt idx="719">
                  <c:v>#N/A</c:v>
                </c:pt>
                <c:pt idx="720">
                  <c:v>125</c:v>
                </c:pt>
                <c:pt idx="721">
                  <c:v>200</c:v>
                </c:pt>
                <c:pt idx="722">
                  <c:v>#N/A</c:v>
                </c:pt>
                <c:pt idx="723">
                  <c:v>105</c:v>
                </c:pt>
                <c:pt idx="724">
                  <c:v>125</c:v>
                </c:pt>
                <c:pt idx="725">
                  <c:v>125</c:v>
                </c:pt>
                <c:pt idx="726">
                  <c:v>180</c:v>
                </c:pt>
                <c:pt idx="727">
                  <c:v>125</c:v>
                </c:pt>
                <c:pt idx="728">
                  <c:v>125</c:v>
                </c:pt>
                <c:pt idx="729">
                  <c:v>125</c:v>
                </c:pt>
                <c:pt idx="730">
                  <c:v>#N/A</c:v>
                </c:pt>
                <c:pt idx="731">
                  <c:v>#N/A</c:v>
                </c:pt>
                <c:pt idx="732">
                  <c:v>#N/A</c:v>
                </c:pt>
                <c:pt idx="733">
                  <c:v>165</c:v>
                </c:pt>
                <c:pt idx="734">
                  <c:v>125</c:v>
                </c:pt>
                <c:pt idx="735">
                  <c:v>125</c:v>
                </c:pt>
                <c:pt idx="736">
                  <c:v>120</c:v>
                </c:pt>
                <c:pt idx="737">
                  <c:v>125</c:v>
                </c:pt>
                <c:pt idx="738">
                  <c:v>160</c:v>
                </c:pt>
                <c:pt idx="739">
                  <c:v>#N/A</c:v>
                </c:pt>
                <c:pt idx="740">
                  <c:v>#N/A</c:v>
                </c:pt>
                <c:pt idx="741">
                  <c:v>94</c:v>
                </c:pt>
                <c:pt idx="742">
                  <c:v>116</c:v>
                </c:pt>
                <c:pt idx="743">
                  <c:v>#N/A</c:v>
                </c:pt>
                <c:pt idx="744">
                  <c:v>140</c:v>
                </c:pt>
                <c:pt idx="745">
                  <c:v>105</c:v>
                </c:pt>
                <c:pt idx="746">
                  <c:v>#N/A</c:v>
                </c:pt>
                <c:pt idx="747">
                  <c:v>57</c:v>
                </c:pt>
                <c:pt idx="748">
                  <c:v>#N/A</c:v>
                </c:pt>
                <c:pt idx="749">
                  <c:v>#N/A</c:v>
                </c:pt>
                <c:pt idx="750">
                  <c:v>#N/A</c:v>
                </c:pt>
                <c:pt idx="751">
                  <c:v>74</c:v>
                </c:pt>
                <c:pt idx="752">
                  <c:v>125</c:v>
                </c:pt>
                <c:pt idx="753">
                  <c:v>#N/A</c:v>
                </c:pt>
                <c:pt idx="754">
                  <c:v>#N/A</c:v>
                </c:pt>
                <c:pt idx="755">
                  <c:v>#N/A</c:v>
                </c:pt>
                <c:pt idx="756">
                  <c:v>125</c:v>
                </c:pt>
                <c:pt idx="757">
                  <c:v>#N/A</c:v>
                </c:pt>
                <c:pt idx="758">
                  <c:v>125</c:v>
                </c:pt>
                <c:pt idx="759">
                  <c:v>#N/A</c:v>
                </c:pt>
                <c:pt idx="760">
                  <c:v>16</c:v>
                </c:pt>
                <c:pt idx="761">
                  <c:v>#N/A</c:v>
                </c:pt>
                <c:pt idx="762">
                  <c:v>125</c:v>
                </c:pt>
                <c:pt idx="763">
                  <c:v>180</c:v>
                </c:pt>
                <c:pt idx="764">
                  <c:v>125</c:v>
                </c:pt>
                <c:pt idx="765">
                  <c:v>112</c:v>
                </c:pt>
                <c:pt idx="766">
                  <c:v>#N/A</c:v>
                </c:pt>
                <c:pt idx="767">
                  <c:v>125</c:v>
                </c:pt>
              </c:numCache>
            </c:numRef>
          </c:yVal>
          <c:smooth val="0"/>
          <c:extLst>
            <c:ext xmlns:c16="http://schemas.microsoft.com/office/drawing/2014/chart" uri="{C3380CC4-5D6E-409C-BE32-E72D297353CC}">
              <c16:uniqueId val="{00000000-0DDB-40B7-A87B-3D51357E9F30}"/>
            </c:ext>
          </c:extLst>
        </c:ser>
        <c:ser>
          <c:idx val="1"/>
          <c:order val="1"/>
          <c:tx>
            <c:v>1</c:v>
          </c:tx>
          <c:spPr>
            <a:ln w="25400" cap="rnd">
              <a:noFill/>
              <a:round/>
            </a:ln>
            <a:effectLst/>
          </c:spPr>
          <c:marker>
            <c:symbol val="circle"/>
            <c:size val="5"/>
            <c:spPr>
              <a:solidFill>
                <a:schemeClr val="accent2"/>
              </a:solidFill>
              <a:ln w="9525">
                <a:solidFill>
                  <a:schemeClr val="accent2"/>
                </a:solidFill>
              </a:ln>
              <a:effectLst/>
            </c:spPr>
          </c:marker>
          <c:xVal>
            <c:numRef>
              <c:f>diabetes!$B$2:$B$769</c:f>
              <c:numCache>
                <c:formatCode>General</c:formatCode>
                <c:ptCount val="768"/>
                <c:pt idx="0">
                  <c:v>148</c:v>
                </c:pt>
                <c:pt idx="1">
                  <c:v>85</c:v>
                </c:pt>
                <c:pt idx="2">
                  <c:v>183</c:v>
                </c:pt>
                <c:pt idx="3">
                  <c:v>89</c:v>
                </c:pt>
                <c:pt idx="4">
                  <c:v>137</c:v>
                </c:pt>
                <c:pt idx="5">
                  <c:v>116</c:v>
                </c:pt>
                <c:pt idx="6">
                  <c:v>78</c:v>
                </c:pt>
                <c:pt idx="7">
                  <c:v>115</c:v>
                </c:pt>
                <c:pt idx="8">
                  <c:v>197</c:v>
                </c:pt>
                <c:pt idx="9">
                  <c:v>125</c:v>
                </c:pt>
                <c:pt idx="10">
                  <c:v>110</c:v>
                </c:pt>
                <c:pt idx="11">
                  <c:v>168</c:v>
                </c:pt>
                <c:pt idx="12">
                  <c:v>139</c:v>
                </c:pt>
                <c:pt idx="13">
                  <c:v>189</c:v>
                </c:pt>
                <c:pt idx="14">
                  <c:v>166</c:v>
                </c:pt>
                <c:pt idx="15">
                  <c:v>100</c:v>
                </c:pt>
                <c:pt idx="16">
                  <c:v>118</c:v>
                </c:pt>
                <c:pt idx="17">
                  <c:v>107</c:v>
                </c:pt>
                <c:pt idx="18">
                  <c:v>103</c:v>
                </c:pt>
                <c:pt idx="19">
                  <c:v>115</c:v>
                </c:pt>
                <c:pt idx="20">
                  <c:v>126</c:v>
                </c:pt>
                <c:pt idx="21">
                  <c:v>99</c:v>
                </c:pt>
                <c:pt idx="22">
                  <c:v>196</c:v>
                </c:pt>
                <c:pt idx="23">
                  <c:v>119</c:v>
                </c:pt>
                <c:pt idx="24">
                  <c:v>143</c:v>
                </c:pt>
                <c:pt idx="25">
                  <c:v>125</c:v>
                </c:pt>
                <c:pt idx="26">
                  <c:v>147</c:v>
                </c:pt>
                <c:pt idx="27">
                  <c:v>97</c:v>
                </c:pt>
                <c:pt idx="28">
                  <c:v>145</c:v>
                </c:pt>
                <c:pt idx="29">
                  <c:v>117</c:v>
                </c:pt>
                <c:pt idx="30">
                  <c:v>109</c:v>
                </c:pt>
                <c:pt idx="31">
                  <c:v>158</c:v>
                </c:pt>
                <c:pt idx="32">
                  <c:v>88</c:v>
                </c:pt>
                <c:pt idx="33">
                  <c:v>92</c:v>
                </c:pt>
                <c:pt idx="34">
                  <c:v>122</c:v>
                </c:pt>
                <c:pt idx="35">
                  <c:v>103</c:v>
                </c:pt>
                <c:pt idx="36">
                  <c:v>138</c:v>
                </c:pt>
                <c:pt idx="37">
                  <c:v>102</c:v>
                </c:pt>
                <c:pt idx="38">
                  <c:v>90</c:v>
                </c:pt>
                <c:pt idx="39">
                  <c:v>111</c:v>
                </c:pt>
                <c:pt idx="40">
                  <c:v>180</c:v>
                </c:pt>
                <c:pt idx="41">
                  <c:v>133</c:v>
                </c:pt>
                <c:pt idx="42">
                  <c:v>106</c:v>
                </c:pt>
                <c:pt idx="43">
                  <c:v>171</c:v>
                </c:pt>
                <c:pt idx="44">
                  <c:v>159</c:v>
                </c:pt>
                <c:pt idx="45">
                  <c:v>180</c:v>
                </c:pt>
                <c:pt idx="46">
                  <c:v>146</c:v>
                </c:pt>
                <c:pt idx="47">
                  <c:v>71</c:v>
                </c:pt>
                <c:pt idx="48">
                  <c:v>103</c:v>
                </c:pt>
                <c:pt idx="49">
                  <c:v>105</c:v>
                </c:pt>
                <c:pt idx="50">
                  <c:v>103</c:v>
                </c:pt>
                <c:pt idx="51">
                  <c:v>101</c:v>
                </c:pt>
                <c:pt idx="52">
                  <c:v>88</c:v>
                </c:pt>
                <c:pt idx="53">
                  <c:v>176</c:v>
                </c:pt>
                <c:pt idx="54">
                  <c:v>150</c:v>
                </c:pt>
                <c:pt idx="55">
                  <c:v>73</c:v>
                </c:pt>
                <c:pt idx="56">
                  <c:v>187</c:v>
                </c:pt>
                <c:pt idx="57">
                  <c:v>100</c:v>
                </c:pt>
                <c:pt idx="58">
                  <c:v>146</c:v>
                </c:pt>
                <c:pt idx="59">
                  <c:v>105</c:v>
                </c:pt>
                <c:pt idx="60">
                  <c:v>84</c:v>
                </c:pt>
                <c:pt idx="61">
                  <c:v>133</c:v>
                </c:pt>
                <c:pt idx="62">
                  <c:v>44</c:v>
                </c:pt>
                <c:pt idx="63">
                  <c:v>141</c:v>
                </c:pt>
                <c:pt idx="64">
                  <c:v>114</c:v>
                </c:pt>
                <c:pt idx="65">
                  <c:v>99</c:v>
                </c:pt>
                <c:pt idx="66">
                  <c:v>109</c:v>
                </c:pt>
                <c:pt idx="67">
                  <c:v>109</c:v>
                </c:pt>
                <c:pt idx="68">
                  <c:v>95</c:v>
                </c:pt>
                <c:pt idx="69">
                  <c:v>146</c:v>
                </c:pt>
                <c:pt idx="70">
                  <c:v>100</c:v>
                </c:pt>
                <c:pt idx="71">
                  <c:v>139</c:v>
                </c:pt>
                <c:pt idx="72">
                  <c:v>126</c:v>
                </c:pt>
                <c:pt idx="73">
                  <c:v>129</c:v>
                </c:pt>
                <c:pt idx="74">
                  <c:v>79</c:v>
                </c:pt>
                <c:pt idx="75">
                  <c:v>117</c:v>
                </c:pt>
                <c:pt idx="76">
                  <c:v>62</c:v>
                </c:pt>
                <c:pt idx="77">
                  <c:v>95</c:v>
                </c:pt>
                <c:pt idx="78">
                  <c:v>131</c:v>
                </c:pt>
                <c:pt idx="79">
                  <c:v>112</c:v>
                </c:pt>
                <c:pt idx="80">
                  <c:v>113</c:v>
                </c:pt>
                <c:pt idx="81">
                  <c:v>74</c:v>
                </c:pt>
                <c:pt idx="82">
                  <c:v>83</c:v>
                </c:pt>
                <c:pt idx="83">
                  <c:v>101</c:v>
                </c:pt>
                <c:pt idx="84">
                  <c:v>137</c:v>
                </c:pt>
                <c:pt idx="85">
                  <c:v>110</c:v>
                </c:pt>
                <c:pt idx="86">
                  <c:v>106</c:v>
                </c:pt>
                <c:pt idx="87">
                  <c:v>100</c:v>
                </c:pt>
                <c:pt idx="88">
                  <c:v>136</c:v>
                </c:pt>
                <c:pt idx="89">
                  <c:v>107</c:v>
                </c:pt>
                <c:pt idx="90">
                  <c:v>80</c:v>
                </c:pt>
                <c:pt idx="91">
                  <c:v>123</c:v>
                </c:pt>
                <c:pt idx="92">
                  <c:v>81</c:v>
                </c:pt>
                <c:pt idx="93">
                  <c:v>134</c:v>
                </c:pt>
                <c:pt idx="94">
                  <c:v>142</c:v>
                </c:pt>
                <c:pt idx="95">
                  <c:v>144</c:v>
                </c:pt>
                <c:pt idx="96">
                  <c:v>92</c:v>
                </c:pt>
                <c:pt idx="97">
                  <c:v>71</c:v>
                </c:pt>
                <c:pt idx="98">
                  <c:v>93</c:v>
                </c:pt>
                <c:pt idx="99">
                  <c:v>122</c:v>
                </c:pt>
                <c:pt idx="100">
                  <c:v>163</c:v>
                </c:pt>
                <c:pt idx="101">
                  <c:v>151</c:v>
                </c:pt>
                <c:pt idx="102">
                  <c:v>125</c:v>
                </c:pt>
                <c:pt idx="103">
                  <c:v>81</c:v>
                </c:pt>
                <c:pt idx="104">
                  <c:v>85</c:v>
                </c:pt>
                <c:pt idx="105">
                  <c:v>126</c:v>
                </c:pt>
                <c:pt idx="106">
                  <c:v>96</c:v>
                </c:pt>
                <c:pt idx="107">
                  <c:v>144</c:v>
                </c:pt>
                <c:pt idx="108">
                  <c:v>83</c:v>
                </c:pt>
                <c:pt idx="109">
                  <c:v>95</c:v>
                </c:pt>
                <c:pt idx="110">
                  <c:v>171</c:v>
                </c:pt>
                <c:pt idx="111">
                  <c:v>155</c:v>
                </c:pt>
                <c:pt idx="112">
                  <c:v>89</c:v>
                </c:pt>
                <c:pt idx="113">
                  <c:v>76</c:v>
                </c:pt>
                <c:pt idx="114">
                  <c:v>160</c:v>
                </c:pt>
                <c:pt idx="115">
                  <c:v>146</c:v>
                </c:pt>
                <c:pt idx="116">
                  <c:v>124</c:v>
                </c:pt>
                <c:pt idx="117">
                  <c:v>78</c:v>
                </c:pt>
                <c:pt idx="118">
                  <c:v>97</c:v>
                </c:pt>
                <c:pt idx="119">
                  <c:v>99</c:v>
                </c:pt>
                <c:pt idx="120">
                  <c:v>162</c:v>
                </c:pt>
                <c:pt idx="121">
                  <c:v>111</c:v>
                </c:pt>
                <c:pt idx="122">
                  <c:v>107</c:v>
                </c:pt>
                <c:pt idx="123">
                  <c:v>132</c:v>
                </c:pt>
                <c:pt idx="124">
                  <c:v>113</c:v>
                </c:pt>
                <c:pt idx="125">
                  <c:v>88</c:v>
                </c:pt>
                <c:pt idx="126">
                  <c:v>120</c:v>
                </c:pt>
                <c:pt idx="127">
                  <c:v>118</c:v>
                </c:pt>
                <c:pt idx="128">
                  <c:v>117</c:v>
                </c:pt>
                <c:pt idx="129">
                  <c:v>105</c:v>
                </c:pt>
                <c:pt idx="130">
                  <c:v>173</c:v>
                </c:pt>
                <c:pt idx="131">
                  <c:v>122</c:v>
                </c:pt>
                <c:pt idx="132">
                  <c:v>170</c:v>
                </c:pt>
                <c:pt idx="133">
                  <c:v>84</c:v>
                </c:pt>
                <c:pt idx="134">
                  <c:v>96</c:v>
                </c:pt>
                <c:pt idx="135">
                  <c:v>125</c:v>
                </c:pt>
                <c:pt idx="136">
                  <c:v>100</c:v>
                </c:pt>
                <c:pt idx="137">
                  <c:v>93</c:v>
                </c:pt>
                <c:pt idx="138">
                  <c:v>129</c:v>
                </c:pt>
                <c:pt idx="139">
                  <c:v>105</c:v>
                </c:pt>
                <c:pt idx="140">
                  <c:v>128</c:v>
                </c:pt>
                <c:pt idx="141">
                  <c:v>106</c:v>
                </c:pt>
                <c:pt idx="142">
                  <c:v>108</c:v>
                </c:pt>
                <c:pt idx="143">
                  <c:v>108</c:v>
                </c:pt>
                <c:pt idx="144">
                  <c:v>154</c:v>
                </c:pt>
                <c:pt idx="145">
                  <c:v>102</c:v>
                </c:pt>
                <c:pt idx="146">
                  <c:v>57</c:v>
                </c:pt>
                <c:pt idx="147">
                  <c:v>106</c:v>
                </c:pt>
                <c:pt idx="148">
                  <c:v>147</c:v>
                </c:pt>
                <c:pt idx="149">
                  <c:v>90</c:v>
                </c:pt>
                <c:pt idx="150">
                  <c:v>136</c:v>
                </c:pt>
                <c:pt idx="151">
                  <c:v>114</c:v>
                </c:pt>
                <c:pt idx="152">
                  <c:v>156</c:v>
                </c:pt>
                <c:pt idx="153">
                  <c:v>153</c:v>
                </c:pt>
                <c:pt idx="154">
                  <c:v>188</c:v>
                </c:pt>
                <c:pt idx="155">
                  <c:v>152</c:v>
                </c:pt>
                <c:pt idx="156">
                  <c:v>99</c:v>
                </c:pt>
                <c:pt idx="157">
                  <c:v>109</c:v>
                </c:pt>
                <c:pt idx="158">
                  <c:v>88</c:v>
                </c:pt>
                <c:pt idx="159">
                  <c:v>163</c:v>
                </c:pt>
                <c:pt idx="160">
                  <c:v>151</c:v>
                </c:pt>
                <c:pt idx="161">
                  <c:v>102</c:v>
                </c:pt>
                <c:pt idx="162">
                  <c:v>114</c:v>
                </c:pt>
                <c:pt idx="163">
                  <c:v>100</c:v>
                </c:pt>
                <c:pt idx="164">
                  <c:v>131</c:v>
                </c:pt>
                <c:pt idx="165">
                  <c:v>104</c:v>
                </c:pt>
                <c:pt idx="166">
                  <c:v>148</c:v>
                </c:pt>
                <c:pt idx="167">
                  <c:v>120</c:v>
                </c:pt>
                <c:pt idx="168">
                  <c:v>110</c:v>
                </c:pt>
                <c:pt idx="169">
                  <c:v>111</c:v>
                </c:pt>
                <c:pt idx="170">
                  <c:v>102</c:v>
                </c:pt>
                <c:pt idx="171">
                  <c:v>134</c:v>
                </c:pt>
                <c:pt idx="172">
                  <c:v>87</c:v>
                </c:pt>
                <c:pt idx="173">
                  <c:v>79</c:v>
                </c:pt>
                <c:pt idx="174">
                  <c:v>75</c:v>
                </c:pt>
                <c:pt idx="175">
                  <c:v>179</c:v>
                </c:pt>
                <c:pt idx="176">
                  <c:v>85</c:v>
                </c:pt>
                <c:pt idx="177">
                  <c:v>129</c:v>
                </c:pt>
                <c:pt idx="178">
                  <c:v>143</c:v>
                </c:pt>
                <c:pt idx="179">
                  <c:v>130</c:v>
                </c:pt>
                <c:pt idx="180">
                  <c:v>87</c:v>
                </c:pt>
                <c:pt idx="181">
                  <c:v>119</c:v>
                </c:pt>
                <c:pt idx="182">
                  <c:v>117</c:v>
                </c:pt>
                <c:pt idx="183">
                  <c:v>73</c:v>
                </c:pt>
                <c:pt idx="184">
                  <c:v>141</c:v>
                </c:pt>
                <c:pt idx="185">
                  <c:v>194</c:v>
                </c:pt>
                <c:pt idx="186">
                  <c:v>181</c:v>
                </c:pt>
                <c:pt idx="187">
                  <c:v>128</c:v>
                </c:pt>
                <c:pt idx="188">
                  <c:v>109</c:v>
                </c:pt>
                <c:pt idx="189">
                  <c:v>139</c:v>
                </c:pt>
                <c:pt idx="190">
                  <c:v>111</c:v>
                </c:pt>
                <c:pt idx="191">
                  <c:v>123</c:v>
                </c:pt>
                <c:pt idx="192">
                  <c:v>159</c:v>
                </c:pt>
                <c:pt idx="193">
                  <c:v>135</c:v>
                </c:pt>
                <c:pt idx="194">
                  <c:v>85</c:v>
                </c:pt>
                <c:pt idx="195">
                  <c:v>158</c:v>
                </c:pt>
                <c:pt idx="196">
                  <c:v>105</c:v>
                </c:pt>
                <c:pt idx="197">
                  <c:v>107</c:v>
                </c:pt>
                <c:pt idx="198">
                  <c:v>109</c:v>
                </c:pt>
                <c:pt idx="199">
                  <c:v>148</c:v>
                </c:pt>
                <c:pt idx="200">
                  <c:v>113</c:v>
                </c:pt>
                <c:pt idx="201">
                  <c:v>138</c:v>
                </c:pt>
                <c:pt idx="202">
                  <c:v>108</c:v>
                </c:pt>
                <c:pt idx="203">
                  <c:v>99</c:v>
                </c:pt>
                <c:pt idx="204">
                  <c:v>103</c:v>
                </c:pt>
                <c:pt idx="205">
                  <c:v>111</c:v>
                </c:pt>
                <c:pt idx="206">
                  <c:v>196</c:v>
                </c:pt>
                <c:pt idx="207">
                  <c:v>162</c:v>
                </c:pt>
                <c:pt idx="208">
                  <c:v>96</c:v>
                </c:pt>
                <c:pt idx="209">
                  <c:v>184</c:v>
                </c:pt>
                <c:pt idx="210">
                  <c:v>81</c:v>
                </c:pt>
                <c:pt idx="211">
                  <c:v>147</c:v>
                </c:pt>
                <c:pt idx="212">
                  <c:v>179</c:v>
                </c:pt>
                <c:pt idx="213">
                  <c:v>140</c:v>
                </c:pt>
                <c:pt idx="214">
                  <c:v>112</c:v>
                </c:pt>
                <c:pt idx="215">
                  <c:v>151</c:v>
                </c:pt>
                <c:pt idx="216">
                  <c:v>109</c:v>
                </c:pt>
                <c:pt idx="217">
                  <c:v>125</c:v>
                </c:pt>
                <c:pt idx="218">
                  <c:v>85</c:v>
                </c:pt>
                <c:pt idx="219">
                  <c:v>112</c:v>
                </c:pt>
                <c:pt idx="220">
                  <c:v>177</c:v>
                </c:pt>
                <c:pt idx="221">
                  <c:v>158</c:v>
                </c:pt>
                <c:pt idx="222">
                  <c:v>119</c:v>
                </c:pt>
                <c:pt idx="223">
                  <c:v>142</c:v>
                </c:pt>
                <c:pt idx="224">
                  <c:v>100</c:v>
                </c:pt>
                <c:pt idx="225">
                  <c:v>87</c:v>
                </c:pt>
                <c:pt idx="226">
                  <c:v>101</c:v>
                </c:pt>
                <c:pt idx="227">
                  <c:v>162</c:v>
                </c:pt>
                <c:pt idx="228">
                  <c:v>197</c:v>
                </c:pt>
                <c:pt idx="229">
                  <c:v>117</c:v>
                </c:pt>
                <c:pt idx="230">
                  <c:v>142</c:v>
                </c:pt>
                <c:pt idx="231">
                  <c:v>134</c:v>
                </c:pt>
                <c:pt idx="232">
                  <c:v>79</c:v>
                </c:pt>
                <c:pt idx="233">
                  <c:v>122</c:v>
                </c:pt>
                <c:pt idx="234">
                  <c:v>74</c:v>
                </c:pt>
                <c:pt idx="235">
                  <c:v>171</c:v>
                </c:pt>
                <c:pt idx="236">
                  <c:v>181</c:v>
                </c:pt>
                <c:pt idx="237">
                  <c:v>179</c:v>
                </c:pt>
                <c:pt idx="238">
                  <c:v>164</c:v>
                </c:pt>
                <c:pt idx="239">
                  <c:v>104</c:v>
                </c:pt>
                <c:pt idx="240">
                  <c:v>91</c:v>
                </c:pt>
                <c:pt idx="241">
                  <c:v>91</c:v>
                </c:pt>
                <c:pt idx="242">
                  <c:v>139</c:v>
                </c:pt>
                <c:pt idx="243">
                  <c:v>119</c:v>
                </c:pt>
                <c:pt idx="244">
                  <c:v>146</c:v>
                </c:pt>
                <c:pt idx="245">
                  <c:v>184</c:v>
                </c:pt>
                <c:pt idx="246">
                  <c:v>122</c:v>
                </c:pt>
                <c:pt idx="247">
                  <c:v>165</c:v>
                </c:pt>
                <c:pt idx="248">
                  <c:v>124</c:v>
                </c:pt>
                <c:pt idx="249">
                  <c:v>111</c:v>
                </c:pt>
                <c:pt idx="250">
                  <c:v>106</c:v>
                </c:pt>
                <c:pt idx="251">
                  <c:v>129</c:v>
                </c:pt>
                <c:pt idx="252">
                  <c:v>90</c:v>
                </c:pt>
                <c:pt idx="253">
                  <c:v>86</c:v>
                </c:pt>
                <c:pt idx="254">
                  <c:v>92</c:v>
                </c:pt>
                <c:pt idx="255">
                  <c:v>113</c:v>
                </c:pt>
                <c:pt idx="256">
                  <c:v>111</c:v>
                </c:pt>
                <c:pt idx="257">
                  <c:v>114</c:v>
                </c:pt>
                <c:pt idx="258">
                  <c:v>193</c:v>
                </c:pt>
                <c:pt idx="259">
                  <c:v>155</c:v>
                </c:pt>
                <c:pt idx="260">
                  <c:v>191</c:v>
                </c:pt>
                <c:pt idx="261">
                  <c:v>141</c:v>
                </c:pt>
                <c:pt idx="262">
                  <c:v>95</c:v>
                </c:pt>
                <c:pt idx="263">
                  <c:v>142</c:v>
                </c:pt>
                <c:pt idx="264">
                  <c:v>123</c:v>
                </c:pt>
                <c:pt idx="265">
                  <c:v>96</c:v>
                </c:pt>
                <c:pt idx="266">
                  <c:v>138</c:v>
                </c:pt>
                <c:pt idx="267">
                  <c:v>128</c:v>
                </c:pt>
                <c:pt idx="268">
                  <c:v>102</c:v>
                </c:pt>
                <c:pt idx="269">
                  <c:v>146</c:v>
                </c:pt>
                <c:pt idx="270">
                  <c:v>101</c:v>
                </c:pt>
                <c:pt idx="271">
                  <c:v>108</c:v>
                </c:pt>
                <c:pt idx="272">
                  <c:v>122</c:v>
                </c:pt>
                <c:pt idx="273">
                  <c:v>71</c:v>
                </c:pt>
                <c:pt idx="274">
                  <c:v>106</c:v>
                </c:pt>
                <c:pt idx="275">
                  <c:v>100</c:v>
                </c:pt>
                <c:pt idx="276">
                  <c:v>106</c:v>
                </c:pt>
                <c:pt idx="277">
                  <c:v>104</c:v>
                </c:pt>
                <c:pt idx="278">
                  <c:v>114</c:v>
                </c:pt>
                <c:pt idx="279">
                  <c:v>108</c:v>
                </c:pt>
                <c:pt idx="280">
                  <c:v>146</c:v>
                </c:pt>
                <c:pt idx="281">
                  <c:v>129</c:v>
                </c:pt>
                <c:pt idx="282">
                  <c:v>133</c:v>
                </c:pt>
                <c:pt idx="283">
                  <c:v>161</c:v>
                </c:pt>
                <c:pt idx="284">
                  <c:v>108</c:v>
                </c:pt>
                <c:pt idx="285">
                  <c:v>136</c:v>
                </c:pt>
                <c:pt idx="286">
                  <c:v>155</c:v>
                </c:pt>
                <c:pt idx="287">
                  <c:v>119</c:v>
                </c:pt>
                <c:pt idx="288">
                  <c:v>96</c:v>
                </c:pt>
                <c:pt idx="289">
                  <c:v>108</c:v>
                </c:pt>
                <c:pt idx="290">
                  <c:v>78</c:v>
                </c:pt>
                <c:pt idx="291">
                  <c:v>107</c:v>
                </c:pt>
                <c:pt idx="292">
                  <c:v>128</c:v>
                </c:pt>
                <c:pt idx="293">
                  <c:v>128</c:v>
                </c:pt>
                <c:pt idx="294">
                  <c:v>161</c:v>
                </c:pt>
                <c:pt idx="295">
                  <c:v>151</c:v>
                </c:pt>
                <c:pt idx="296">
                  <c:v>146</c:v>
                </c:pt>
                <c:pt idx="297">
                  <c:v>126</c:v>
                </c:pt>
                <c:pt idx="298">
                  <c:v>100</c:v>
                </c:pt>
                <c:pt idx="299">
                  <c:v>112</c:v>
                </c:pt>
                <c:pt idx="300">
                  <c:v>167</c:v>
                </c:pt>
                <c:pt idx="301">
                  <c:v>144</c:v>
                </c:pt>
                <c:pt idx="302">
                  <c:v>77</c:v>
                </c:pt>
                <c:pt idx="303">
                  <c:v>115</c:v>
                </c:pt>
                <c:pt idx="304">
                  <c:v>150</c:v>
                </c:pt>
                <c:pt idx="305">
                  <c:v>120</c:v>
                </c:pt>
                <c:pt idx="306">
                  <c:v>161</c:v>
                </c:pt>
                <c:pt idx="307">
                  <c:v>137</c:v>
                </c:pt>
                <c:pt idx="308">
                  <c:v>128</c:v>
                </c:pt>
                <c:pt idx="309">
                  <c:v>124</c:v>
                </c:pt>
                <c:pt idx="310">
                  <c:v>80</c:v>
                </c:pt>
                <c:pt idx="311">
                  <c:v>106</c:v>
                </c:pt>
                <c:pt idx="312">
                  <c:v>155</c:v>
                </c:pt>
                <c:pt idx="313">
                  <c:v>113</c:v>
                </c:pt>
                <c:pt idx="314">
                  <c:v>109</c:v>
                </c:pt>
                <c:pt idx="315">
                  <c:v>112</c:v>
                </c:pt>
                <c:pt idx="316">
                  <c:v>99</c:v>
                </c:pt>
                <c:pt idx="317">
                  <c:v>182</c:v>
                </c:pt>
                <c:pt idx="318">
                  <c:v>115</c:v>
                </c:pt>
                <c:pt idx="319">
                  <c:v>194</c:v>
                </c:pt>
                <c:pt idx="320">
                  <c:v>129</c:v>
                </c:pt>
                <c:pt idx="321">
                  <c:v>112</c:v>
                </c:pt>
                <c:pt idx="322">
                  <c:v>124</c:v>
                </c:pt>
                <c:pt idx="323">
                  <c:v>152</c:v>
                </c:pt>
                <c:pt idx="324">
                  <c:v>112</c:v>
                </c:pt>
                <c:pt idx="325">
                  <c:v>157</c:v>
                </c:pt>
                <c:pt idx="326">
                  <c:v>122</c:v>
                </c:pt>
                <c:pt idx="327">
                  <c:v>179</c:v>
                </c:pt>
                <c:pt idx="328">
                  <c:v>102</c:v>
                </c:pt>
                <c:pt idx="329">
                  <c:v>105</c:v>
                </c:pt>
                <c:pt idx="330">
                  <c:v>118</c:v>
                </c:pt>
                <c:pt idx="331">
                  <c:v>87</c:v>
                </c:pt>
                <c:pt idx="332">
                  <c:v>180</c:v>
                </c:pt>
                <c:pt idx="333">
                  <c:v>106</c:v>
                </c:pt>
                <c:pt idx="334">
                  <c:v>95</c:v>
                </c:pt>
                <c:pt idx="335">
                  <c:v>165</c:v>
                </c:pt>
                <c:pt idx="336">
                  <c:v>117</c:v>
                </c:pt>
                <c:pt idx="337">
                  <c:v>115</c:v>
                </c:pt>
                <c:pt idx="338">
                  <c:v>152</c:v>
                </c:pt>
                <c:pt idx="339">
                  <c:v>178</c:v>
                </c:pt>
                <c:pt idx="340">
                  <c:v>130</c:v>
                </c:pt>
                <c:pt idx="341">
                  <c:v>95</c:v>
                </c:pt>
                <c:pt idx="342">
                  <c:v>117</c:v>
                </c:pt>
                <c:pt idx="343">
                  <c:v>122</c:v>
                </c:pt>
                <c:pt idx="344">
                  <c:v>95</c:v>
                </c:pt>
                <c:pt idx="345">
                  <c:v>126</c:v>
                </c:pt>
                <c:pt idx="346">
                  <c:v>139</c:v>
                </c:pt>
                <c:pt idx="347">
                  <c:v>116</c:v>
                </c:pt>
                <c:pt idx="348">
                  <c:v>99</c:v>
                </c:pt>
                <c:pt idx="349">
                  <c:v>117</c:v>
                </c:pt>
                <c:pt idx="350">
                  <c:v>92</c:v>
                </c:pt>
                <c:pt idx="351">
                  <c:v>137</c:v>
                </c:pt>
                <c:pt idx="352">
                  <c:v>61</c:v>
                </c:pt>
                <c:pt idx="353">
                  <c:v>90</c:v>
                </c:pt>
                <c:pt idx="354">
                  <c:v>90</c:v>
                </c:pt>
                <c:pt idx="355">
                  <c:v>165</c:v>
                </c:pt>
                <c:pt idx="356">
                  <c:v>125</c:v>
                </c:pt>
                <c:pt idx="357">
                  <c:v>129</c:v>
                </c:pt>
                <c:pt idx="358">
                  <c:v>88</c:v>
                </c:pt>
                <c:pt idx="359">
                  <c:v>196</c:v>
                </c:pt>
                <c:pt idx="360">
                  <c:v>189</c:v>
                </c:pt>
                <c:pt idx="361">
                  <c:v>158</c:v>
                </c:pt>
                <c:pt idx="362">
                  <c:v>103</c:v>
                </c:pt>
                <c:pt idx="363">
                  <c:v>146</c:v>
                </c:pt>
                <c:pt idx="364">
                  <c:v>147</c:v>
                </c:pt>
                <c:pt idx="365">
                  <c:v>99</c:v>
                </c:pt>
                <c:pt idx="366">
                  <c:v>124</c:v>
                </c:pt>
                <c:pt idx="367">
                  <c:v>101</c:v>
                </c:pt>
                <c:pt idx="368">
                  <c:v>81</c:v>
                </c:pt>
                <c:pt idx="369">
                  <c:v>133</c:v>
                </c:pt>
                <c:pt idx="370">
                  <c:v>173</c:v>
                </c:pt>
                <c:pt idx="371">
                  <c:v>118</c:v>
                </c:pt>
                <c:pt idx="372">
                  <c:v>84</c:v>
                </c:pt>
                <c:pt idx="373">
                  <c:v>105</c:v>
                </c:pt>
                <c:pt idx="374">
                  <c:v>122</c:v>
                </c:pt>
                <c:pt idx="375">
                  <c:v>140</c:v>
                </c:pt>
                <c:pt idx="376">
                  <c:v>98</c:v>
                </c:pt>
                <c:pt idx="377">
                  <c:v>87</c:v>
                </c:pt>
                <c:pt idx="378">
                  <c:v>156</c:v>
                </c:pt>
                <c:pt idx="379">
                  <c:v>93</c:v>
                </c:pt>
                <c:pt idx="380">
                  <c:v>107</c:v>
                </c:pt>
                <c:pt idx="381">
                  <c:v>105</c:v>
                </c:pt>
                <c:pt idx="382">
                  <c:v>109</c:v>
                </c:pt>
                <c:pt idx="383">
                  <c:v>90</c:v>
                </c:pt>
                <c:pt idx="384">
                  <c:v>125</c:v>
                </c:pt>
                <c:pt idx="385">
                  <c:v>119</c:v>
                </c:pt>
                <c:pt idx="386">
                  <c:v>116</c:v>
                </c:pt>
                <c:pt idx="387">
                  <c:v>105</c:v>
                </c:pt>
                <c:pt idx="388">
                  <c:v>144</c:v>
                </c:pt>
                <c:pt idx="389">
                  <c:v>100</c:v>
                </c:pt>
                <c:pt idx="390">
                  <c:v>100</c:v>
                </c:pt>
                <c:pt idx="391">
                  <c:v>166</c:v>
                </c:pt>
                <c:pt idx="392">
                  <c:v>131</c:v>
                </c:pt>
                <c:pt idx="393">
                  <c:v>116</c:v>
                </c:pt>
                <c:pt idx="394">
                  <c:v>158</c:v>
                </c:pt>
                <c:pt idx="395">
                  <c:v>127</c:v>
                </c:pt>
                <c:pt idx="396">
                  <c:v>96</c:v>
                </c:pt>
                <c:pt idx="397">
                  <c:v>131</c:v>
                </c:pt>
                <c:pt idx="398">
                  <c:v>82</c:v>
                </c:pt>
                <c:pt idx="399">
                  <c:v>193</c:v>
                </c:pt>
                <c:pt idx="400">
                  <c:v>95</c:v>
                </c:pt>
                <c:pt idx="401">
                  <c:v>137</c:v>
                </c:pt>
                <c:pt idx="402">
                  <c:v>136</c:v>
                </c:pt>
                <c:pt idx="403">
                  <c:v>72</c:v>
                </c:pt>
                <c:pt idx="404">
                  <c:v>168</c:v>
                </c:pt>
                <c:pt idx="405">
                  <c:v>123</c:v>
                </c:pt>
                <c:pt idx="406">
                  <c:v>115</c:v>
                </c:pt>
                <c:pt idx="407">
                  <c:v>101</c:v>
                </c:pt>
                <c:pt idx="408">
                  <c:v>197</c:v>
                </c:pt>
                <c:pt idx="409">
                  <c:v>172</c:v>
                </c:pt>
                <c:pt idx="410">
                  <c:v>102</c:v>
                </c:pt>
                <c:pt idx="411">
                  <c:v>112</c:v>
                </c:pt>
                <c:pt idx="412">
                  <c:v>143</c:v>
                </c:pt>
                <c:pt idx="413">
                  <c:v>143</c:v>
                </c:pt>
                <c:pt idx="414">
                  <c:v>138</c:v>
                </c:pt>
                <c:pt idx="415">
                  <c:v>173</c:v>
                </c:pt>
                <c:pt idx="416">
                  <c:v>97</c:v>
                </c:pt>
                <c:pt idx="417">
                  <c:v>144</c:v>
                </c:pt>
                <c:pt idx="418">
                  <c:v>83</c:v>
                </c:pt>
                <c:pt idx="419">
                  <c:v>129</c:v>
                </c:pt>
                <c:pt idx="420">
                  <c:v>119</c:v>
                </c:pt>
                <c:pt idx="421">
                  <c:v>94</c:v>
                </c:pt>
                <c:pt idx="422">
                  <c:v>102</c:v>
                </c:pt>
                <c:pt idx="423">
                  <c:v>115</c:v>
                </c:pt>
                <c:pt idx="424">
                  <c:v>151</c:v>
                </c:pt>
                <c:pt idx="425">
                  <c:v>184</c:v>
                </c:pt>
                <c:pt idx="426">
                  <c:v>94</c:v>
                </c:pt>
                <c:pt idx="427">
                  <c:v>181</c:v>
                </c:pt>
                <c:pt idx="428">
                  <c:v>135</c:v>
                </c:pt>
                <c:pt idx="429">
                  <c:v>95</c:v>
                </c:pt>
                <c:pt idx="430">
                  <c:v>99</c:v>
                </c:pt>
                <c:pt idx="431">
                  <c:v>89</c:v>
                </c:pt>
                <c:pt idx="432">
                  <c:v>80</c:v>
                </c:pt>
                <c:pt idx="433">
                  <c:v>139</c:v>
                </c:pt>
                <c:pt idx="434">
                  <c:v>90</c:v>
                </c:pt>
                <c:pt idx="435">
                  <c:v>141</c:v>
                </c:pt>
                <c:pt idx="436">
                  <c:v>140</c:v>
                </c:pt>
                <c:pt idx="437">
                  <c:v>147</c:v>
                </c:pt>
                <c:pt idx="438">
                  <c:v>97</c:v>
                </c:pt>
                <c:pt idx="439">
                  <c:v>107</c:v>
                </c:pt>
                <c:pt idx="440">
                  <c:v>189</c:v>
                </c:pt>
                <c:pt idx="441">
                  <c:v>83</c:v>
                </c:pt>
                <c:pt idx="442">
                  <c:v>117</c:v>
                </c:pt>
                <c:pt idx="443">
                  <c:v>108</c:v>
                </c:pt>
                <c:pt idx="444">
                  <c:v>117</c:v>
                </c:pt>
                <c:pt idx="445">
                  <c:v>180</c:v>
                </c:pt>
                <c:pt idx="446">
                  <c:v>100</c:v>
                </c:pt>
                <c:pt idx="447">
                  <c:v>95</c:v>
                </c:pt>
                <c:pt idx="448">
                  <c:v>104</c:v>
                </c:pt>
                <c:pt idx="449">
                  <c:v>120</c:v>
                </c:pt>
                <c:pt idx="450">
                  <c:v>82</c:v>
                </c:pt>
                <c:pt idx="451">
                  <c:v>134</c:v>
                </c:pt>
                <c:pt idx="452">
                  <c:v>91</c:v>
                </c:pt>
                <c:pt idx="453">
                  <c:v>119</c:v>
                </c:pt>
                <c:pt idx="454">
                  <c:v>100</c:v>
                </c:pt>
                <c:pt idx="455">
                  <c:v>175</c:v>
                </c:pt>
                <c:pt idx="456">
                  <c:v>135</c:v>
                </c:pt>
                <c:pt idx="457">
                  <c:v>86</c:v>
                </c:pt>
                <c:pt idx="458">
                  <c:v>148</c:v>
                </c:pt>
                <c:pt idx="459">
                  <c:v>134</c:v>
                </c:pt>
                <c:pt idx="460">
                  <c:v>120</c:v>
                </c:pt>
                <c:pt idx="461">
                  <c:v>71</c:v>
                </c:pt>
                <c:pt idx="462">
                  <c:v>74</c:v>
                </c:pt>
                <c:pt idx="463">
                  <c:v>88</c:v>
                </c:pt>
                <c:pt idx="464">
                  <c:v>115</c:v>
                </c:pt>
                <c:pt idx="465">
                  <c:v>124</c:v>
                </c:pt>
                <c:pt idx="466">
                  <c:v>74</c:v>
                </c:pt>
                <c:pt idx="467">
                  <c:v>97</c:v>
                </c:pt>
                <c:pt idx="468">
                  <c:v>120</c:v>
                </c:pt>
                <c:pt idx="469">
                  <c:v>154</c:v>
                </c:pt>
                <c:pt idx="470">
                  <c:v>144</c:v>
                </c:pt>
                <c:pt idx="471">
                  <c:v>137</c:v>
                </c:pt>
                <c:pt idx="472">
                  <c:v>119</c:v>
                </c:pt>
                <c:pt idx="473">
                  <c:v>136</c:v>
                </c:pt>
                <c:pt idx="474">
                  <c:v>114</c:v>
                </c:pt>
                <c:pt idx="475">
                  <c:v>137</c:v>
                </c:pt>
                <c:pt idx="476">
                  <c:v>105</c:v>
                </c:pt>
                <c:pt idx="477">
                  <c:v>114</c:v>
                </c:pt>
                <c:pt idx="478">
                  <c:v>126</c:v>
                </c:pt>
                <c:pt idx="479">
                  <c:v>132</c:v>
                </c:pt>
                <c:pt idx="480">
                  <c:v>158</c:v>
                </c:pt>
                <c:pt idx="481">
                  <c:v>123</c:v>
                </c:pt>
                <c:pt idx="482">
                  <c:v>85</c:v>
                </c:pt>
                <c:pt idx="483">
                  <c:v>84</c:v>
                </c:pt>
                <c:pt idx="484">
                  <c:v>145</c:v>
                </c:pt>
                <c:pt idx="485">
                  <c:v>135</c:v>
                </c:pt>
                <c:pt idx="486">
                  <c:v>139</c:v>
                </c:pt>
                <c:pt idx="487">
                  <c:v>173</c:v>
                </c:pt>
                <c:pt idx="488">
                  <c:v>99</c:v>
                </c:pt>
                <c:pt idx="489">
                  <c:v>194</c:v>
                </c:pt>
                <c:pt idx="490">
                  <c:v>83</c:v>
                </c:pt>
                <c:pt idx="491">
                  <c:v>89</c:v>
                </c:pt>
                <c:pt idx="492">
                  <c:v>99</c:v>
                </c:pt>
                <c:pt idx="493">
                  <c:v>125</c:v>
                </c:pt>
                <c:pt idx="494">
                  <c:v>80</c:v>
                </c:pt>
                <c:pt idx="495">
                  <c:v>166</c:v>
                </c:pt>
                <c:pt idx="496">
                  <c:v>110</c:v>
                </c:pt>
                <c:pt idx="497">
                  <c:v>81</c:v>
                </c:pt>
                <c:pt idx="498">
                  <c:v>195</c:v>
                </c:pt>
                <c:pt idx="499">
                  <c:v>154</c:v>
                </c:pt>
                <c:pt idx="500">
                  <c:v>117</c:v>
                </c:pt>
                <c:pt idx="501">
                  <c:v>84</c:v>
                </c:pt>
                <c:pt idx="502">
                  <c:v>117</c:v>
                </c:pt>
                <c:pt idx="503">
                  <c:v>94</c:v>
                </c:pt>
                <c:pt idx="504">
                  <c:v>96</c:v>
                </c:pt>
                <c:pt idx="505">
                  <c:v>75</c:v>
                </c:pt>
                <c:pt idx="506">
                  <c:v>180</c:v>
                </c:pt>
                <c:pt idx="507">
                  <c:v>130</c:v>
                </c:pt>
                <c:pt idx="508">
                  <c:v>84</c:v>
                </c:pt>
                <c:pt idx="509">
                  <c:v>120</c:v>
                </c:pt>
                <c:pt idx="510">
                  <c:v>84</c:v>
                </c:pt>
                <c:pt idx="511">
                  <c:v>139</c:v>
                </c:pt>
                <c:pt idx="512">
                  <c:v>91</c:v>
                </c:pt>
                <c:pt idx="513">
                  <c:v>91</c:v>
                </c:pt>
                <c:pt idx="514">
                  <c:v>99</c:v>
                </c:pt>
                <c:pt idx="515">
                  <c:v>163</c:v>
                </c:pt>
                <c:pt idx="516">
                  <c:v>145</c:v>
                </c:pt>
                <c:pt idx="517">
                  <c:v>125</c:v>
                </c:pt>
                <c:pt idx="518">
                  <c:v>76</c:v>
                </c:pt>
                <c:pt idx="519">
                  <c:v>129</c:v>
                </c:pt>
                <c:pt idx="520">
                  <c:v>68</c:v>
                </c:pt>
                <c:pt idx="521">
                  <c:v>124</c:v>
                </c:pt>
                <c:pt idx="522">
                  <c:v>114</c:v>
                </c:pt>
                <c:pt idx="523">
                  <c:v>130</c:v>
                </c:pt>
                <c:pt idx="524">
                  <c:v>125</c:v>
                </c:pt>
                <c:pt idx="525">
                  <c:v>87</c:v>
                </c:pt>
                <c:pt idx="526">
                  <c:v>97</c:v>
                </c:pt>
                <c:pt idx="527">
                  <c:v>116</c:v>
                </c:pt>
                <c:pt idx="528">
                  <c:v>117</c:v>
                </c:pt>
                <c:pt idx="529">
                  <c:v>111</c:v>
                </c:pt>
                <c:pt idx="530">
                  <c:v>122</c:v>
                </c:pt>
                <c:pt idx="531">
                  <c:v>107</c:v>
                </c:pt>
                <c:pt idx="532">
                  <c:v>86</c:v>
                </c:pt>
                <c:pt idx="533">
                  <c:v>91</c:v>
                </c:pt>
                <c:pt idx="534">
                  <c:v>77</c:v>
                </c:pt>
                <c:pt idx="535">
                  <c:v>132</c:v>
                </c:pt>
                <c:pt idx="536">
                  <c:v>105</c:v>
                </c:pt>
                <c:pt idx="537">
                  <c:v>57</c:v>
                </c:pt>
                <c:pt idx="538">
                  <c:v>127</c:v>
                </c:pt>
                <c:pt idx="539">
                  <c:v>129</c:v>
                </c:pt>
                <c:pt idx="540">
                  <c:v>100</c:v>
                </c:pt>
                <c:pt idx="541">
                  <c:v>128</c:v>
                </c:pt>
                <c:pt idx="542">
                  <c:v>90</c:v>
                </c:pt>
                <c:pt idx="543">
                  <c:v>84</c:v>
                </c:pt>
                <c:pt idx="544">
                  <c:v>88</c:v>
                </c:pt>
                <c:pt idx="545">
                  <c:v>186</c:v>
                </c:pt>
                <c:pt idx="546">
                  <c:v>187</c:v>
                </c:pt>
                <c:pt idx="547">
                  <c:v>131</c:v>
                </c:pt>
                <c:pt idx="548">
                  <c:v>164</c:v>
                </c:pt>
                <c:pt idx="549">
                  <c:v>189</c:v>
                </c:pt>
                <c:pt idx="550">
                  <c:v>116</c:v>
                </c:pt>
                <c:pt idx="551">
                  <c:v>84</c:v>
                </c:pt>
                <c:pt idx="552">
                  <c:v>114</c:v>
                </c:pt>
                <c:pt idx="553">
                  <c:v>88</c:v>
                </c:pt>
                <c:pt idx="554">
                  <c:v>84</c:v>
                </c:pt>
                <c:pt idx="555">
                  <c:v>124</c:v>
                </c:pt>
                <c:pt idx="556">
                  <c:v>97</c:v>
                </c:pt>
                <c:pt idx="557">
                  <c:v>110</c:v>
                </c:pt>
                <c:pt idx="558">
                  <c:v>103</c:v>
                </c:pt>
                <c:pt idx="559">
                  <c:v>85</c:v>
                </c:pt>
                <c:pt idx="560">
                  <c:v>125</c:v>
                </c:pt>
                <c:pt idx="561">
                  <c:v>198</c:v>
                </c:pt>
                <c:pt idx="562">
                  <c:v>87</c:v>
                </c:pt>
                <c:pt idx="563">
                  <c:v>99</c:v>
                </c:pt>
                <c:pt idx="564">
                  <c:v>91</c:v>
                </c:pt>
                <c:pt idx="565">
                  <c:v>95</c:v>
                </c:pt>
                <c:pt idx="566">
                  <c:v>99</c:v>
                </c:pt>
                <c:pt idx="567">
                  <c:v>92</c:v>
                </c:pt>
                <c:pt idx="568">
                  <c:v>154</c:v>
                </c:pt>
                <c:pt idx="569">
                  <c:v>121</c:v>
                </c:pt>
                <c:pt idx="570">
                  <c:v>78</c:v>
                </c:pt>
                <c:pt idx="571">
                  <c:v>130</c:v>
                </c:pt>
                <c:pt idx="572">
                  <c:v>111</c:v>
                </c:pt>
                <c:pt idx="573">
                  <c:v>98</c:v>
                </c:pt>
                <c:pt idx="574">
                  <c:v>143</c:v>
                </c:pt>
                <c:pt idx="575">
                  <c:v>119</c:v>
                </c:pt>
                <c:pt idx="576">
                  <c:v>108</c:v>
                </c:pt>
                <c:pt idx="577">
                  <c:v>118</c:v>
                </c:pt>
                <c:pt idx="578">
                  <c:v>133</c:v>
                </c:pt>
                <c:pt idx="579">
                  <c:v>197</c:v>
                </c:pt>
                <c:pt idx="580">
                  <c:v>151</c:v>
                </c:pt>
                <c:pt idx="581">
                  <c:v>109</c:v>
                </c:pt>
                <c:pt idx="582">
                  <c:v>121</c:v>
                </c:pt>
                <c:pt idx="583">
                  <c:v>100</c:v>
                </c:pt>
                <c:pt idx="584">
                  <c:v>124</c:v>
                </c:pt>
                <c:pt idx="585">
                  <c:v>93</c:v>
                </c:pt>
                <c:pt idx="586">
                  <c:v>143</c:v>
                </c:pt>
                <c:pt idx="587">
                  <c:v>103</c:v>
                </c:pt>
                <c:pt idx="588">
                  <c:v>176</c:v>
                </c:pt>
                <c:pt idx="589">
                  <c:v>73</c:v>
                </c:pt>
                <c:pt idx="590">
                  <c:v>111</c:v>
                </c:pt>
                <c:pt idx="591">
                  <c:v>112</c:v>
                </c:pt>
                <c:pt idx="592">
                  <c:v>132</c:v>
                </c:pt>
                <c:pt idx="593">
                  <c:v>82</c:v>
                </c:pt>
                <c:pt idx="594">
                  <c:v>123</c:v>
                </c:pt>
                <c:pt idx="595">
                  <c:v>188</c:v>
                </c:pt>
                <c:pt idx="596">
                  <c:v>67</c:v>
                </c:pt>
                <c:pt idx="597">
                  <c:v>89</c:v>
                </c:pt>
                <c:pt idx="598">
                  <c:v>173</c:v>
                </c:pt>
                <c:pt idx="599">
                  <c:v>109</c:v>
                </c:pt>
                <c:pt idx="600">
                  <c:v>108</c:v>
                </c:pt>
                <c:pt idx="601">
                  <c:v>96</c:v>
                </c:pt>
                <c:pt idx="602">
                  <c:v>124</c:v>
                </c:pt>
                <c:pt idx="603">
                  <c:v>150</c:v>
                </c:pt>
                <c:pt idx="604">
                  <c:v>183</c:v>
                </c:pt>
                <c:pt idx="605">
                  <c:v>124</c:v>
                </c:pt>
                <c:pt idx="606">
                  <c:v>181</c:v>
                </c:pt>
                <c:pt idx="607">
                  <c:v>92</c:v>
                </c:pt>
                <c:pt idx="608">
                  <c:v>152</c:v>
                </c:pt>
                <c:pt idx="609">
                  <c:v>111</c:v>
                </c:pt>
                <c:pt idx="610">
                  <c:v>106</c:v>
                </c:pt>
                <c:pt idx="611">
                  <c:v>174</c:v>
                </c:pt>
                <c:pt idx="612">
                  <c:v>168</c:v>
                </c:pt>
                <c:pt idx="613">
                  <c:v>105</c:v>
                </c:pt>
                <c:pt idx="614">
                  <c:v>138</c:v>
                </c:pt>
                <c:pt idx="615">
                  <c:v>106</c:v>
                </c:pt>
                <c:pt idx="616">
                  <c:v>117</c:v>
                </c:pt>
                <c:pt idx="617">
                  <c:v>68</c:v>
                </c:pt>
                <c:pt idx="618">
                  <c:v>112</c:v>
                </c:pt>
                <c:pt idx="619">
                  <c:v>119</c:v>
                </c:pt>
                <c:pt idx="620">
                  <c:v>112</c:v>
                </c:pt>
                <c:pt idx="621">
                  <c:v>92</c:v>
                </c:pt>
                <c:pt idx="622">
                  <c:v>183</c:v>
                </c:pt>
                <c:pt idx="623">
                  <c:v>94</c:v>
                </c:pt>
                <c:pt idx="624">
                  <c:v>108</c:v>
                </c:pt>
                <c:pt idx="625">
                  <c:v>90</c:v>
                </c:pt>
                <c:pt idx="626">
                  <c:v>125</c:v>
                </c:pt>
                <c:pt idx="627">
                  <c:v>132</c:v>
                </c:pt>
                <c:pt idx="628">
                  <c:v>128</c:v>
                </c:pt>
                <c:pt idx="629">
                  <c:v>94</c:v>
                </c:pt>
                <c:pt idx="630">
                  <c:v>114</c:v>
                </c:pt>
                <c:pt idx="631">
                  <c:v>102</c:v>
                </c:pt>
                <c:pt idx="632">
                  <c:v>111</c:v>
                </c:pt>
                <c:pt idx="633">
                  <c:v>128</c:v>
                </c:pt>
                <c:pt idx="634">
                  <c:v>92</c:v>
                </c:pt>
                <c:pt idx="635">
                  <c:v>104</c:v>
                </c:pt>
                <c:pt idx="636">
                  <c:v>104</c:v>
                </c:pt>
                <c:pt idx="637">
                  <c:v>94</c:v>
                </c:pt>
                <c:pt idx="638">
                  <c:v>97</c:v>
                </c:pt>
                <c:pt idx="639">
                  <c:v>100</c:v>
                </c:pt>
                <c:pt idx="640">
                  <c:v>102</c:v>
                </c:pt>
                <c:pt idx="641">
                  <c:v>128</c:v>
                </c:pt>
                <c:pt idx="642">
                  <c:v>147</c:v>
                </c:pt>
                <c:pt idx="643">
                  <c:v>90</c:v>
                </c:pt>
                <c:pt idx="644">
                  <c:v>103</c:v>
                </c:pt>
                <c:pt idx="645">
                  <c:v>157</c:v>
                </c:pt>
                <c:pt idx="646">
                  <c:v>167</c:v>
                </c:pt>
                <c:pt idx="647">
                  <c:v>179</c:v>
                </c:pt>
                <c:pt idx="648">
                  <c:v>136</c:v>
                </c:pt>
                <c:pt idx="649">
                  <c:v>107</c:v>
                </c:pt>
                <c:pt idx="650">
                  <c:v>91</c:v>
                </c:pt>
                <c:pt idx="651">
                  <c:v>117</c:v>
                </c:pt>
                <c:pt idx="652">
                  <c:v>123</c:v>
                </c:pt>
                <c:pt idx="653">
                  <c:v>120</c:v>
                </c:pt>
                <c:pt idx="654">
                  <c:v>106</c:v>
                </c:pt>
                <c:pt idx="655">
                  <c:v>155</c:v>
                </c:pt>
                <c:pt idx="656">
                  <c:v>101</c:v>
                </c:pt>
                <c:pt idx="657">
                  <c:v>120</c:v>
                </c:pt>
                <c:pt idx="658">
                  <c:v>127</c:v>
                </c:pt>
                <c:pt idx="659">
                  <c:v>80</c:v>
                </c:pt>
                <c:pt idx="660">
                  <c:v>162</c:v>
                </c:pt>
                <c:pt idx="661">
                  <c:v>199</c:v>
                </c:pt>
                <c:pt idx="662">
                  <c:v>167</c:v>
                </c:pt>
                <c:pt idx="663">
                  <c:v>145</c:v>
                </c:pt>
                <c:pt idx="664">
                  <c:v>115</c:v>
                </c:pt>
                <c:pt idx="665">
                  <c:v>112</c:v>
                </c:pt>
                <c:pt idx="666">
                  <c:v>145</c:v>
                </c:pt>
                <c:pt idx="667">
                  <c:v>111</c:v>
                </c:pt>
                <c:pt idx="668">
                  <c:v>98</c:v>
                </c:pt>
                <c:pt idx="669">
                  <c:v>154</c:v>
                </c:pt>
                <c:pt idx="670">
                  <c:v>165</c:v>
                </c:pt>
                <c:pt idx="671">
                  <c:v>99</c:v>
                </c:pt>
                <c:pt idx="672">
                  <c:v>68</c:v>
                </c:pt>
                <c:pt idx="673">
                  <c:v>123</c:v>
                </c:pt>
                <c:pt idx="674">
                  <c:v>91</c:v>
                </c:pt>
                <c:pt idx="675">
                  <c:v>195</c:v>
                </c:pt>
                <c:pt idx="676">
                  <c:v>156</c:v>
                </c:pt>
                <c:pt idx="677">
                  <c:v>93</c:v>
                </c:pt>
                <c:pt idx="678">
                  <c:v>121</c:v>
                </c:pt>
                <c:pt idx="679">
                  <c:v>101</c:v>
                </c:pt>
                <c:pt idx="680">
                  <c:v>56</c:v>
                </c:pt>
                <c:pt idx="681">
                  <c:v>162</c:v>
                </c:pt>
                <c:pt idx="682">
                  <c:v>95</c:v>
                </c:pt>
                <c:pt idx="683">
                  <c:v>125</c:v>
                </c:pt>
                <c:pt idx="684">
                  <c:v>136</c:v>
                </c:pt>
                <c:pt idx="685">
                  <c:v>129</c:v>
                </c:pt>
                <c:pt idx="686">
                  <c:v>130</c:v>
                </c:pt>
                <c:pt idx="687">
                  <c:v>107</c:v>
                </c:pt>
                <c:pt idx="688">
                  <c:v>140</c:v>
                </c:pt>
                <c:pt idx="689">
                  <c:v>144</c:v>
                </c:pt>
                <c:pt idx="690">
                  <c:v>107</c:v>
                </c:pt>
                <c:pt idx="691">
                  <c:v>158</c:v>
                </c:pt>
                <c:pt idx="692">
                  <c:v>121</c:v>
                </c:pt>
                <c:pt idx="693">
                  <c:v>129</c:v>
                </c:pt>
                <c:pt idx="694">
                  <c:v>90</c:v>
                </c:pt>
                <c:pt idx="695">
                  <c:v>142</c:v>
                </c:pt>
                <c:pt idx="696">
                  <c:v>169</c:v>
                </c:pt>
                <c:pt idx="697">
                  <c:v>99</c:v>
                </c:pt>
                <c:pt idx="698">
                  <c:v>127</c:v>
                </c:pt>
                <c:pt idx="699">
                  <c:v>118</c:v>
                </c:pt>
                <c:pt idx="700">
                  <c:v>122</c:v>
                </c:pt>
                <c:pt idx="701">
                  <c:v>125</c:v>
                </c:pt>
                <c:pt idx="702">
                  <c:v>168</c:v>
                </c:pt>
                <c:pt idx="703">
                  <c:v>129</c:v>
                </c:pt>
                <c:pt idx="704">
                  <c:v>110</c:v>
                </c:pt>
                <c:pt idx="705">
                  <c:v>80</c:v>
                </c:pt>
                <c:pt idx="706">
                  <c:v>115</c:v>
                </c:pt>
                <c:pt idx="707">
                  <c:v>127</c:v>
                </c:pt>
                <c:pt idx="708">
                  <c:v>164</c:v>
                </c:pt>
                <c:pt idx="709">
                  <c:v>93</c:v>
                </c:pt>
                <c:pt idx="710">
                  <c:v>158</c:v>
                </c:pt>
                <c:pt idx="711">
                  <c:v>126</c:v>
                </c:pt>
                <c:pt idx="712">
                  <c:v>129</c:v>
                </c:pt>
                <c:pt idx="713">
                  <c:v>134</c:v>
                </c:pt>
                <c:pt idx="714">
                  <c:v>102</c:v>
                </c:pt>
                <c:pt idx="715">
                  <c:v>187</c:v>
                </c:pt>
                <c:pt idx="716">
                  <c:v>173</c:v>
                </c:pt>
                <c:pt idx="717">
                  <c:v>94</c:v>
                </c:pt>
                <c:pt idx="718">
                  <c:v>108</c:v>
                </c:pt>
                <c:pt idx="719">
                  <c:v>97</c:v>
                </c:pt>
                <c:pt idx="720">
                  <c:v>83</c:v>
                </c:pt>
                <c:pt idx="721">
                  <c:v>114</c:v>
                </c:pt>
                <c:pt idx="722">
                  <c:v>149</c:v>
                </c:pt>
                <c:pt idx="723">
                  <c:v>117</c:v>
                </c:pt>
                <c:pt idx="724">
                  <c:v>111</c:v>
                </c:pt>
                <c:pt idx="725">
                  <c:v>112</c:v>
                </c:pt>
                <c:pt idx="726">
                  <c:v>116</c:v>
                </c:pt>
                <c:pt idx="727">
                  <c:v>141</c:v>
                </c:pt>
                <c:pt idx="728">
                  <c:v>175</c:v>
                </c:pt>
                <c:pt idx="729">
                  <c:v>92</c:v>
                </c:pt>
                <c:pt idx="730">
                  <c:v>130</c:v>
                </c:pt>
                <c:pt idx="731">
                  <c:v>120</c:v>
                </c:pt>
                <c:pt idx="732">
                  <c:v>174</c:v>
                </c:pt>
                <c:pt idx="733">
                  <c:v>106</c:v>
                </c:pt>
                <c:pt idx="734">
                  <c:v>105</c:v>
                </c:pt>
                <c:pt idx="735">
                  <c:v>95</c:v>
                </c:pt>
                <c:pt idx="736">
                  <c:v>126</c:v>
                </c:pt>
                <c:pt idx="737">
                  <c:v>65</c:v>
                </c:pt>
                <c:pt idx="738">
                  <c:v>99</c:v>
                </c:pt>
                <c:pt idx="739">
                  <c:v>102</c:v>
                </c:pt>
                <c:pt idx="740">
                  <c:v>120</c:v>
                </c:pt>
                <c:pt idx="741">
                  <c:v>102</c:v>
                </c:pt>
                <c:pt idx="742">
                  <c:v>109</c:v>
                </c:pt>
                <c:pt idx="743">
                  <c:v>140</c:v>
                </c:pt>
                <c:pt idx="744">
                  <c:v>153</c:v>
                </c:pt>
                <c:pt idx="745">
                  <c:v>100</c:v>
                </c:pt>
                <c:pt idx="746">
                  <c:v>147</c:v>
                </c:pt>
                <c:pt idx="747">
                  <c:v>81</c:v>
                </c:pt>
                <c:pt idx="748">
                  <c:v>187</c:v>
                </c:pt>
                <c:pt idx="749">
                  <c:v>162</c:v>
                </c:pt>
                <c:pt idx="750">
                  <c:v>136</c:v>
                </c:pt>
                <c:pt idx="751">
                  <c:v>121</c:v>
                </c:pt>
                <c:pt idx="752">
                  <c:v>108</c:v>
                </c:pt>
                <c:pt idx="753">
                  <c:v>181</c:v>
                </c:pt>
                <c:pt idx="754">
                  <c:v>154</c:v>
                </c:pt>
                <c:pt idx="755">
                  <c:v>128</c:v>
                </c:pt>
                <c:pt idx="756">
                  <c:v>137</c:v>
                </c:pt>
                <c:pt idx="757">
                  <c:v>123</c:v>
                </c:pt>
                <c:pt idx="758">
                  <c:v>106</c:v>
                </c:pt>
                <c:pt idx="759">
                  <c:v>190</c:v>
                </c:pt>
                <c:pt idx="760">
                  <c:v>88</c:v>
                </c:pt>
                <c:pt idx="761">
                  <c:v>170</c:v>
                </c:pt>
                <c:pt idx="762">
                  <c:v>89</c:v>
                </c:pt>
                <c:pt idx="763">
                  <c:v>101</c:v>
                </c:pt>
                <c:pt idx="764">
                  <c:v>122</c:v>
                </c:pt>
                <c:pt idx="765">
                  <c:v>121</c:v>
                </c:pt>
                <c:pt idx="766">
                  <c:v>126</c:v>
                </c:pt>
                <c:pt idx="767">
                  <c:v>93</c:v>
                </c:pt>
              </c:numCache>
            </c:numRef>
          </c:xVal>
          <c:yVal>
            <c:numRef>
              <c:f>diabetes!$V$2:$V$769</c:f>
              <c:numCache>
                <c:formatCode>General</c:formatCode>
                <c:ptCount val="768"/>
                <c:pt idx="0">
                  <c:v>125</c:v>
                </c:pt>
                <c:pt idx="1">
                  <c:v>#N/A</c:v>
                </c:pt>
                <c:pt idx="2">
                  <c:v>125</c:v>
                </c:pt>
                <c:pt idx="3">
                  <c:v>#N/A</c:v>
                </c:pt>
                <c:pt idx="4">
                  <c:v>168</c:v>
                </c:pt>
                <c:pt idx="5">
                  <c:v>#N/A</c:v>
                </c:pt>
                <c:pt idx="6">
                  <c:v>88</c:v>
                </c:pt>
                <c:pt idx="7">
                  <c:v>#N/A</c:v>
                </c:pt>
                <c:pt idx="8">
                  <c:v>543</c:v>
                </c:pt>
                <c:pt idx="9">
                  <c:v>125</c:v>
                </c:pt>
                <c:pt idx="10">
                  <c:v>#N/A</c:v>
                </c:pt>
                <c:pt idx="11">
                  <c:v>125</c:v>
                </c:pt>
                <c:pt idx="12">
                  <c:v>#N/A</c:v>
                </c:pt>
                <c:pt idx="13">
                  <c:v>846</c:v>
                </c:pt>
                <c:pt idx="14">
                  <c:v>175</c:v>
                </c:pt>
                <c:pt idx="15">
                  <c:v>125</c:v>
                </c:pt>
                <c:pt idx="16">
                  <c:v>230</c:v>
                </c:pt>
                <c:pt idx="17">
                  <c:v>125</c:v>
                </c:pt>
                <c:pt idx="18">
                  <c:v>#N/A</c:v>
                </c:pt>
                <c:pt idx="19">
                  <c:v>96</c:v>
                </c:pt>
                <c:pt idx="20">
                  <c:v>#N/A</c:v>
                </c:pt>
                <c:pt idx="21">
                  <c:v>#N/A</c:v>
                </c:pt>
                <c:pt idx="22">
                  <c:v>125</c:v>
                </c:pt>
                <c:pt idx="23">
                  <c:v>125</c:v>
                </c:pt>
                <c:pt idx="24">
                  <c:v>146</c:v>
                </c:pt>
                <c:pt idx="25">
                  <c:v>115</c:v>
                </c:pt>
                <c:pt idx="26">
                  <c:v>125</c:v>
                </c:pt>
                <c:pt idx="27">
                  <c:v>#N/A</c:v>
                </c:pt>
                <c:pt idx="28">
                  <c:v>#N/A</c:v>
                </c:pt>
                <c:pt idx="29">
                  <c:v>#N/A</c:v>
                </c:pt>
                <c:pt idx="30">
                  <c:v>#N/A</c:v>
                </c:pt>
                <c:pt idx="31">
                  <c:v>245</c:v>
                </c:pt>
                <c:pt idx="32">
                  <c:v>#N/A</c:v>
                </c:pt>
                <c:pt idx="33">
                  <c:v>#N/A</c:v>
                </c:pt>
                <c:pt idx="34">
                  <c:v>#N/A</c:v>
                </c:pt>
                <c:pt idx="35">
                  <c:v>#N/A</c:v>
                </c:pt>
                <c:pt idx="36">
                  <c:v>#N/A</c:v>
                </c:pt>
                <c:pt idx="37">
                  <c:v>125</c:v>
                </c:pt>
                <c:pt idx="38">
                  <c:v>125</c:v>
                </c:pt>
                <c:pt idx="39">
                  <c:v>207</c:v>
                </c:pt>
                <c:pt idx="40">
                  <c:v>#N/A</c:v>
                </c:pt>
                <c:pt idx="41">
                  <c:v>#N/A</c:v>
                </c:pt>
                <c:pt idx="42">
                  <c:v>#N/A</c:v>
                </c:pt>
                <c:pt idx="43">
                  <c:v>240</c:v>
                </c:pt>
                <c:pt idx="44">
                  <c:v>#N/A</c:v>
                </c:pt>
                <c:pt idx="45">
                  <c:v>125</c:v>
                </c:pt>
                <c:pt idx="46">
                  <c:v>#N/A</c:v>
                </c:pt>
                <c:pt idx="47">
                  <c:v>#N/A</c:v>
                </c:pt>
                <c:pt idx="48">
                  <c:v>125</c:v>
                </c:pt>
                <c:pt idx="49">
                  <c:v>#N/A</c:v>
                </c:pt>
                <c:pt idx="50">
                  <c:v>#N/A</c:v>
                </c:pt>
                <c:pt idx="51">
                  <c:v>#N/A</c:v>
                </c:pt>
                <c:pt idx="52">
                  <c:v>#N/A</c:v>
                </c:pt>
                <c:pt idx="53">
                  <c:v>300</c:v>
                </c:pt>
                <c:pt idx="54">
                  <c:v>#N/A</c:v>
                </c:pt>
                <c:pt idx="55">
                  <c:v>#N/A</c:v>
                </c:pt>
                <c:pt idx="56">
                  <c:v>304</c:v>
                </c:pt>
                <c:pt idx="57">
                  <c:v>#N/A</c:v>
                </c:pt>
                <c:pt idx="58">
                  <c:v>#N/A</c:v>
                </c:pt>
                <c:pt idx="59">
                  <c:v>#N/A</c:v>
                </c:pt>
                <c:pt idx="60">
                  <c:v>#N/A</c:v>
                </c:pt>
                <c:pt idx="61">
                  <c:v>125</c:v>
                </c:pt>
                <c:pt idx="62">
                  <c:v>#N/A</c:v>
                </c:pt>
                <c:pt idx="63">
                  <c:v>#N/A</c:v>
                </c:pt>
                <c:pt idx="64">
                  <c:v>125</c:v>
                </c:pt>
                <c:pt idx="65">
                  <c:v>#N/A</c:v>
                </c:pt>
                <c:pt idx="66">
                  <c:v>125</c:v>
                </c:pt>
                <c:pt idx="67">
                  <c:v>#N/A</c:v>
                </c:pt>
                <c:pt idx="68">
                  <c:v>#N/A</c:v>
                </c:pt>
                <c:pt idx="69">
                  <c:v>#N/A</c:v>
                </c:pt>
                <c:pt idx="70">
                  <c:v>90</c:v>
                </c:pt>
                <c:pt idx="71">
                  <c:v>#N/A</c:v>
                </c:pt>
                <c:pt idx="72">
                  <c:v>125</c:v>
                </c:pt>
                <c:pt idx="73">
                  <c:v>#N/A</c:v>
                </c:pt>
                <c:pt idx="74">
                  <c:v>#N/A</c:v>
                </c:pt>
                <c:pt idx="75">
                  <c:v>#N/A</c:v>
                </c:pt>
                <c:pt idx="76">
                  <c:v>#N/A</c:v>
                </c:pt>
                <c:pt idx="77">
                  <c:v>#N/A</c:v>
                </c:pt>
                <c:pt idx="78">
                  <c:v>125</c:v>
                </c:pt>
                <c:pt idx="79">
                  <c:v>#N/A</c:v>
                </c:pt>
                <c:pt idx="80">
                  <c:v>#N/A</c:v>
                </c:pt>
                <c:pt idx="81">
                  <c:v>#N/A</c:v>
                </c:pt>
                <c:pt idx="82">
                  <c:v>#N/A</c:v>
                </c:pt>
                <c:pt idx="83">
                  <c:v>#N/A</c:v>
                </c:pt>
                <c:pt idx="84">
                  <c:v>125</c:v>
                </c:pt>
                <c:pt idx="85">
                  <c:v>#N/A</c:v>
                </c:pt>
                <c:pt idx="86">
                  <c:v>#N/A</c:v>
                </c:pt>
                <c:pt idx="87">
                  <c:v>#N/A</c:v>
                </c:pt>
                <c:pt idx="88">
                  <c:v>110</c:v>
                </c:pt>
                <c:pt idx="89">
                  <c:v>#N/A</c:v>
                </c:pt>
                <c:pt idx="90">
                  <c:v>#N/A</c:v>
                </c:pt>
                <c:pt idx="91">
                  <c:v>#N/A</c:v>
                </c:pt>
                <c:pt idx="92">
                  <c:v>#N/A</c:v>
                </c:pt>
                <c:pt idx="93">
                  <c:v>125</c:v>
                </c:pt>
                <c:pt idx="94">
                  <c:v>#N/A</c:v>
                </c:pt>
                <c:pt idx="95">
                  <c:v>#N/A</c:v>
                </c:pt>
                <c:pt idx="96">
                  <c:v>#N/A</c:v>
                </c:pt>
                <c:pt idx="97">
                  <c:v>#N/A</c:v>
                </c:pt>
                <c:pt idx="98">
                  <c:v>#N/A</c:v>
                </c:pt>
                <c:pt idx="99">
                  <c:v>220</c:v>
                </c:pt>
                <c:pt idx="100">
                  <c:v>125</c:v>
                </c:pt>
                <c:pt idx="101">
                  <c:v>#N/A</c:v>
                </c:pt>
                <c:pt idx="102">
                  <c:v>#N/A</c:v>
                </c:pt>
                <c:pt idx="103">
                  <c:v>#N/A</c:v>
                </c:pt>
                <c:pt idx="104">
                  <c:v>#N/A</c:v>
                </c:pt>
                <c:pt idx="105">
                  <c:v>#N/A</c:v>
                </c:pt>
                <c:pt idx="106">
                  <c:v>#N/A</c:v>
                </c:pt>
                <c:pt idx="107">
                  <c:v>#N/A</c:v>
                </c:pt>
                <c:pt idx="108">
                  <c:v>#N/A</c:v>
                </c:pt>
                <c:pt idx="109">
                  <c:v>36</c:v>
                </c:pt>
                <c:pt idx="110">
                  <c:v>135</c:v>
                </c:pt>
                <c:pt idx="111">
                  <c:v>495</c:v>
                </c:pt>
                <c:pt idx="112">
                  <c:v>#N/A</c:v>
                </c:pt>
                <c:pt idx="113">
                  <c:v>#N/A</c:v>
                </c:pt>
                <c:pt idx="114">
                  <c:v>175</c:v>
                </c:pt>
                <c:pt idx="115">
                  <c:v>125</c:v>
                </c:pt>
                <c:pt idx="116">
                  <c:v>125</c:v>
                </c:pt>
                <c:pt idx="117">
                  <c:v>#N/A</c:v>
                </c:pt>
                <c:pt idx="118">
                  <c:v>#N/A</c:v>
                </c:pt>
                <c:pt idx="119">
                  <c:v>#N/A</c:v>
                </c:pt>
                <c:pt idx="120">
                  <c:v>100</c:v>
                </c:pt>
                <c:pt idx="121">
                  <c:v>#N/A</c:v>
                </c:pt>
                <c:pt idx="122">
                  <c:v>#N/A</c:v>
                </c:pt>
                <c:pt idx="123">
                  <c:v>#N/A</c:v>
                </c:pt>
                <c:pt idx="124">
                  <c:v>125</c:v>
                </c:pt>
                <c:pt idx="125">
                  <c:v>99</c:v>
                </c:pt>
                <c:pt idx="126">
                  <c:v>#N/A</c:v>
                </c:pt>
                <c:pt idx="127">
                  <c:v>#N/A</c:v>
                </c:pt>
                <c:pt idx="128">
                  <c:v>145</c:v>
                </c:pt>
                <c:pt idx="129">
                  <c:v>125</c:v>
                </c:pt>
                <c:pt idx="130">
                  <c:v>168</c:v>
                </c:pt>
                <c:pt idx="131">
                  <c:v>125</c:v>
                </c:pt>
                <c:pt idx="132">
                  <c:v>225</c:v>
                </c:pt>
                <c:pt idx="133">
                  <c:v>#N/A</c:v>
                </c:pt>
                <c:pt idx="134">
                  <c:v>#N/A</c:v>
                </c:pt>
                <c:pt idx="135">
                  <c:v>#N/A</c:v>
                </c:pt>
                <c:pt idx="136">
                  <c:v>#N/A</c:v>
                </c:pt>
                <c:pt idx="137">
                  <c:v>#N/A</c:v>
                </c:pt>
                <c:pt idx="138">
                  <c:v>#N/A</c:v>
                </c:pt>
                <c:pt idx="139">
                  <c:v>#N/A</c:v>
                </c:pt>
                <c:pt idx="140">
                  <c:v>#N/A</c:v>
                </c:pt>
                <c:pt idx="141">
                  <c:v>#N/A</c:v>
                </c:pt>
                <c:pt idx="142">
                  <c:v>#N/A</c:v>
                </c:pt>
                <c:pt idx="143">
                  <c:v>125</c:v>
                </c:pt>
                <c:pt idx="144">
                  <c:v>#N/A</c:v>
                </c:pt>
                <c:pt idx="145">
                  <c:v>#N/A</c:v>
                </c:pt>
                <c:pt idx="146">
                  <c:v>#N/A</c:v>
                </c:pt>
                <c:pt idx="147">
                  <c:v>#N/A</c:v>
                </c:pt>
                <c:pt idx="148">
                  <c:v>#N/A</c:v>
                </c:pt>
                <c:pt idx="149">
                  <c:v>#N/A</c:v>
                </c:pt>
                <c:pt idx="150">
                  <c:v>#N/A</c:v>
                </c:pt>
                <c:pt idx="151">
                  <c:v>#N/A</c:v>
                </c:pt>
                <c:pt idx="152">
                  <c:v>155</c:v>
                </c:pt>
                <c:pt idx="153">
                  <c:v>#N/A</c:v>
                </c:pt>
                <c:pt idx="154">
                  <c:v>125</c:v>
                </c:pt>
                <c:pt idx="155">
                  <c:v>125</c:v>
                </c:pt>
                <c:pt idx="156">
                  <c:v>#N/A</c:v>
                </c:pt>
                <c:pt idx="157">
                  <c:v>#N/A</c:v>
                </c:pt>
                <c:pt idx="158">
                  <c:v>#N/A</c:v>
                </c:pt>
                <c:pt idx="159">
                  <c:v>114</c:v>
                </c:pt>
                <c:pt idx="160">
                  <c:v>#N/A</c:v>
                </c:pt>
                <c:pt idx="161">
                  <c:v>#N/A</c:v>
                </c:pt>
                <c:pt idx="162">
                  <c:v>#N/A</c:v>
                </c:pt>
                <c:pt idx="163">
                  <c:v>#N/A</c:v>
                </c:pt>
                <c:pt idx="164">
                  <c:v>125</c:v>
                </c:pt>
                <c:pt idx="165">
                  <c:v>156</c:v>
                </c:pt>
                <c:pt idx="166">
                  <c:v>#N/A</c:v>
                </c:pt>
                <c:pt idx="167">
                  <c:v>#N/A</c:v>
                </c:pt>
                <c:pt idx="168">
                  <c:v>#N/A</c:v>
                </c:pt>
                <c:pt idx="169">
                  <c:v>#N/A</c:v>
                </c:pt>
                <c:pt idx="170">
                  <c:v>125</c:v>
                </c:pt>
                <c:pt idx="171">
                  <c:v>130</c:v>
                </c:pt>
                <c:pt idx="172">
                  <c:v>#N/A</c:v>
                </c:pt>
                <c:pt idx="173">
                  <c:v>#N/A</c:v>
                </c:pt>
                <c:pt idx="174">
                  <c:v>#N/A</c:v>
                </c:pt>
                <c:pt idx="175">
                  <c:v>130</c:v>
                </c:pt>
                <c:pt idx="176">
                  <c:v>#N/A</c:v>
                </c:pt>
                <c:pt idx="177">
                  <c:v>130</c:v>
                </c:pt>
                <c:pt idx="178">
                  <c:v>#N/A</c:v>
                </c:pt>
                <c:pt idx="179">
                  <c:v>125</c:v>
                </c:pt>
                <c:pt idx="180">
                  <c:v>#N/A</c:v>
                </c:pt>
                <c:pt idx="181">
                  <c:v>#N/A</c:v>
                </c:pt>
                <c:pt idx="182">
                  <c:v>#N/A</c:v>
                </c:pt>
                <c:pt idx="183">
                  <c:v>#N/A</c:v>
                </c:pt>
                <c:pt idx="184">
                  <c:v>#N/A</c:v>
                </c:pt>
                <c:pt idx="185">
                  <c:v>125</c:v>
                </c:pt>
                <c:pt idx="186">
                  <c:v>495</c:v>
                </c:pt>
                <c:pt idx="187">
                  <c:v>58</c:v>
                </c:pt>
                <c:pt idx="188">
                  <c:v>114</c:v>
                </c:pt>
                <c:pt idx="189">
                  <c:v>160</c:v>
                </c:pt>
                <c:pt idx="190">
                  <c:v>#N/A</c:v>
                </c:pt>
                <c:pt idx="191">
                  <c:v>#N/A</c:v>
                </c:pt>
                <c:pt idx="192">
                  <c:v>125</c:v>
                </c:pt>
                <c:pt idx="193">
                  <c:v>125</c:v>
                </c:pt>
                <c:pt idx="194">
                  <c:v>#N/A</c:v>
                </c:pt>
                <c:pt idx="195">
                  <c:v>210</c:v>
                </c:pt>
                <c:pt idx="196">
                  <c:v>#N/A</c:v>
                </c:pt>
                <c:pt idx="197">
                  <c:v>48</c:v>
                </c:pt>
                <c:pt idx="198">
                  <c:v>99</c:v>
                </c:pt>
                <c:pt idx="199">
                  <c:v>318</c:v>
                </c:pt>
                <c:pt idx="200">
                  <c:v>#N/A</c:v>
                </c:pt>
                <c:pt idx="201">
                  <c:v>#N/A</c:v>
                </c:pt>
                <c:pt idx="202">
                  <c:v>#N/A</c:v>
                </c:pt>
                <c:pt idx="203">
                  <c:v>#N/A</c:v>
                </c:pt>
                <c:pt idx="204">
                  <c:v>#N/A</c:v>
                </c:pt>
                <c:pt idx="205">
                  <c:v>#N/A</c:v>
                </c:pt>
                <c:pt idx="206">
                  <c:v>280</c:v>
                </c:pt>
                <c:pt idx="207">
                  <c:v>125</c:v>
                </c:pt>
                <c:pt idx="208">
                  <c:v>#N/A</c:v>
                </c:pt>
                <c:pt idx="209">
                  <c:v>125</c:v>
                </c:pt>
                <c:pt idx="210">
                  <c:v>#N/A</c:v>
                </c:pt>
                <c:pt idx="211">
                  <c:v>#N/A</c:v>
                </c:pt>
                <c:pt idx="212">
                  <c:v>#N/A</c:v>
                </c:pt>
                <c:pt idx="213">
                  <c:v>130</c:v>
                </c:pt>
                <c:pt idx="214">
                  <c:v>175</c:v>
                </c:pt>
                <c:pt idx="215">
                  <c:v>271</c:v>
                </c:pt>
                <c:pt idx="216">
                  <c:v>129</c:v>
                </c:pt>
                <c:pt idx="217">
                  <c:v>#N/A</c:v>
                </c:pt>
                <c:pt idx="218">
                  <c:v>125</c:v>
                </c:pt>
                <c:pt idx="219">
                  <c:v>125</c:v>
                </c:pt>
                <c:pt idx="220">
                  <c:v>478</c:v>
                </c:pt>
                <c:pt idx="221">
                  <c:v>125</c:v>
                </c:pt>
                <c:pt idx="222">
                  <c:v>#N/A</c:v>
                </c:pt>
                <c:pt idx="223">
                  <c:v>#N/A</c:v>
                </c:pt>
                <c:pt idx="224">
                  <c:v>#N/A</c:v>
                </c:pt>
                <c:pt idx="225">
                  <c:v>#N/A</c:v>
                </c:pt>
                <c:pt idx="226">
                  <c:v>#N/A</c:v>
                </c:pt>
                <c:pt idx="227">
                  <c:v>125</c:v>
                </c:pt>
                <c:pt idx="228">
                  <c:v>#N/A</c:v>
                </c:pt>
                <c:pt idx="229">
                  <c:v>#N/A</c:v>
                </c:pt>
                <c:pt idx="230">
                  <c:v>125</c:v>
                </c:pt>
                <c:pt idx="231">
                  <c:v>370</c:v>
                </c:pt>
                <c:pt idx="232">
                  <c:v>#N/A</c:v>
                </c:pt>
                <c:pt idx="233">
                  <c:v>#N/A</c:v>
                </c:pt>
                <c:pt idx="234">
                  <c:v>#N/A</c:v>
                </c:pt>
                <c:pt idx="235">
                  <c:v>125</c:v>
                </c:pt>
                <c:pt idx="236">
                  <c:v>192</c:v>
                </c:pt>
                <c:pt idx="237">
                  <c:v>125</c:v>
                </c:pt>
                <c:pt idx="238">
                  <c:v>125</c:v>
                </c:pt>
                <c:pt idx="239">
                  <c:v>#N/A</c:v>
                </c:pt>
                <c:pt idx="240">
                  <c:v>#N/A</c:v>
                </c:pt>
                <c:pt idx="241">
                  <c:v>#N/A</c:v>
                </c:pt>
                <c:pt idx="242">
                  <c:v>125</c:v>
                </c:pt>
                <c:pt idx="243">
                  <c:v>176</c:v>
                </c:pt>
                <c:pt idx="244">
                  <c:v>#N/A</c:v>
                </c:pt>
                <c:pt idx="245">
                  <c:v>125</c:v>
                </c:pt>
                <c:pt idx="246">
                  <c:v>#N/A</c:v>
                </c:pt>
                <c:pt idx="247">
                  <c:v>#N/A</c:v>
                </c:pt>
                <c:pt idx="248">
                  <c:v>#N/A</c:v>
                </c:pt>
                <c:pt idx="249">
                  <c:v>#N/A</c:v>
                </c:pt>
                <c:pt idx="250">
                  <c:v>#N/A</c:v>
                </c:pt>
                <c:pt idx="251">
                  <c:v>#N/A</c:v>
                </c:pt>
                <c:pt idx="252">
                  <c:v>#N/A</c:v>
                </c:pt>
                <c:pt idx="253">
                  <c:v>#N/A</c:v>
                </c:pt>
                <c:pt idx="254">
                  <c:v>258</c:v>
                </c:pt>
                <c:pt idx="255">
                  <c:v>125</c:v>
                </c:pt>
                <c:pt idx="256">
                  <c:v>#N/A</c:v>
                </c:pt>
                <c:pt idx="257">
                  <c:v>#N/A</c:v>
                </c:pt>
                <c:pt idx="258">
                  <c:v>#N/A</c:v>
                </c:pt>
                <c:pt idx="259">
                  <c:v>150</c:v>
                </c:pt>
                <c:pt idx="260">
                  <c:v>#N/A</c:v>
                </c:pt>
                <c:pt idx="261">
                  <c:v>125</c:v>
                </c:pt>
                <c:pt idx="262">
                  <c:v>#N/A</c:v>
                </c:pt>
                <c:pt idx="263">
                  <c:v>#N/A</c:v>
                </c:pt>
                <c:pt idx="264">
                  <c:v>125</c:v>
                </c:pt>
                <c:pt idx="265">
                  <c:v>#N/A</c:v>
                </c:pt>
                <c:pt idx="266">
                  <c:v>125</c:v>
                </c:pt>
                <c:pt idx="267">
                  <c:v>#N/A</c:v>
                </c:pt>
                <c:pt idx="268">
                  <c:v>#N/A</c:v>
                </c:pt>
                <c:pt idx="269">
                  <c:v>125</c:v>
                </c:pt>
                <c:pt idx="270">
                  <c:v>125</c:v>
                </c:pt>
                <c:pt idx="271">
                  <c:v>#N/A</c:v>
                </c:pt>
                <c:pt idx="272">
                  <c:v>#N/A</c:v>
                </c:pt>
                <c:pt idx="273">
                  <c:v>#N/A</c:v>
                </c:pt>
                <c:pt idx="274">
                  <c:v>#N/A</c:v>
                </c:pt>
                <c:pt idx="275">
                  <c:v>#N/A</c:v>
                </c:pt>
                <c:pt idx="276">
                  <c:v>125</c:v>
                </c:pt>
                <c:pt idx="277">
                  <c:v>#N/A</c:v>
                </c:pt>
                <c:pt idx="278">
                  <c:v>#N/A</c:v>
                </c:pt>
                <c:pt idx="279">
                  <c:v>#N/A</c:v>
                </c:pt>
                <c:pt idx="280">
                  <c:v>125</c:v>
                </c:pt>
                <c:pt idx="281">
                  <c:v>#N/A</c:v>
                </c:pt>
                <c:pt idx="282">
                  <c:v>#N/A</c:v>
                </c:pt>
                <c:pt idx="283">
                  <c:v>125</c:v>
                </c:pt>
                <c:pt idx="284">
                  <c:v>125</c:v>
                </c:pt>
                <c:pt idx="285">
                  <c:v>#N/A</c:v>
                </c:pt>
                <c:pt idx="286">
                  <c:v>#N/A</c:v>
                </c:pt>
                <c:pt idx="287">
                  <c:v>220</c:v>
                </c:pt>
                <c:pt idx="288">
                  <c:v>#N/A</c:v>
                </c:pt>
                <c:pt idx="289">
                  <c:v>#N/A</c:v>
                </c:pt>
                <c:pt idx="290">
                  <c:v>#N/A</c:v>
                </c:pt>
                <c:pt idx="291">
                  <c:v>74</c:v>
                </c:pt>
                <c:pt idx="292">
                  <c:v>182</c:v>
                </c:pt>
                <c:pt idx="293">
                  <c:v>194</c:v>
                </c:pt>
                <c:pt idx="294">
                  <c:v>#N/A</c:v>
                </c:pt>
                <c:pt idx="295">
                  <c:v>#N/A</c:v>
                </c:pt>
                <c:pt idx="296">
                  <c:v>360</c:v>
                </c:pt>
                <c:pt idx="297">
                  <c:v>#N/A</c:v>
                </c:pt>
                <c:pt idx="298">
                  <c:v>184</c:v>
                </c:pt>
                <c:pt idx="299">
                  <c:v>#N/A</c:v>
                </c:pt>
                <c:pt idx="300">
                  <c:v>125</c:v>
                </c:pt>
                <c:pt idx="301">
                  <c:v>135</c:v>
                </c:pt>
                <c:pt idx="302">
                  <c:v>#N/A</c:v>
                </c:pt>
                <c:pt idx="303">
                  <c:v>125</c:v>
                </c:pt>
                <c:pt idx="304">
                  <c:v>#N/A</c:v>
                </c:pt>
                <c:pt idx="305">
                  <c:v>#N/A</c:v>
                </c:pt>
                <c:pt idx="306">
                  <c:v>132</c:v>
                </c:pt>
                <c:pt idx="307">
                  <c:v>#N/A</c:v>
                </c:pt>
                <c:pt idx="308">
                  <c:v>180</c:v>
                </c:pt>
                <c:pt idx="309">
                  <c:v>205</c:v>
                </c:pt>
                <c:pt idx="310">
                  <c:v>#N/A</c:v>
                </c:pt>
                <c:pt idx="311">
                  <c:v>#N/A</c:v>
                </c:pt>
                <c:pt idx="312">
                  <c:v>96</c:v>
                </c:pt>
                <c:pt idx="313">
                  <c:v>#N/A</c:v>
                </c:pt>
                <c:pt idx="314">
                  <c:v>125</c:v>
                </c:pt>
                <c:pt idx="315">
                  <c:v>#N/A</c:v>
                </c:pt>
                <c:pt idx="316">
                  <c:v>#N/A</c:v>
                </c:pt>
                <c:pt idx="317">
                  <c:v>125</c:v>
                </c:pt>
                <c:pt idx="318">
                  <c:v>#N/A</c:v>
                </c:pt>
                <c:pt idx="319">
                  <c:v>125</c:v>
                </c:pt>
                <c:pt idx="320">
                  <c:v>#N/A</c:v>
                </c:pt>
                <c:pt idx="321">
                  <c:v>125</c:v>
                </c:pt>
                <c:pt idx="322">
                  <c:v>125</c:v>
                </c:pt>
                <c:pt idx="323">
                  <c:v>29</c:v>
                </c:pt>
                <c:pt idx="324">
                  <c:v>#N/A</c:v>
                </c:pt>
                <c:pt idx="325">
                  <c:v>#N/A</c:v>
                </c:pt>
                <c:pt idx="326">
                  <c:v>156</c:v>
                </c:pt>
                <c:pt idx="327">
                  <c:v>#N/A</c:v>
                </c:pt>
                <c:pt idx="328">
                  <c:v>120</c:v>
                </c:pt>
                <c:pt idx="329">
                  <c:v>#N/A</c:v>
                </c:pt>
                <c:pt idx="330">
                  <c:v>#N/A</c:v>
                </c:pt>
                <c:pt idx="331">
                  <c:v>#N/A</c:v>
                </c:pt>
                <c:pt idx="332">
                  <c:v>125</c:v>
                </c:pt>
                <c:pt idx="333">
                  <c:v>#N/A</c:v>
                </c:pt>
                <c:pt idx="334">
                  <c:v>#N/A</c:v>
                </c:pt>
                <c:pt idx="335">
                  <c:v>#N/A</c:v>
                </c:pt>
                <c:pt idx="336">
                  <c:v>#N/A</c:v>
                </c:pt>
                <c:pt idx="337">
                  <c:v>125</c:v>
                </c:pt>
                <c:pt idx="338">
                  <c:v>171</c:v>
                </c:pt>
                <c:pt idx="339">
                  <c:v>125</c:v>
                </c:pt>
                <c:pt idx="340">
                  <c:v>#N/A</c:v>
                </c:pt>
                <c:pt idx="341">
                  <c:v>#N/A</c:v>
                </c:pt>
                <c:pt idx="342">
                  <c:v>#N/A</c:v>
                </c:pt>
                <c:pt idx="343">
                  <c:v>#N/A</c:v>
                </c:pt>
                <c:pt idx="344">
                  <c:v>#N/A</c:v>
                </c:pt>
                <c:pt idx="345">
                  <c:v>#N/A</c:v>
                </c:pt>
                <c:pt idx="346">
                  <c:v>#N/A</c:v>
                </c:pt>
                <c:pt idx="347">
                  <c:v>#N/A</c:v>
                </c:pt>
                <c:pt idx="348">
                  <c:v>#N/A</c:v>
                </c:pt>
                <c:pt idx="349">
                  <c:v>125</c:v>
                </c:pt>
                <c:pt idx="350">
                  <c:v>#N/A</c:v>
                </c:pt>
                <c:pt idx="351">
                  <c:v>#N/A</c:v>
                </c:pt>
                <c:pt idx="352">
                  <c:v>#N/A</c:v>
                </c:pt>
                <c:pt idx="353">
                  <c:v>#N/A</c:v>
                </c:pt>
                <c:pt idx="354">
                  <c:v>#N/A</c:v>
                </c:pt>
                <c:pt idx="355">
                  <c:v>125</c:v>
                </c:pt>
                <c:pt idx="356">
                  <c:v>167</c:v>
                </c:pt>
                <c:pt idx="357">
                  <c:v>125</c:v>
                </c:pt>
                <c:pt idx="358">
                  <c:v>#N/A</c:v>
                </c:pt>
                <c:pt idx="359">
                  <c:v>249</c:v>
                </c:pt>
                <c:pt idx="360">
                  <c:v>325</c:v>
                </c:pt>
                <c:pt idx="361">
                  <c:v>#N/A</c:v>
                </c:pt>
                <c:pt idx="362">
                  <c:v>#N/A</c:v>
                </c:pt>
                <c:pt idx="363">
                  <c:v>125</c:v>
                </c:pt>
                <c:pt idx="364">
                  <c:v>#N/A</c:v>
                </c:pt>
                <c:pt idx="365">
                  <c:v>#N/A</c:v>
                </c:pt>
                <c:pt idx="366">
                  <c:v>125</c:v>
                </c:pt>
                <c:pt idx="367">
                  <c:v>#N/A</c:v>
                </c:pt>
                <c:pt idx="368">
                  <c:v>#N/A</c:v>
                </c:pt>
                <c:pt idx="369">
                  <c:v>140</c:v>
                </c:pt>
                <c:pt idx="370">
                  <c:v>465</c:v>
                </c:pt>
                <c:pt idx="371">
                  <c:v>#N/A</c:v>
                </c:pt>
                <c:pt idx="372">
                  <c:v>#N/A</c:v>
                </c:pt>
                <c:pt idx="373">
                  <c:v>#N/A</c:v>
                </c:pt>
                <c:pt idx="374">
                  <c:v>#N/A</c:v>
                </c:pt>
                <c:pt idx="375">
                  <c:v>325</c:v>
                </c:pt>
                <c:pt idx="376">
                  <c:v>#N/A</c:v>
                </c:pt>
                <c:pt idx="377">
                  <c:v>#N/A</c:v>
                </c:pt>
                <c:pt idx="378">
                  <c:v>125</c:v>
                </c:pt>
                <c:pt idx="379">
                  <c:v>#N/A</c:v>
                </c:pt>
                <c:pt idx="380">
                  <c:v>#N/A</c:v>
                </c:pt>
                <c:pt idx="381">
                  <c:v>#N/A</c:v>
                </c:pt>
                <c:pt idx="382">
                  <c:v>#N/A</c:v>
                </c:pt>
                <c:pt idx="383">
                  <c:v>#N/A</c:v>
                </c:pt>
                <c:pt idx="384">
                  <c:v>#N/A</c:v>
                </c:pt>
                <c:pt idx="385">
                  <c:v>#N/A</c:v>
                </c:pt>
                <c:pt idx="386">
                  <c:v>125</c:v>
                </c:pt>
                <c:pt idx="387">
                  <c:v>125</c:v>
                </c:pt>
                <c:pt idx="388">
                  <c:v>285</c:v>
                </c:pt>
                <c:pt idx="389">
                  <c:v>#N/A</c:v>
                </c:pt>
                <c:pt idx="390">
                  <c:v>#N/A</c:v>
                </c:pt>
                <c:pt idx="391">
                  <c:v>125</c:v>
                </c:pt>
                <c:pt idx="392">
                  <c:v>#N/A</c:v>
                </c:pt>
                <c:pt idx="393">
                  <c:v>#N/A</c:v>
                </c:pt>
                <c:pt idx="394">
                  <c:v>125</c:v>
                </c:pt>
                <c:pt idx="395">
                  <c:v>#N/A</c:v>
                </c:pt>
                <c:pt idx="396">
                  <c:v>#N/A</c:v>
                </c:pt>
                <c:pt idx="397">
                  <c:v>125</c:v>
                </c:pt>
                <c:pt idx="398">
                  <c:v>#N/A</c:v>
                </c:pt>
                <c:pt idx="399">
                  <c:v>125</c:v>
                </c:pt>
                <c:pt idx="400">
                  <c:v>125</c:v>
                </c:pt>
                <c:pt idx="401">
                  <c:v>#N/A</c:v>
                </c:pt>
                <c:pt idx="402">
                  <c:v>88</c:v>
                </c:pt>
                <c:pt idx="403">
                  <c:v>#N/A</c:v>
                </c:pt>
                <c:pt idx="404">
                  <c:v>125</c:v>
                </c:pt>
                <c:pt idx="405">
                  <c:v>#N/A</c:v>
                </c:pt>
                <c:pt idx="406">
                  <c:v>125</c:v>
                </c:pt>
                <c:pt idx="407">
                  <c:v>#N/A</c:v>
                </c:pt>
                <c:pt idx="408">
                  <c:v>125</c:v>
                </c:pt>
                <c:pt idx="409">
                  <c:v>579</c:v>
                </c:pt>
                <c:pt idx="410">
                  <c:v>#N/A</c:v>
                </c:pt>
                <c:pt idx="411">
                  <c:v>#N/A</c:v>
                </c:pt>
                <c:pt idx="412">
                  <c:v>#N/A</c:v>
                </c:pt>
                <c:pt idx="413">
                  <c:v>#N/A</c:v>
                </c:pt>
                <c:pt idx="414">
                  <c:v>167</c:v>
                </c:pt>
                <c:pt idx="415">
                  <c:v>474</c:v>
                </c:pt>
                <c:pt idx="416">
                  <c:v>#N/A</c:v>
                </c:pt>
                <c:pt idx="417">
                  <c:v>125</c:v>
                </c:pt>
                <c:pt idx="418">
                  <c:v>#N/A</c:v>
                </c:pt>
                <c:pt idx="419">
                  <c:v>115</c:v>
                </c:pt>
                <c:pt idx="420">
                  <c:v>#N/A</c:v>
                </c:pt>
                <c:pt idx="421">
                  <c:v>#N/A</c:v>
                </c:pt>
                <c:pt idx="422">
                  <c:v>#N/A</c:v>
                </c:pt>
                <c:pt idx="423">
                  <c:v>#N/A</c:v>
                </c:pt>
                <c:pt idx="424">
                  <c:v>210</c:v>
                </c:pt>
                <c:pt idx="425">
                  <c:v>277</c:v>
                </c:pt>
                <c:pt idx="426">
                  <c:v>#N/A</c:v>
                </c:pt>
                <c:pt idx="427">
                  <c:v>180</c:v>
                </c:pt>
                <c:pt idx="428">
                  <c:v>#N/A</c:v>
                </c:pt>
                <c:pt idx="429">
                  <c:v>180</c:v>
                </c:pt>
                <c:pt idx="430">
                  <c:v>#N/A</c:v>
                </c:pt>
                <c:pt idx="431">
                  <c:v>#N/A</c:v>
                </c:pt>
                <c:pt idx="432">
                  <c:v>#N/A</c:v>
                </c:pt>
                <c:pt idx="433">
                  <c:v>#N/A</c:v>
                </c:pt>
                <c:pt idx="434">
                  <c:v>#N/A</c:v>
                </c:pt>
                <c:pt idx="435">
                  <c:v>125</c:v>
                </c:pt>
                <c:pt idx="436">
                  <c:v>#N/A</c:v>
                </c:pt>
                <c:pt idx="437">
                  <c:v>#N/A</c:v>
                </c:pt>
                <c:pt idx="438">
                  <c:v>#N/A</c:v>
                </c:pt>
                <c:pt idx="439">
                  <c:v>#N/A</c:v>
                </c:pt>
                <c:pt idx="440">
                  <c:v>125</c:v>
                </c:pt>
                <c:pt idx="441">
                  <c:v>#N/A</c:v>
                </c:pt>
                <c:pt idx="442">
                  <c:v>#N/A</c:v>
                </c:pt>
                <c:pt idx="443">
                  <c:v>125</c:v>
                </c:pt>
                <c:pt idx="444">
                  <c:v>125</c:v>
                </c:pt>
                <c:pt idx="445">
                  <c:v>14</c:v>
                </c:pt>
                <c:pt idx="446">
                  <c:v>#N/A</c:v>
                </c:pt>
                <c:pt idx="447">
                  <c:v>#N/A</c:v>
                </c:pt>
                <c:pt idx="448">
                  <c:v>64</c:v>
                </c:pt>
                <c:pt idx="449">
                  <c:v>#N/A</c:v>
                </c:pt>
                <c:pt idx="450">
                  <c:v>#N/A</c:v>
                </c:pt>
                <c:pt idx="451">
                  <c:v>125</c:v>
                </c:pt>
                <c:pt idx="452">
                  <c:v>#N/A</c:v>
                </c:pt>
                <c:pt idx="453">
                  <c:v>#N/A</c:v>
                </c:pt>
                <c:pt idx="454">
                  <c:v>#N/A</c:v>
                </c:pt>
                <c:pt idx="455">
                  <c:v>125</c:v>
                </c:pt>
                <c:pt idx="456">
                  <c:v>#N/A</c:v>
                </c:pt>
                <c:pt idx="457">
                  <c:v>#N/A</c:v>
                </c:pt>
                <c:pt idx="458">
                  <c:v>237</c:v>
                </c:pt>
                <c:pt idx="459">
                  <c:v>#N/A</c:v>
                </c:pt>
                <c:pt idx="460">
                  <c:v>#N/A</c:v>
                </c:pt>
                <c:pt idx="461">
                  <c:v>#N/A</c:v>
                </c:pt>
                <c:pt idx="462">
                  <c:v>#N/A</c:v>
                </c:pt>
                <c:pt idx="463">
                  <c:v>#N/A</c:v>
                </c:pt>
                <c:pt idx="464">
                  <c:v>#N/A</c:v>
                </c:pt>
                <c:pt idx="465">
                  <c:v>#N/A</c:v>
                </c:pt>
                <c:pt idx="466">
                  <c:v>#N/A</c:v>
                </c:pt>
                <c:pt idx="467">
                  <c:v>#N/A</c:v>
                </c:pt>
                <c:pt idx="468">
                  <c:v>125</c:v>
                </c:pt>
                <c:pt idx="469">
                  <c:v>#N/A</c:v>
                </c:pt>
                <c:pt idx="470">
                  <c:v>#N/A</c:v>
                </c:pt>
                <c:pt idx="471">
                  <c:v>#N/A</c:v>
                </c:pt>
                <c:pt idx="472">
                  <c:v>#N/A</c:v>
                </c:pt>
                <c:pt idx="473">
                  <c:v>#N/A</c:v>
                </c:pt>
                <c:pt idx="474">
                  <c:v>#N/A</c:v>
                </c:pt>
                <c:pt idx="475">
                  <c:v>#N/A</c:v>
                </c:pt>
                <c:pt idx="476">
                  <c:v>191</c:v>
                </c:pt>
                <c:pt idx="477">
                  <c:v>#N/A</c:v>
                </c:pt>
                <c:pt idx="478">
                  <c:v>#N/A</c:v>
                </c:pt>
                <c:pt idx="479">
                  <c:v>#N/A</c:v>
                </c:pt>
                <c:pt idx="480">
                  <c:v>328</c:v>
                </c:pt>
                <c:pt idx="481">
                  <c:v>#N/A</c:v>
                </c:pt>
                <c:pt idx="482">
                  <c:v>#N/A</c:v>
                </c:pt>
                <c:pt idx="483">
                  <c:v>#N/A</c:v>
                </c:pt>
                <c:pt idx="484">
                  <c:v>125</c:v>
                </c:pt>
                <c:pt idx="485">
                  <c:v>250</c:v>
                </c:pt>
                <c:pt idx="486">
                  <c:v>#N/A</c:v>
                </c:pt>
                <c:pt idx="487">
                  <c:v>#N/A</c:v>
                </c:pt>
                <c:pt idx="488">
                  <c:v>#N/A</c:v>
                </c:pt>
                <c:pt idx="489">
                  <c:v>#N/A</c:v>
                </c:pt>
                <c:pt idx="490">
                  <c:v>#N/A</c:v>
                </c:pt>
                <c:pt idx="491">
                  <c:v>#N/A</c:v>
                </c:pt>
                <c:pt idx="492">
                  <c:v>#N/A</c:v>
                </c:pt>
                <c:pt idx="493">
                  <c:v>122</c:v>
                </c:pt>
                <c:pt idx="494">
                  <c:v>#N/A</c:v>
                </c:pt>
                <c:pt idx="495">
                  <c:v>#N/A</c:v>
                </c:pt>
                <c:pt idx="496">
                  <c:v>#N/A</c:v>
                </c:pt>
                <c:pt idx="497">
                  <c:v>#N/A</c:v>
                </c:pt>
                <c:pt idx="498">
                  <c:v>145</c:v>
                </c:pt>
                <c:pt idx="499">
                  <c:v>#N/A</c:v>
                </c:pt>
                <c:pt idx="500">
                  <c:v>#N/A</c:v>
                </c:pt>
                <c:pt idx="501">
                  <c:v>#N/A</c:v>
                </c:pt>
                <c:pt idx="502">
                  <c:v>125</c:v>
                </c:pt>
                <c:pt idx="503">
                  <c:v>#N/A</c:v>
                </c:pt>
                <c:pt idx="504">
                  <c:v>#N/A</c:v>
                </c:pt>
                <c:pt idx="505">
                  <c:v>#N/A</c:v>
                </c:pt>
                <c:pt idx="506">
                  <c:v>90</c:v>
                </c:pt>
                <c:pt idx="507">
                  <c:v>#N/A</c:v>
                </c:pt>
                <c:pt idx="508">
                  <c:v>#N/A</c:v>
                </c:pt>
                <c:pt idx="509">
                  <c:v>#N/A</c:v>
                </c:pt>
                <c:pt idx="510">
                  <c:v>125</c:v>
                </c:pt>
                <c:pt idx="511">
                  <c:v>#N/A</c:v>
                </c:pt>
                <c:pt idx="512">
                  <c:v>#N/A</c:v>
                </c:pt>
                <c:pt idx="513">
                  <c:v>#N/A</c:v>
                </c:pt>
                <c:pt idx="514">
                  <c:v>#N/A</c:v>
                </c:pt>
                <c:pt idx="515">
                  <c:v>105</c:v>
                </c:pt>
                <c:pt idx="516">
                  <c:v>165</c:v>
                </c:pt>
                <c:pt idx="517">
                  <c:v>#N/A</c:v>
                </c:pt>
                <c:pt idx="518">
                  <c:v>#N/A</c:v>
                </c:pt>
                <c:pt idx="519">
                  <c:v>#N/A</c:v>
                </c:pt>
                <c:pt idx="520">
                  <c:v>#N/A</c:v>
                </c:pt>
                <c:pt idx="521">
                  <c:v>#N/A</c:v>
                </c:pt>
                <c:pt idx="522">
                  <c:v>#N/A</c:v>
                </c:pt>
                <c:pt idx="523">
                  <c:v>125</c:v>
                </c:pt>
                <c:pt idx="524">
                  <c:v>#N/A</c:v>
                </c:pt>
                <c:pt idx="525">
                  <c:v>#N/A</c:v>
                </c:pt>
                <c:pt idx="526">
                  <c:v>#N/A</c:v>
                </c:pt>
                <c:pt idx="527">
                  <c:v>#N/A</c:v>
                </c:pt>
                <c:pt idx="528">
                  <c:v>#N/A</c:v>
                </c:pt>
                <c:pt idx="529">
                  <c:v>#N/A</c:v>
                </c:pt>
                <c:pt idx="530">
                  <c:v>#N/A</c:v>
                </c:pt>
                <c:pt idx="531">
                  <c:v>#N/A</c:v>
                </c:pt>
                <c:pt idx="532">
                  <c:v>#N/A</c:v>
                </c:pt>
                <c:pt idx="533">
                  <c:v>#N/A</c:v>
                </c:pt>
                <c:pt idx="534">
                  <c:v>#N/A</c:v>
                </c:pt>
                <c:pt idx="535">
                  <c:v>125</c:v>
                </c:pt>
                <c:pt idx="536">
                  <c:v>#N/A</c:v>
                </c:pt>
                <c:pt idx="537">
                  <c:v>#N/A</c:v>
                </c:pt>
                <c:pt idx="538">
                  <c:v>#N/A</c:v>
                </c:pt>
                <c:pt idx="539">
                  <c:v>155</c:v>
                </c:pt>
                <c:pt idx="540">
                  <c:v>215</c:v>
                </c:pt>
                <c:pt idx="541">
                  <c:v>190</c:v>
                </c:pt>
                <c:pt idx="542">
                  <c:v>125</c:v>
                </c:pt>
                <c:pt idx="543">
                  <c:v>#N/A</c:v>
                </c:pt>
                <c:pt idx="544">
                  <c:v>#N/A</c:v>
                </c:pt>
                <c:pt idx="545">
                  <c:v>225</c:v>
                </c:pt>
                <c:pt idx="546">
                  <c:v>207</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125</c:v>
                </c:pt>
                <c:pt idx="561">
                  <c:v>274</c:v>
                </c:pt>
                <c:pt idx="562">
                  <c:v>#N/A</c:v>
                </c:pt>
                <c:pt idx="563">
                  <c:v>#N/A</c:v>
                </c:pt>
                <c:pt idx="564">
                  <c:v>#N/A</c:v>
                </c:pt>
                <c:pt idx="565">
                  <c:v>#N/A</c:v>
                </c:pt>
                <c:pt idx="566">
                  <c:v>#N/A</c:v>
                </c:pt>
                <c:pt idx="567">
                  <c:v>#N/A</c:v>
                </c:pt>
                <c:pt idx="568">
                  <c:v>#N/A</c:v>
                </c:pt>
                <c:pt idx="569">
                  <c:v>165</c:v>
                </c:pt>
                <c:pt idx="570">
                  <c:v>#N/A</c:v>
                </c:pt>
                <c:pt idx="571">
                  <c:v>#N/A</c:v>
                </c:pt>
                <c:pt idx="572">
                  <c:v>#N/A</c:v>
                </c:pt>
                <c:pt idx="573">
                  <c:v>#N/A</c:v>
                </c:pt>
                <c:pt idx="574">
                  <c:v>#N/A</c:v>
                </c:pt>
                <c:pt idx="575">
                  <c:v>#N/A</c:v>
                </c:pt>
                <c:pt idx="576">
                  <c:v>#N/A</c:v>
                </c:pt>
                <c:pt idx="577">
                  <c:v>125</c:v>
                </c:pt>
                <c:pt idx="578">
                  <c:v>#N/A</c:v>
                </c:pt>
                <c:pt idx="579">
                  <c:v>125</c:v>
                </c:pt>
                <c:pt idx="580">
                  <c:v>125</c:v>
                </c:pt>
                <c:pt idx="581">
                  <c:v>#N/A</c:v>
                </c:pt>
                <c:pt idx="582">
                  <c:v>#N/A</c:v>
                </c:pt>
                <c:pt idx="583">
                  <c:v>#N/A</c:v>
                </c:pt>
                <c:pt idx="584">
                  <c:v>600</c:v>
                </c:pt>
                <c:pt idx="585">
                  <c:v>#N/A</c:v>
                </c:pt>
                <c:pt idx="586">
                  <c:v>125</c:v>
                </c:pt>
                <c:pt idx="587">
                  <c:v>#N/A</c:v>
                </c:pt>
                <c:pt idx="588">
                  <c:v>156</c:v>
                </c:pt>
                <c:pt idx="589">
                  <c:v>#N/A</c:v>
                </c:pt>
                <c:pt idx="590">
                  <c:v>125</c:v>
                </c:pt>
                <c:pt idx="591">
                  <c:v>#N/A</c:v>
                </c:pt>
                <c:pt idx="592">
                  <c:v>125</c:v>
                </c:pt>
                <c:pt idx="593">
                  <c:v>#N/A</c:v>
                </c:pt>
                <c:pt idx="594">
                  <c:v>#N/A</c:v>
                </c:pt>
                <c:pt idx="595">
                  <c:v>185</c:v>
                </c:pt>
                <c:pt idx="596">
                  <c:v>#N/A</c:v>
                </c:pt>
                <c:pt idx="597">
                  <c:v>#N/A</c:v>
                </c:pt>
                <c:pt idx="598">
                  <c:v>125</c:v>
                </c:pt>
                <c:pt idx="599">
                  <c:v>#N/A</c:v>
                </c:pt>
                <c:pt idx="600">
                  <c:v>#N/A</c:v>
                </c:pt>
                <c:pt idx="601">
                  <c:v>#N/A</c:v>
                </c:pt>
                <c:pt idx="602">
                  <c:v>#N/A</c:v>
                </c:pt>
                <c:pt idx="603">
                  <c:v>126</c:v>
                </c:pt>
                <c:pt idx="604">
                  <c:v>125</c:v>
                </c:pt>
                <c:pt idx="605">
                  <c:v>#N/A</c:v>
                </c:pt>
                <c:pt idx="606">
                  <c:v>293</c:v>
                </c:pt>
                <c:pt idx="607">
                  <c:v>#N/A</c:v>
                </c:pt>
                <c:pt idx="608">
                  <c:v>#N/A</c:v>
                </c:pt>
                <c:pt idx="609">
                  <c:v>#N/A</c:v>
                </c:pt>
                <c:pt idx="610">
                  <c:v>#N/A</c:v>
                </c:pt>
                <c:pt idx="611">
                  <c:v>194</c:v>
                </c:pt>
                <c:pt idx="612">
                  <c:v>321</c:v>
                </c:pt>
                <c:pt idx="613">
                  <c:v>#N/A</c:v>
                </c:pt>
                <c:pt idx="614">
                  <c:v>144</c:v>
                </c:pt>
                <c:pt idx="615">
                  <c:v>#N/A</c:v>
                </c:pt>
                <c:pt idx="616">
                  <c:v>#N/A</c:v>
                </c:pt>
                <c:pt idx="617">
                  <c:v>#N/A</c:v>
                </c:pt>
                <c:pt idx="618">
                  <c:v>125</c:v>
                </c:pt>
                <c:pt idx="619">
                  <c:v>125</c:v>
                </c:pt>
                <c:pt idx="620">
                  <c:v>#N/A</c:v>
                </c:pt>
                <c:pt idx="621">
                  <c:v>#N/A</c:v>
                </c:pt>
                <c:pt idx="622">
                  <c:v>#N/A</c:v>
                </c:pt>
                <c:pt idx="623">
                  <c:v>#N/A</c:v>
                </c:pt>
                <c:pt idx="624">
                  <c:v>#N/A</c:v>
                </c:pt>
                <c:pt idx="625">
                  <c:v>#N/A</c:v>
                </c:pt>
                <c:pt idx="626">
                  <c:v>#N/A</c:v>
                </c:pt>
                <c:pt idx="627">
                  <c:v>#N/A</c:v>
                </c:pt>
                <c:pt idx="628">
                  <c:v>#N/A</c:v>
                </c:pt>
                <c:pt idx="629">
                  <c:v>#N/A</c:v>
                </c:pt>
                <c:pt idx="630">
                  <c:v>125</c:v>
                </c:pt>
                <c:pt idx="631">
                  <c:v>#N/A</c:v>
                </c:pt>
                <c:pt idx="632">
                  <c:v>#N/A</c:v>
                </c:pt>
                <c:pt idx="633">
                  <c:v>#N/A</c:v>
                </c:pt>
                <c:pt idx="634">
                  <c:v>#N/A</c:v>
                </c:pt>
                <c:pt idx="635">
                  <c:v>125</c:v>
                </c:pt>
                <c:pt idx="636">
                  <c:v>#N/A</c:v>
                </c:pt>
                <c:pt idx="637">
                  <c:v>#N/A</c:v>
                </c:pt>
                <c:pt idx="638">
                  <c:v>91</c:v>
                </c:pt>
                <c:pt idx="639">
                  <c:v>#N/A</c:v>
                </c:pt>
                <c:pt idx="640">
                  <c:v>#N/A</c:v>
                </c:pt>
                <c:pt idx="641">
                  <c:v>#N/A</c:v>
                </c:pt>
                <c:pt idx="642">
                  <c:v>125</c:v>
                </c:pt>
                <c:pt idx="643">
                  <c:v>#N/A</c:v>
                </c:pt>
                <c:pt idx="644">
                  <c:v>#N/A</c:v>
                </c:pt>
                <c:pt idx="645">
                  <c:v>#N/A</c:v>
                </c:pt>
                <c:pt idx="646">
                  <c:v>144</c:v>
                </c:pt>
                <c:pt idx="647">
                  <c:v>159</c:v>
                </c:pt>
                <c:pt idx="648">
                  <c:v>130</c:v>
                </c:pt>
                <c:pt idx="649">
                  <c:v>#N/A</c:v>
                </c:pt>
                <c:pt idx="650">
                  <c:v>#N/A</c:v>
                </c:pt>
                <c:pt idx="651">
                  <c:v>#N/A</c:v>
                </c:pt>
                <c:pt idx="652">
                  <c:v>#N/A</c:v>
                </c:pt>
                <c:pt idx="653">
                  <c:v>#N/A</c:v>
                </c:pt>
                <c:pt idx="654">
                  <c:v>#N/A</c:v>
                </c:pt>
                <c:pt idx="655">
                  <c:v>540</c:v>
                </c:pt>
                <c:pt idx="656">
                  <c:v>#N/A</c:v>
                </c:pt>
                <c:pt idx="657">
                  <c:v>#N/A</c:v>
                </c:pt>
                <c:pt idx="658">
                  <c:v>#N/A</c:v>
                </c:pt>
                <c:pt idx="659">
                  <c:v>70</c:v>
                </c:pt>
                <c:pt idx="660">
                  <c:v>#N/A</c:v>
                </c:pt>
                <c:pt idx="661">
                  <c:v>125</c:v>
                </c:pt>
                <c:pt idx="662">
                  <c:v>231</c:v>
                </c:pt>
                <c:pt idx="663">
                  <c:v>130</c:v>
                </c:pt>
                <c:pt idx="664">
                  <c:v>125</c:v>
                </c:pt>
                <c:pt idx="665">
                  <c:v>#N/A</c:v>
                </c:pt>
                <c:pt idx="666">
                  <c:v>125</c:v>
                </c:pt>
                <c:pt idx="667">
                  <c:v>125</c:v>
                </c:pt>
                <c:pt idx="668">
                  <c:v>#N/A</c:v>
                </c:pt>
                <c:pt idx="669">
                  <c:v>#N/A</c:v>
                </c:pt>
                <c:pt idx="670">
                  <c:v>#N/A</c:v>
                </c:pt>
                <c:pt idx="671">
                  <c:v>#N/A</c:v>
                </c:pt>
                <c:pt idx="672">
                  <c:v>#N/A</c:v>
                </c:pt>
                <c:pt idx="673">
                  <c:v>#N/A</c:v>
                </c:pt>
                <c:pt idx="674">
                  <c:v>#N/A</c:v>
                </c:pt>
                <c:pt idx="675">
                  <c:v>125</c:v>
                </c:pt>
                <c:pt idx="676">
                  <c:v>125</c:v>
                </c:pt>
                <c:pt idx="677">
                  <c:v>#N/A</c:v>
                </c:pt>
                <c:pt idx="678">
                  <c:v>125</c:v>
                </c:pt>
                <c:pt idx="679">
                  <c:v>#N/A</c:v>
                </c:pt>
                <c:pt idx="680">
                  <c:v>#N/A</c:v>
                </c:pt>
                <c:pt idx="681">
                  <c:v>125</c:v>
                </c:pt>
                <c:pt idx="682">
                  <c:v>#N/A</c:v>
                </c:pt>
                <c:pt idx="683">
                  <c:v>125</c:v>
                </c:pt>
                <c:pt idx="684">
                  <c:v>#N/A</c:v>
                </c:pt>
                <c:pt idx="685">
                  <c:v>#N/A</c:v>
                </c:pt>
                <c:pt idx="686">
                  <c:v>#N/A</c:v>
                </c:pt>
                <c:pt idx="687">
                  <c:v>#N/A</c:v>
                </c:pt>
                <c:pt idx="688">
                  <c:v>#N/A</c:v>
                </c:pt>
                <c:pt idx="689">
                  <c:v>180</c:v>
                </c:pt>
                <c:pt idx="690">
                  <c:v>#N/A</c:v>
                </c:pt>
                <c:pt idx="691">
                  <c:v>125</c:v>
                </c:pt>
                <c:pt idx="692">
                  <c:v>#N/A</c:v>
                </c:pt>
                <c:pt idx="693">
                  <c:v>125</c:v>
                </c:pt>
                <c:pt idx="694">
                  <c:v>#N/A</c:v>
                </c:pt>
                <c:pt idx="695">
                  <c:v>480</c:v>
                </c:pt>
                <c:pt idx="696">
                  <c:v>125</c:v>
                </c:pt>
                <c:pt idx="697">
                  <c:v>#N/A</c:v>
                </c:pt>
                <c:pt idx="698">
                  <c:v>#N/A</c:v>
                </c:pt>
                <c:pt idx="699">
                  <c:v>#N/A</c:v>
                </c:pt>
                <c:pt idx="700">
                  <c:v>#N/A</c:v>
                </c:pt>
                <c:pt idx="701">
                  <c:v>125</c:v>
                </c:pt>
                <c:pt idx="702">
                  <c:v>125</c:v>
                </c:pt>
                <c:pt idx="703">
                  <c:v>#N/A</c:v>
                </c:pt>
                <c:pt idx="704">
                  <c:v>#N/A</c:v>
                </c:pt>
                <c:pt idx="705">
                  <c:v>#N/A</c:v>
                </c:pt>
                <c:pt idx="706">
                  <c:v>125</c:v>
                </c:pt>
                <c:pt idx="707">
                  <c:v>#N/A</c:v>
                </c:pt>
                <c:pt idx="708">
                  <c:v>125</c:v>
                </c:pt>
                <c:pt idx="709">
                  <c:v>160</c:v>
                </c:pt>
                <c:pt idx="710">
                  <c:v>#N/A</c:v>
                </c:pt>
                <c:pt idx="711">
                  <c:v>#N/A</c:v>
                </c:pt>
                <c:pt idx="712">
                  <c:v>125</c:v>
                </c:pt>
                <c:pt idx="713">
                  <c:v>#N/A</c:v>
                </c:pt>
                <c:pt idx="714">
                  <c:v>#N/A</c:v>
                </c:pt>
                <c:pt idx="715">
                  <c:v>392</c:v>
                </c:pt>
                <c:pt idx="716">
                  <c:v>185</c:v>
                </c:pt>
                <c:pt idx="717">
                  <c:v>#N/A</c:v>
                </c:pt>
                <c:pt idx="718">
                  <c:v>#N/A</c:v>
                </c:pt>
                <c:pt idx="719">
                  <c:v>125</c:v>
                </c:pt>
                <c:pt idx="720">
                  <c:v>#N/A</c:v>
                </c:pt>
                <c:pt idx="721">
                  <c:v>#N/A</c:v>
                </c:pt>
                <c:pt idx="722">
                  <c:v>127</c:v>
                </c:pt>
                <c:pt idx="723">
                  <c:v>#N/A</c:v>
                </c:pt>
                <c:pt idx="724">
                  <c:v>#N/A</c:v>
                </c:pt>
                <c:pt idx="725">
                  <c:v>#N/A</c:v>
                </c:pt>
                <c:pt idx="726">
                  <c:v>#N/A</c:v>
                </c:pt>
                <c:pt idx="727">
                  <c:v>#N/A</c:v>
                </c:pt>
                <c:pt idx="728">
                  <c:v>#N/A</c:v>
                </c:pt>
                <c:pt idx="729">
                  <c:v>#N/A</c:v>
                </c:pt>
                <c:pt idx="730">
                  <c:v>79</c:v>
                </c:pt>
                <c:pt idx="731">
                  <c:v>125</c:v>
                </c:pt>
                <c:pt idx="732">
                  <c:v>120</c:v>
                </c:pt>
                <c:pt idx="733">
                  <c:v>#N/A</c:v>
                </c:pt>
                <c:pt idx="734">
                  <c:v>#N/A</c:v>
                </c:pt>
                <c:pt idx="735">
                  <c:v>#N/A</c:v>
                </c:pt>
                <c:pt idx="736">
                  <c:v>#N/A</c:v>
                </c:pt>
                <c:pt idx="737">
                  <c:v>#N/A</c:v>
                </c:pt>
                <c:pt idx="738">
                  <c:v>#N/A</c:v>
                </c:pt>
                <c:pt idx="739">
                  <c:v>125</c:v>
                </c:pt>
                <c:pt idx="740">
                  <c:v>150</c:v>
                </c:pt>
                <c:pt idx="741">
                  <c:v>#N/A</c:v>
                </c:pt>
                <c:pt idx="742">
                  <c:v>#N/A</c:v>
                </c:pt>
                <c:pt idx="743">
                  <c:v>125</c:v>
                </c:pt>
                <c:pt idx="744">
                  <c:v>#N/A</c:v>
                </c:pt>
                <c:pt idx="745">
                  <c:v>#N/A</c:v>
                </c:pt>
                <c:pt idx="746">
                  <c:v>125</c:v>
                </c:pt>
                <c:pt idx="747">
                  <c:v>#N/A</c:v>
                </c:pt>
                <c:pt idx="748">
                  <c:v>200</c:v>
                </c:pt>
                <c:pt idx="749">
                  <c:v>125</c:v>
                </c:pt>
                <c:pt idx="750">
                  <c:v>125</c:v>
                </c:pt>
                <c:pt idx="751">
                  <c:v>#N/A</c:v>
                </c:pt>
                <c:pt idx="752">
                  <c:v>#N/A</c:v>
                </c:pt>
                <c:pt idx="753">
                  <c:v>510</c:v>
                </c:pt>
                <c:pt idx="754">
                  <c:v>125</c:v>
                </c:pt>
                <c:pt idx="755">
                  <c:v>110</c:v>
                </c:pt>
                <c:pt idx="756">
                  <c:v>#N/A</c:v>
                </c:pt>
                <c:pt idx="757">
                  <c:v>125</c:v>
                </c:pt>
                <c:pt idx="758">
                  <c:v>#N/A</c:v>
                </c:pt>
                <c:pt idx="759">
                  <c:v>125</c:v>
                </c:pt>
                <c:pt idx="760">
                  <c:v>#N/A</c:v>
                </c:pt>
                <c:pt idx="761">
                  <c:v>125</c:v>
                </c:pt>
                <c:pt idx="762">
                  <c:v>#N/A</c:v>
                </c:pt>
                <c:pt idx="763">
                  <c:v>#N/A</c:v>
                </c:pt>
                <c:pt idx="764">
                  <c:v>#N/A</c:v>
                </c:pt>
                <c:pt idx="765">
                  <c:v>#N/A</c:v>
                </c:pt>
                <c:pt idx="766">
                  <c:v>125</c:v>
                </c:pt>
                <c:pt idx="767">
                  <c:v>#N/A</c:v>
                </c:pt>
              </c:numCache>
            </c:numRef>
          </c:yVal>
          <c:smooth val="0"/>
          <c:extLst>
            <c:ext xmlns:c16="http://schemas.microsoft.com/office/drawing/2014/chart" uri="{C3380CC4-5D6E-409C-BE32-E72D297353CC}">
              <c16:uniqueId val="{00000001-0DDB-40B7-A87B-3D51357E9F30}"/>
            </c:ext>
          </c:extLst>
        </c:ser>
        <c:ser>
          <c:idx val="2"/>
          <c:order val="2"/>
          <c:spPr>
            <a:ln w="25400" cap="rnd">
              <a:noFill/>
              <a:round/>
            </a:ln>
            <a:effectLst/>
          </c:spPr>
          <c:marker>
            <c:symbol val="circle"/>
            <c:size val="5"/>
            <c:spPr>
              <a:solidFill>
                <a:schemeClr val="accent3"/>
              </a:solidFill>
              <a:ln w="9525">
                <a:solidFill>
                  <a:schemeClr val="accent3"/>
                </a:solidFill>
              </a:ln>
              <a:effectLst/>
            </c:spPr>
          </c:marker>
          <c:dPt>
            <c:idx val="1"/>
            <c:marker>
              <c:symbol val="circle"/>
              <c:size val="5"/>
              <c:spPr>
                <a:solidFill>
                  <a:schemeClr val="accent3"/>
                </a:solidFill>
                <a:ln w="9525">
                  <a:solidFill>
                    <a:schemeClr val="accent3"/>
                  </a:solidFill>
                </a:ln>
                <a:effectLst/>
              </c:spPr>
            </c:marker>
            <c:bubble3D val="0"/>
            <c:spPr>
              <a:ln w="25400" cap="rnd">
                <a:solidFill>
                  <a:schemeClr val="bg1">
                    <a:lumMod val="75000"/>
                  </a:schemeClr>
                </a:solidFill>
                <a:round/>
              </a:ln>
              <a:effectLst/>
            </c:spPr>
            <c:extLst>
              <c:ext xmlns:c16="http://schemas.microsoft.com/office/drawing/2014/chart" uri="{C3380CC4-5D6E-409C-BE32-E72D297353CC}">
                <c16:uniqueId val="{00000003-0DDB-40B7-A87B-3D51357E9F30}"/>
              </c:ext>
            </c:extLst>
          </c:dPt>
          <c:xVal>
            <c:numLit>
              <c:formatCode>General</c:formatCode>
              <c:ptCount val="2"/>
              <c:pt idx="0">
                <c:v>140</c:v>
              </c:pt>
              <c:pt idx="1">
                <c:v>140</c:v>
              </c:pt>
            </c:numLit>
          </c:xVal>
          <c:yVal>
            <c:numLit>
              <c:formatCode>General</c:formatCode>
              <c:ptCount val="2"/>
              <c:pt idx="0">
                <c:v>-10</c:v>
              </c:pt>
              <c:pt idx="1">
                <c:v>1000</c:v>
              </c:pt>
            </c:numLit>
          </c:yVal>
          <c:smooth val="0"/>
          <c:extLst>
            <c:ext xmlns:c16="http://schemas.microsoft.com/office/drawing/2014/chart" uri="{C3380CC4-5D6E-409C-BE32-E72D297353CC}">
              <c16:uniqueId val="{00000004-0DDB-40B7-A87B-3D51357E9F30}"/>
            </c:ext>
          </c:extLst>
        </c:ser>
        <c:ser>
          <c:idx val="3"/>
          <c:order val="3"/>
          <c:spPr>
            <a:ln w="25400" cap="rnd">
              <a:solidFill>
                <a:srgbClr val="FCB6B8"/>
              </a:solidFill>
              <a:round/>
            </a:ln>
            <a:effectLst/>
          </c:spPr>
          <c:marker>
            <c:symbol val="circle"/>
            <c:size val="5"/>
            <c:spPr>
              <a:solidFill>
                <a:schemeClr val="accent4"/>
              </a:solidFill>
              <a:ln w="9525">
                <a:solidFill>
                  <a:schemeClr val="accent4"/>
                </a:solidFill>
              </a:ln>
              <a:effectLst/>
            </c:spPr>
          </c:marker>
          <c:dPt>
            <c:idx val="1"/>
            <c:marker>
              <c:symbol val="circle"/>
              <c:size val="5"/>
              <c:spPr>
                <a:solidFill>
                  <a:schemeClr val="accent4"/>
                </a:solidFill>
                <a:ln w="9525">
                  <a:solidFill>
                    <a:schemeClr val="accent4"/>
                  </a:solidFill>
                </a:ln>
                <a:effectLst/>
              </c:spPr>
            </c:marker>
            <c:bubble3D val="0"/>
            <c:spPr>
              <a:ln w="25400" cap="rnd">
                <a:solidFill>
                  <a:schemeClr val="bg1">
                    <a:lumMod val="75000"/>
                  </a:schemeClr>
                </a:solidFill>
                <a:round/>
              </a:ln>
              <a:effectLst/>
            </c:spPr>
            <c:extLst>
              <c:ext xmlns:c16="http://schemas.microsoft.com/office/drawing/2014/chart" uri="{C3380CC4-5D6E-409C-BE32-E72D297353CC}">
                <c16:uniqueId val="{00000006-0DDB-40B7-A87B-3D51357E9F30}"/>
              </c:ext>
            </c:extLst>
          </c:dPt>
          <c:xVal>
            <c:numLit>
              <c:formatCode>General</c:formatCode>
              <c:ptCount val="2"/>
              <c:pt idx="0">
                <c:v>-10</c:v>
              </c:pt>
              <c:pt idx="1">
                <c:v>300</c:v>
              </c:pt>
            </c:numLit>
          </c:xVal>
          <c:yVal>
            <c:numLit>
              <c:formatCode>General</c:formatCode>
              <c:ptCount val="2"/>
              <c:pt idx="0">
                <c:v>166</c:v>
              </c:pt>
              <c:pt idx="1">
                <c:v>166</c:v>
              </c:pt>
            </c:numLit>
          </c:yVal>
          <c:smooth val="0"/>
          <c:extLst>
            <c:ext xmlns:c16="http://schemas.microsoft.com/office/drawing/2014/chart" uri="{C3380CC4-5D6E-409C-BE32-E72D297353CC}">
              <c16:uniqueId val="{00000007-0DDB-40B7-A87B-3D51357E9F30}"/>
            </c:ext>
          </c:extLst>
        </c:ser>
        <c:dLbls>
          <c:showLegendKey val="0"/>
          <c:showVal val="0"/>
          <c:showCatName val="0"/>
          <c:showSerName val="0"/>
          <c:showPercent val="0"/>
          <c:showBubbleSize val="0"/>
        </c:dLbls>
        <c:axId val="571894127"/>
        <c:axId val="571891175"/>
      </c:scatterChart>
      <c:valAx>
        <c:axId val="571894127"/>
        <c:scaling>
          <c:orientation val="minMax"/>
          <c:max val="25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Glucose</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571891175"/>
        <c:crosses val="autoZero"/>
        <c:crossBetween val="midCat"/>
      </c:valAx>
      <c:valAx>
        <c:axId val="571891175"/>
        <c:scaling>
          <c:orientation val="minMax"/>
          <c:max val="6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Insulin</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57189412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Skin Thickness vs BMI</a:t>
            </a:r>
            <a:endParaRPr lang="en-SG">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diabetes!$R$2:$R$769</c:f>
              <c:numCache>
                <c:formatCode>General</c:formatCode>
                <c:ptCount val="768"/>
                <c:pt idx="0">
                  <c:v>#N/A</c:v>
                </c:pt>
                <c:pt idx="1">
                  <c:v>29</c:v>
                </c:pt>
                <c:pt idx="2">
                  <c:v>#N/A</c:v>
                </c:pt>
                <c:pt idx="3">
                  <c:v>23</c:v>
                </c:pt>
                <c:pt idx="4">
                  <c:v>#N/A</c:v>
                </c:pt>
                <c:pt idx="5">
                  <c:v>29</c:v>
                </c:pt>
                <c:pt idx="6">
                  <c:v>#N/A</c:v>
                </c:pt>
                <c:pt idx="7">
                  <c:v>29</c:v>
                </c:pt>
                <c:pt idx="8">
                  <c:v>#N/A</c:v>
                </c:pt>
                <c:pt idx="9">
                  <c:v>#N/A</c:v>
                </c:pt>
                <c:pt idx="10">
                  <c:v>29</c:v>
                </c:pt>
                <c:pt idx="11">
                  <c:v>#N/A</c:v>
                </c:pt>
                <c:pt idx="12">
                  <c:v>29</c:v>
                </c:pt>
                <c:pt idx="13">
                  <c:v>#N/A</c:v>
                </c:pt>
                <c:pt idx="14">
                  <c:v>#N/A</c:v>
                </c:pt>
                <c:pt idx="15">
                  <c:v>#N/A</c:v>
                </c:pt>
                <c:pt idx="16">
                  <c:v>#N/A</c:v>
                </c:pt>
                <c:pt idx="17">
                  <c:v>#N/A</c:v>
                </c:pt>
                <c:pt idx="18">
                  <c:v>38</c:v>
                </c:pt>
                <c:pt idx="19">
                  <c:v>#N/A</c:v>
                </c:pt>
                <c:pt idx="20">
                  <c:v>41</c:v>
                </c:pt>
                <c:pt idx="21">
                  <c:v>29</c:v>
                </c:pt>
                <c:pt idx="22">
                  <c:v>#N/A</c:v>
                </c:pt>
                <c:pt idx="23">
                  <c:v>#N/A</c:v>
                </c:pt>
                <c:pt idx="24">
                  <c:v>#N/A</c:v>
                </c:pt>
                <c:pt idx="25">
                  <c:v>#N/A</c:v>
                </c:pt>
                <c:pt idx="26">
                  <c:v>#N/A</c:v>
                </c:pt>
                <c:pt idx="27">
                  <c:v>15</c:v>
                </c:pt>
                <c:pt idx="28">
                  <c:v>19</c:v>
                </c:pt>
                <c:pt idx="29">
                  <c:v>29</c:v>
                </c:pt>
                <c:pt idx="30">
                  <c:v>26</c:v>
                </c:pt>
                <c:pt idx="31">
                  <c:v>#N/A</c:v>
                </c:pt>
                <c:pt idx="32">
                  <c:v>11</c:v>
                </c:pt>
                <c:pt idx="33">
                  <c:v>29</c:v>
                </c:pt>
                <c:pt idx="34">
                  <c:v>31</c:v>
                </c:pt>
                <c:pt idx="35">
                  <c:v>33</c:v>
                </c:pt>
                <c:pt idx="36">
                  <c:v>29</c:v>
                </c:pt>
                <c:pt idx="37">
                  <c:v>#N/A</c:v>
                </c:pt>
                <c:pt idx="38">
                  <c:v>#N/A</c:v>
                </c:pt>
                <c:pt idx="39">
                  <c:v>#N/A</c:v>
                </c:pt>
                <c:pt idx="40">
                  <c:v>25</c:v>
                </c:pt>
                <c:pt idx="41">
                  <c:v>29</c:v>
                </c:pt>
                <c:pt idx="42">
                  <c:v>18</c:v>
                </c:pt>
                <c:pt idx="43">
                  <c:v>#N/A</c:v>
                </c:pt>
                <c:pt idx="44">
                  <c:v>29</c:v>
                </c:pt>
                <c:pt idx="45">
                  <c:v>#N/A</c:v>
                </c:pt>
                <c:pt idx="46">
                  <c:v>29</c:v>
                </c:pt>
                <c:pt idx="47">
                  <c:v>27</c:v>
                </c:pt>
                <c:pt idx="48">
                  <c:v>#N/A</c:v>
                </c:pt>
                <c:pt idx="49">
                  <c:v>29</c:v>
                </c:pt>
                <c:pt idx="50">
                  <c:v>11</c:v>
                </c:pt>
                <c:pt idx="51">
                  <c:v>15</c:v>
                </c:pt>
                <c:pt idx="52">
                  <c:v>21</c:v>
                </c:pt>
                <c:pt idx="53">
                  <c:v>#N/A</c:v>
                </c:pt>
                <c:pt idx="54">
                  <c:v>42</c:v>
                </c:pt>
                <c:pt idx="55">
                  <c:v>10</c:v>
                </c:pt>
                <c:pt idx="56">
                  <c:v>#N/A</c:v>
                </c:pt>
                <c:pt idx="57">
                  <c:v>60</c:v>
                </c:pt>
                <c:pt idx="58">
                  <c:v>29</c:v>
                </c:pt>
                <c:pt idx="59">
                  <c:v>41</c:v>
                </c:pt>
                <c:pt idx="60">
                  <c:v>29</c:v>
                </c:pt>
                <c:pt idx="61">
                  <c:v>#N/A</c:v>
                </c:pt>
                <c:pt idx="62">
                  <c:v>29</c:v>
                </c:pt>
                <c:pt idx="63">
                  <c:v>34</c:v>
                </c:pt>
                <c:pt idx="64">
                  <c:v>#N/A</c:v>
                </c:pt>
                <c:pt idx="65">
                  <c:v>27</c:v>
                </c:pt>
                <c:pt idx="66">
                  <c:v>#N/A</c:v>
                </c:pt>
                <c:pt idx="67">
                  <c:v>29</c:v>
                </c:pt>
                <c:pt idx="68">
                  <c:v>13</c:v>
                </c:pt>
                <c:pt idx="69">
                  <c:v>27</c:v>
                </c:pt>
                <c:pt idx="70">
                  <c:v>#N/A</c:v>
                </c:pt>
                <c:pt idx="71">
                  <c:v>35</c:v>
                </c:pt>
                <c:pt idx="72">
                  <c:v>#N/A</c:v>
                </c:pt>
                <c:pt idx="73">
                  <c:v>20</c:v>
                </c:pt>
                <c:pt idx="74">
                  <c:v>30</c:v>
                </c:pt>
                <c:pt idx="75">
                  <c:v>20</c:v>
                </c:pt>
                <c:pt idx="76">
                  <c:v>29</c:v>
                </c:pt>
                <c:pt idx="77">
                  <c:v>33</c:v>
                </c:pt>
                <c:pt idx="78">
                  <c:v>#N/A</c:v>
                </c:pt>
                <c:pt idx="79">
                  <c:v>22</c:v>
                </c:pt>
                <c:pt idx="80">
                  <c:v>13</c:v>
                </c:pt>
                <c:pt idx="81">
                  <c:v>29</c:v>
                </c:pt>
                <c:pt idx="82">
                  <c:v>26</c:v>
                </c:pt>
                <c:pt idx="83">
                  <c:v>28</c:v>
                </c:pt>
                <c:pt idx="84">
                  <c:v>#N/A</c:v>
                </c:pt>
                <c:pt idx="85">
                  <c:v>29</c:v>
                </c:pt>
                <c:pt idx="86">
                  <c:v>54</c:v>
                </c:pt>
                <c:pt idx="87">
                  <c:v>25</c:v>
                </c:pt>
                <c:pt idx="88">
                  <c:v>#N/A</c:v>
                </c:pt>
                <c:pt idx="89">
                  <c:v>19</c:v>
                </c:pt>
                <c:pt idx="90">
                  <c:v>29</c:v>
                </c:pt>
                <c:pt idx="91">
                  <c:v>15</c:v>
                </c:pt>
                <c:pt idx="92">
                  <c:v>40</c:v>
                </c:pt>
                <c:pt idx="93">
                  <c:v>#N/A</c:v>
                </c:pt>
                <c:pt idx="94">
                  <c:v>18</c:v>
                </c:pt>
                <c:pt idx="95">
                  <c:v>27</c:v>
                </c:pt>
                <c:pt idx="96">
                  <c:v>28</c:v>
                </c:pt>
                <c:pt idx="97">
                  <c:v>18</c:v>
                </c:pt>
                <c:pt idx="98">
                  <c:v>30</c:v>
                </c:pt>
                <c:pt idx="99">
                  <c:v>#N/A</c:v>
                </c:pt>
                <c:pt idx="100">
                  <c:v>#N/A</c:v>
                </c:pt>
                <c:pt idx="101">
                  <c:v>29</c:v>
                </c:pt>
                <c:pt idx="102">
                  <c:v>29</c:v>
                </c:pt>
                <c:pt idx="103">
                  <c:v>18</c:v>
                </c:pt>
                <c:pt idx="104">
                  <c:v>29</c:v>
                </c:pt>
                <c:pt idx="105">
                  <c:v>29</c:v>
                </c:pt>
                <c:pt idx="106">
                  <c:v>29</c:v>
                </c:pt>
                <c:pt idx="107">
                  <c:v>28</c:v>
                </c:pt>
                <c:pt idx="108">
                  <c:v>31</c:v>
                </c:pt>
                <c:pt idx="109">
                  <c:v>#N/A</c:v>
                </c:pt>
                <c:pt idx="110">
                  <c:v>#N/A</c:v>
                </c:pt>
                <c:pt idx="111">
                  <c:v>#N/A</c:v>
                </c:pt>
                <c:pt idx="112">
                  <c:v>34</c:v>
                </c:pt>
                <c:pt idx="113">
                  <c:v>29</c:v>
                </c:pt>
                <c:pt idx="114">
                  <c:v>#N/A</c:v>
                </c:pt>
                <c:pt idx="115">
                  <c:v>#N/A</c:v>
                </c:pt>
                <c:pt idx="116">
                  <c:v>#N/A</c:v>
                </c:pt>
                <c:pt idx="117">
                  <c:v>29</c:v>
                </c:pt>
                <c:pt idx="118">
                  <c:v>23</c:v>
                </c:pt>
                <c:pt idx="119">
                  <c:v>15</c:v>
                </c:pt>
                <c:pt idx="120">
                  <c:v>#N/A</c:v>
                </c:pt>
                <c:pt idx="121">
                  <c:v>39</c:v>
                </c:pt>
                <c:pt idx="122">
                  <c:v>30</c:v>
                </c:pt>
                <c:pt idx="123">
                  <c:v>29</c:v>
                </c:pt>
                <c:pt idx="124">
                  <c:v>#N/A</c:v>
                </c:pt>
                <c:pt idx="125">
                  <c:v>#N/A</c:v>
                </c:pt>
                <c:pt idx="126">
                  <c:v>30</c:v>
                </c:pt>
                <c:pt idx="127">
                  <c:v>36</c:v>
                </c:pt>
                <c:pt idx="128">
                  <c:v>#N/A</c:v>
                </c:pt>
                <c:pt idx="129">
                  <c:v>#N/A</c:v>
                </c:pt>
                <c:pt idx="130">
                  <c:v>#N/A</c:v>
                </c:pt>
                <c:pt idx="131">
                  <c:v>#N/A</c:v>
                </c:pt>
                <c:pt idx="132">
                  <c:v>#N/A</c:v>
                </c:pt>
                <c:pt idx="133">
                  <c:v>31</c:v>
                </c:pt>
                <c:pt idx="134">
                  <c:v>13</c:v>
                </c:pt>
                <c:pt idx="135">
                  <c:v>20</c:v>
                </c:pt>
                <c:pt idx="136">
                  <c:v>26</c:v>
                </c:pt>
                <c:pt idx="137">
                  <c:v>25</c:v>
                </c:pt>
                <c:pt idx="138">
                  <c:v>29</c:v>
                </c:pt>
                <c:pt idx="139">
                  <c:v>29</c:v>
                </c:pt>
                <c:pt idx="140">
                  <c:v>29</c:v>
                </c:pt>
                <c:pt idx="141">
                  <c:v>30</c:v>
                </c:pt>
                <c:pt idx="142">
                  <c:v>26</c:v>
                </c:pt>
                <c:pt idx="143">
                  <c:v>#N/A</c:v>
                </c:pt>
                <c:pt idx="144">
                  <c:v>31</c:v>
                </c:pt>
                <c:pt idx="145">
                  <c:v>23</c:v>
                </c:pt>
                <c:pt idx="146">
                  <c:v>37</c:v>
                </c:pt>
                <c:pt idx="147">
                  <c:v>35</c:v>
                </c:pt>
                <c:pt idx="148">
                  <c:v>29</c:v>
                </c:pt>
                <c:pt idx="149">
                  <c:v>17</c:v>
                </c:pt>
                <c:pt idx="150">
                  <c:v>50</c:v>
                </c:pt>
                <c:pt idx="151">
                  <c:v>29</c:v>
                </c:pt>
                <c:pt idx="152">
                  <c:v>#N/A</c:v>
                </c:pt>
                <c:pt idx="153">
                  <c:v>42</c:v>
                </c:pt>
                <c:pt idx="154">
                  <c:v>#N/A</c:v>
                </c:pt>
                <c:pt idx="155">
                  <c:v>#N/A</c:v>
                </c:pt>
                <c:pt idx="156">
                  <c:v>15</c:v>
                </c:pt>
                <c:pt idx="157">
                  <c:v>21</c:v>
                </c:pt>
                <c:pt idx="158">
                  <c:v>19</c:v>
                </c:pt>
                <c:pt idx="159">
                  <c:v>#N/A</c:v>
                </c:pt>
                <c:pt idx="160">
                  <c:v>38</c:v>
                </c:pt>
                <c:pt idx="161">
                  <c:v>40</c:v>
                </c:pt>
                <c:pt idx="162">
                  <c:v>34</c:v>
                </c:pt>
                <c:pt idx="163">
                  <c:v>23</c:v>
                </c:pt>
                <c:pt idx="164">
                  <c:v>#N/A</c:v>
                </c:pt>
                <c:pt idx="165">
                  <c:v>#N/A</c:v>
                </c:pt>
                <c:pt idx="166">
                  <c:v>25</c:v>
                </c:pt>
                <c:pt idx="167">
                  <c:v>29</c:v>
                </c:pt>
                <c:pt idx="168">
                  <c:v>29</c:v>
                </c:pt>
                <c:pt idx="169">
                  <c:v>12</c:v>
                </c:pt>
                <c:pt idx="170">
                  <c:v>#N/A</c:v>
                </c:pt>
                <c:pt idx="171">
                  <c:v>#N/A</c:v>
                </c:pt>
                <c:pt idx="172">
                  <c:v>23</c:v>
                </c:pt>
                <c:pt idx="173">
                  <c:v>42</c:v>
                </c:pt>
                <c:pt idx="174">
                  <c:v>24</c:v>
                </c:pt>
                <c:pt idx="175">
                  <c:v>#N/A</c:v>
                </c:pt>
                <c:pt idx="176">
                  <c:v>29</c:v>
                </c:pt>
                <c:pt idx="177">
                  <c:v>#N/A</c:v>
                </c:pt>
                <c:pt idx="178">
                  <c:v>29</c:v>
                </c:pt>
                <c:pt idx="179">
                  <c:v>#N/A</c:v>
                </c:pt>
                <c:pt idx="180">
                  <c:v>29</c:v>
                </c:pt>
                <c:pt idx="181">
                  <c:v>18</c:v>
                </c:pt>
                <c:pt idx="182">
                  <c:v>20</c:v>
                </c:pt>
                <c:pt idx="183">
                  <c:v>29</c:v>
                </c:pt>
                <c:pt idx="184">
                  <c:v>29</c:v>
                </c:pt>
                <c:pt idx="185">
                  <c:v>#N/A</c:v>
                </c:pt>
                <c:pt idx="186">
                  <c:v>#N/A</c:v>
                </c:pt>
                <c:pt idx="187">
                  <c:v>#N/A</c:v>
                </c:pt>
                <c:pt idx="188">
                  <c:v>#N/A</c:v>
                </c:pt>
                <c:pt idx="189">
                  <c:v>#N/A</c:v>
                </c:pt>
                <c:pt idx="190">
                  <c:v>29</c:v>
                </c:pt>
                <c:pt idx="191">
                  <c:v>44</c:v>
                </c:pt>
                <c:pt idx="192">
                  <c:v>#N/A</c:v>
                </c:pt>
                <c:pt idx="193">
                  <c:v>#N/A</c:v>
                </c:pt>
                <c:pt idx="194">
                  <c:v>20</c:v>
                </c:pt>
                <c:pt idx="195">
                  <c:v>#N/A</c:v>
                </c:pt>
                <c:pt idx="196">
                  <c:v>29</c:v>
                </c:pt>
                <c:pt idx="197">
                  <c:v>#N/A</c:v>
                </c:pt>
                <c:pt idx="198">
                  <c:v>#N/A</c:v>
                </c:pt>
                <c:pt idx="199">
                  <c:v>#N/A</c:v>
                </c:pt>
                <c:pt idx="200">
                  <c:v>16</c:v>
                </c:pt>
                <c:pt idx="201">
                  <c:v>29</c:v>
                </c:pt>
                <c:pt idx="202">
                  <c:v>20</c:v>
                </c:pt>
                <c:pt idx="203">
                  <c:v>16</c:v>
                </c:pt>
                <c:pt idx="204">
                  <c:v>32</c:v>
                </c:pt>
                <c:pt idx="205">
                  <c:v>28</c:v>
                </c:pt>
                <c:pt idx="206">
                  <c:v>#N/A</c:v>
                </c:pt>
                <c:pt idx="207">
                  <c:v>#N/A</c:v>
                </c:pt>
                <c:pt idx="208">
                  <c:v>27</c:v>
                </c:pt>
                <c:pt idx="209">
                  <c:v>#N/A</c:v>
                </c:pt>
                <c:pt idx="210">
                  <c:v>22</c:v>
                </c:pt>
                <c:pt idx="211">
                  <c:v>54</c:v>
                </c:pt>
                <c:pt idx="212">
                  <c:v>31</c:v>
                </c:pt>
                <c:pt idx="213">
                  <c:v>#N/A</c:v>
                </c:pt>
                <c:pt idx="214">
                  <c:v>#N/A</c:v>
                </c:pt>
                <c:pt idx="215">
                  <c:v>#N/A</c:v>
                </c:pt>
                <c:pt idx="216">
                  <c:v>#N/A</c:v>
                </c:pt>
                <c:pt idx="217">
                  <c:v>30</c:v>
                </c:pt>
                <c:pt idx="218">
                  <c:v>#N/A</c:v>
                </c:pt>
                <c:pt idx="219">
                  <c:v>#N/A</c:v>
                </c:pt>
                <c:pt idx="220">
                  <c:v>#N/A</c:v>
                </c:pt>
                <c:pt idx="221">
                  <c:v>#N/A</c:v>
                </c:pt>
                <c:pt idx="222">
                  <c:v>29</c:v>
                </c:pt>
                <c:pt idx="223">
                  <c:v>33</c:v>
                </c:pt>
                <c:pt idx="224">
                  <c:v>15</c:v>
                </c:pt>
                <c:pt idx="225">
                  <c:v>27</c:v>
                </c:pt>
                <c:pt idx="226">
                  <c:v>29</c:v>
                </c:pt>
                <c:pt idx="227">
                  <c:v>#N/A</c:v>
                </c:pt>
                <c:pt idx="228">
                  <c:v>39</c:v>
                </c:pt>
                <c:pt idx="229">
                  <c:v>31</c:v>
                </c:pt>
                <c:pt idx="230">
                  <c:v>#N/A</c:v>
                </c:pt>
                <c:pt idx="231">
                  <c:v>#N/A</c:v>
                </c:pt>
                <c:pt idx="232">
                  <c:v>25</c:v>
                </c:pt>
                <c:pt idx="233">
                  <c:v>29</c:v>
                </c:pt>
                <c:pt idx="234">
                  <c:v>28</c:v>
                </c:pt>
                <c:pt idx="235">
                  <c:v>#N/A</c:v>
                </c:pt>
                <c:pt idx="236">
                  <c:v>#N/A</c:v>
                </c:pt>
                <c:pt idx="237">
                  <c:v>#N/A</c:v>
                </c:pt>
                <c:pt idx="238">
                  <c:v>#N/A</c:v>
                </c:pt>
                <c:pt idx="239">
                  <c:v>29</c:v>
                </c:pt>
                <c:pt idx="240">
                  <c:v>24</c:v>
                </c:pt>
                <c:pt idx="241">
                  <c:v>32</c:v>
                </c:pt>
                <c:pt idx="242">
                  <c:v>#N/A</c:v>
                </c:pt>
                <c:pt idx="243">
                  <c:v>#N/A</c:v>
                </c:pt>
                <c:pt idx="244">
                  <c:v>35</c:v>
                </c:pt>
                <c:pt idx="245">
                  <c:v>#N/A</c:v>
                </c:pt>
                <c:pt idx="246">
                  <c:v>29</c:v>
                </c:pt>
                <c:pt idx="247">
                  <c:v>33</c:v>
                </c:pt>
                <c:pt idx="248">
                  <c:v>33</c:v>
                </c:pt>
                <c:pt idx="249">
                  <c:v>19</c:v>
                </c:pt>
                <c:pt idx="250">
                  <c:v>29</c:v>
                </c:pt>
                <c:pt idx="251">
                  <c:v>29</c:v>
                </c:pt>
                <c:pt idx="252">
                  <c:v>14</c:v>
                </c:pt>
                <c:pt idx="253">
                  <c:v>32</c:v>
                </c:pt>
                <c:pt idx="254">
                  <c:v>#N/A</c:v>
                </c:pt>
                <c:pt idx="255">
                  <c:v>#N/A</c:v>
                </c:pt>
                <c:pt idx="256">
                  <c:v>39</c:v>
                </c:pt>
                <c:pt idx="257">
                  <c:v>22</c:v>
                </c:pt>
                <c:pt idx="258">
                  <c:v>16</c:v>
                </c:pt>
                <c:pt idx="259">
                  <c:v>#N/A</c:v>
                </c:pt>
                <c:pt idx="260">
                  <c:v>15</c:v>
                </c:pt>
                <c:pt idx="261">
                  <c:v>#N/A</c:v>
                </c:pt>
                <c:pt idx="262">
                  <c:v>32</c:v>
                </c:pt>
                <c:pt idx="263">
                  <c:v>15</c:v>
                </c:pt>
                <c:pt idx="264">
                  <c:v>#N/A</c:v>
                </c:pt>
                <c:pt idx="265">
                  <c:v>18</c:v>
                </c:pt>
                <c:pt idx="266">
                  <c:v>#N/A</c:v>
                </c:pt>
                <c:pt idx="267">
                  <c:v>42</c:v>
                </c:pt>
                <c:pt idx="268">
                  <c:v>29</c:v>
                </c:pt>
                <c:pt idx="269">
                  <c:v>#N/A</c:v>
                </c:pt>
                <c:pt idx="270">
                  <c:v>#N/A</c:v>
                </c:pt>
                <c:pt idx="271">
                  <c:v>32</c:v>
                </c:pt>
                <c:pt idx="272">
                  <c:v>29</c:v>
                </c:pt>
                <c:pt idx="273">
                  <c:v>50</c:v>
                </c:pt>
                <c:pt idx="274">
                  <c:v>29</c:v>
                </c:pt>
                <c:pt idx="275">
                  <c:v>52</c:v>
                </c:pt>
                <c:pt idx="276">
                  <c:v>#N/A</c:v>
                </c:pt>
                <c:pt idx="277">
                  <c:v>23</c:v>
                </c:pt>
                <c:pt idx="278">
                  <c:v>29</c:v>
                </c:pt>
                <c:pt idx="279">
                  <c:v>10</c:v>
                </c:pt>
                <c:pt idx="280">
                  <c:v>#N/A</c:v>
                </c:pt>
                <c:pt idx="281">
                  <c:v>28</c:v>
                </c:pt>
                <c:pt idx="282">
                  <c:v>15</c:v>
                </c:pt>
                <c:pt idx="283">
                  <c:v>#N/A</c:v>
                </c:pt>
                <c:pt idx="284">
                  <c:v>#N/A</c:v>
                </c:pt>
                <c:pt idx="285">
                  <c:v>26</c:v>
                </c:pt>
                <c:pt idx="286">
                  <c:v>44</c:v>
                </c:pt>
                <c:pt idx="287">
                  <c:v>#N/A</c:v>
                </c:pt>
                <c:pt idx="288">
                  <c:v>17</c:v>
                </c:pt>
                <c:pt idx="289">
                  <c:v>43</c:v>
                </c:pt>
                <c:pt idx="290">
                  <c:v>29</c:v>
                </c:pt>
                <c:pt idx="291">
                  <c:v>#N/A</c:v>
                </c:pt>
                <c:pt idx="292">
                  <c:v>#N/A</c:v>
                </c:pt>
                <c:pt idx="293">
                  <c:v>#N/A</c:v>
                </c:pt>
                <c:pt idx="294">
                  <c:v>29</c:v>
                </c:pt>
                <c:pt idx="295">
                  <c:v>31</c:v>
                </c:pt>
                <c:pt idx="296">
                  <c:v>#N/A</c:v>
                </c:pt>
                <c:pt idx="297">
                  <c:v>29</c:v>
                </c:pt>
                <c:pt idx="298">
                  <c:v>#N/A</c:v>
                </c:pt>
                <c:pt idx="299">
                  <c:v>29</c:v>
                </c:pt>
                <c:pt idx="300">
                  <c:v>#N/A</c:v>
                </c:pt>
                <c:pt idx="301">
                  <c:v>#N/A</c:v>
                </c:pt>
                <c:pt idx="302">
                  <c:v>41</c:v>
                </c:pt>
                <c:pt idx="303">
                  <c:v>#N/A</c:v>
                </c:pt>
                <c:pt idx="304">
                  <c:v>29</c:v>
                </c:pt>
                <c:pt idx="305">
                  <c:v>37</c:v>
                </c:pt>
                <c:pt idx="306">
                  <c:v>#N/A</c:v>
                </c:pt>
                <c:pt idx="307">
                  <c:v>14</c:v>
                </c:pt>
                <c:pt idx="308">
                  <c:v>#N/A</c:v>
                </c:pt>
                <c:pt idx="309">
                  <c:v>#N/A</c:v>
                </c:pt>
                <c:pt idx="310">
                  <c:v>30</c:v>
                </c:pt>
                <c:pt idx="311">
                  <c:v>37</c:v>
                </c:pt>
                <c:pt idx="312">
                  <c:v>#N/A</c:v>
                </c:pt>
                <c:pt idx="313">
                  <c:v>10</c:v>
                </c:pt>
                <c:pt idx="314">
                  <c:v>#N/A</c:v>
                </c:pt>
                <c:pt idx="315">
                  <c:v>22</c:v>
                </c:pt>
                <c:pt idx="316">
                  <c:v>11</c:v>
                </c:pt>
                <c:pt idx="317">
                  <c:v>#N/A</c:v>
                </c:pt>
                <c:pt idx="318">
                  <c:v>39</c:v>
                </c:pt>
                <c:pt idx="319">
                  <c:v>#N/A</c:v>
                </c:pt>
                <c:pt idx="320">
                  <c:v>12</c:v>
                </c:pt>
                <c:pt idx="321">
                  <c:v>#N/A</c:v>
                </c:pt>
                <c:pt idx="322">
                  <c:v>#N/A</c:v>
                </c:pt>
                <c:pt idx="323">
                  <c:v>#N/A</c:v>
                </c:pt>
                <c:pt idx="324">
                  <c:v>32</c:v>
                </c:pt>
                <c:pt idx="325">
                  <c:v>21</c:v>
                </c:pt>
                <c:pt idx="326">
                  <c:v>#N/A</c:v>
                </c:pt>
                <c:pt idx="327">
                  <c:v>29</c:v>
                </c:pt>
                <c:pt idx="328">
                  <c:v>#N/A</c:v>
                </c:pt>
                <c:pt idx="329">
                  <c:v>32</c:v>
                </c:pt>
                <c:pt idx="330">
                  <c:v>19</c:v>
                </c:pt>
                <c:pt idx="331">
                  <c:v>16</c:v>
                </c:pt>
                <c:pt idx="332">
                  <c:v>#N/A</c:v>
                </c:pt>
                <c:pt idx="333">
                  <c:v>29</c:v>
                </c:pt>
                <c:pt idx="334">
                  <c:v>18</c:v>
                </c:pt>
                <c:pt idx="335">
                  <c:v>43</c:v>
                </c:pt>
                <c:pt idx="336">
                  <c:v>29</c:v>
                </c:pt>
                <c:pt idx="337">
                  <c:v>#N/A</c:v>
                </c:pt>
                <c:pt idx="338">
                  <c:v>#N/A</c:v>
                </c:pt>
                <c:pt idx="339">
                  <c:v>#N/A</c:v>
                </c:pt>
                <c:pt idx="340">
                  <c:v>13</c:v>
                </c:pt>
                <c:pt idx="341">
                  <c:v>21</c:v>
                </c:pt>
                <c:pt idx="342">
                  <c:v>35</c:v>
                </c:pt>
                <c:pt idx="343">
                  <c:v>29</c:v>
                </c:pt>
                <c:pt idx="344">
                  <c:v>29</c:v>
                </c:pt>
                <c:pt idx="345">
                  <c:v>36</c:v>
                </c:pt>
                <c:pt idx="346">
                  <c:v>19</c:v>
                </c:pt>
                <c:pt idx="347">
                  <c:v>29</c:v>
                </c:pt>
                <c:pt idx="348">
                  <c:v>19</c:v>
                </c:pt>
                <c:pt idx="349">
                  <c:v>#N/A</c:v>
                </c:pt>
                <c:pt idx="350">
                  <c:v>29</c:v>
                </c:pt>
                <c:pt idx="351">
                  <c:v>29</c:v>
                </c:pt>
                <c:pt idx="352">
                  <c:v>28</c:v>
                </c:pt>
                <c:pt idx="353">
                  <c:v>12</c:v>
                </c:pt>
                <c:pt idx="354">
                  <c:v>29</c:v>
                </c:pt>
                <c:pt idx="355">
                  <c:v>#N/A</c:v>
                </c:pt>
                <c:pt idx="356">
                  <c:v>#N/A</c:v>
                </c:pt>
                <c:pt idx="357">
                  <c:v>#N/A</c:v>
                </c:pt>
                <c:pt idx="358">
                  <c:v>40</c:v>
                </c:pt>
                <c:pt idx="359">
                  <c:v>#N/A</c:v>
                </c:pt>
                <c:pt idx="360">
                  <c:v>#N/A</c:v>
                </c:pt>
                <c:pt idx="361">
                  <c:v>29</c:v>
                </c:pt>
                <c:pt idx="362">
                  <c:v>37</c:v>
                </c:pt>
                <c:pt idx="363">
                  <c:v>#N/A</c:v>
                </c:pt>
                <c:pt idx="364">
                  <c:v>25</c:v>
                </c:pt>
                <c:pt idx="365">
                  <c:v>28</c:v>
                </c:pt>
                <c:pt idx="366">
                  <c:v>#N/A</c:v>
                </c:pt>
                <c:pt idx="367">
                  <c:v>17</c:v>
                </c:pt>
                <c:pt idx="368">
                  <c:v>16</c:v>
                </c:pt>
                <c:pt idx="369">
                  <c:v>#N/A</c:v>
                </c:pt>
                <c:pt idx="370">
                  <c:v>#N/A</c:v>
                </c:pt>
                <c:pt idx="371">
                  <c:v>23</c:v>
                </c:pt>
                <c:pt idx="372">
                  <c:v>22</c:v>
                </c:pt>
                <c:pt idx="373">
                  <c:v>40</c:v>
                </c:pt>
                <c:pt idx="374">
                  <c:v>43</c:v>
                </c:pt>
                <c:pt idx="375">
                  <c:v>#N/A</c:v>
                </c:pt>
                <c:pt idx="376">
                  <c:v>15</c:v>
                </c:pt>
                <c:pt idx="377">
                  <c:v>37</c:v>
                </c:pt>
                <c:pt idx="378">
                  <c:v>#N/A</c:v>
                </c:pt>
                <c:pt idx="379">
                  <c:v>39</c:v>
                </c:pt>
                <c:pt idx="380">
                  <c:v>30</c:v>
                </c:pt>
                <c:pt idx="381">
                  <c:v>22</c:v>
                </c:pt>
                <c:pt idx="382">
                  <c:v>8</c:v>
                </c:pt>
                <c:pt idx="383">
                  <c:v>18</c:v>
                </c:pt>
                <c:pt idx="384">
                  <c:v>24</c:v>
                </c:pt>
                <c:pt idx="385">
                  <c:v>13</c:v>
                </c:pt>
                <c:pt idx="386">
                  <c:v>#N/A</c:v>
                </c:pt>
                <c:pt idx="387">
                  <c:v>#N/A</c:v>
                </c:pt>
                <c:pt idx="388">
                  <c:v>#N/A</c:v>
                </c:pt>
                <c:pt idx="389">
                  <c:v>23</c:v>
                </c:pt>
                <c:pt idx="390">
                  <c:v>29</c:v>
                </c:pt>
                <c:pt idx="391">
                  <c:v>#N/A</c:v>
                </c:pt>
                <c:pt idx="392">
                  <c:v>14</c:v>
                </c:pt>
                <c:pt idx="393">
                  <c:v>12</c:v>
                </c:pt>
                <c:pt idx="394">
                  <c:v>#N/A</c:v>
                </c:pt>
                <c:pt idx="395">
                  <c:v>24</c:v>
                </c:pt>
                <c:pt idx="396">
                  <c:v>34</c:v>
                </c:pt>
                <c:pt idx="397">
                  <c:v>#N/A</c:v>
                </c:pt>
                <c:pt idx="398">
                  <c:v>29</c:v>
                </c:pt>
                <c:pt idx="399">
                  <c:v>#N/A</c:v>
                </c:pt>
                <c:pt idx="400">
                  <c:v>#N/A</c:v>
                </c:pt>
                <c:pt idx="401">
                  <c:v>29</c:v>
                </c:pt>
                <c:pt idx="402">
                  <c:v>#N/A</c:v>
                </c:pt>
                <c:pt idx="403">
                  <c:v>25</c:v>
                </c:pt>
                <c:pt idx="404">
                  <c:v>#N/A</c:v>
                </c:pt>
                <c:pt idx="405">
                  <c:v>32</c:v>
                </c:pt>
                <c:pt idx="406">
                  <c:v>#N/A</c:v>
                </c:pt>
                <c:pt idx="407">
                  <c:v>29</c:v>
                </c:pt>
                <c:pt idx="408">
                  <c:v>#N/A</c:v>
                </c:pt>
                <c:pt idx="409">
                  <c:v>#N/A</c:v>
                </c:pt>
                <c:pt idx="410">
                  <c:v>39</c:v>
                </c:pt>
                <c:pt idx="411">
                  <c:v>30</c:v>
                </c:pt>
                <c:pt idx="412">
                  <c:v>23</c:v>
                </c:pt>
                <c:pt idx="413">
                  <c:v>22</c:v>
                </c:pt>
                <c:pt idx="414">
                  <c:v>#N/A</c:v>
                </c:pt>
                <c:pt idx="415">
                  <c:v>#N/A</c:v>
                </c:pt>
                <c:pt idx="416">
                  <c:v>21</c:v>
                </c:pt>
                <c:pt idx="417">
                  <c:v>#N/A</c:v>
                </c:pt>
                <c:pt idx="418">
                  <c:v>29</c:v>
                </c:pt>
                <c:pt idx="419">
                  <c:v>#N/A</c:v>
                </c:pt>
                <c:pt idx="420">
                  <c:v>41</c:v>
                </c:pt>
                <c:pt idx="421">
                  <c:v>18</c:v>
                </c:pt>
                <c:pt idx="422">
                  <c:v>46</c:v>
                </c:pt>
                <c:pt idx="423">
                  <c:v>22</c:v>
                </c:pt>
                <c:pt idx="424">
                  <c:v>#N/A</c:v>
                </c:pt>
                <c:pt idx="425">
                  <c:v>#N/A</c:v>
                </c:pt>
                <c:pt idx="426">
                  <c:v>29</c:v>
                </c:pt>
                <c:pt idx="427">
                  <c:v>#N/A</c:v>
                </c:pt>
                <c:pt idx="428">
                  <c:v>46</c:v>
                </c:pt>
                <c:pt idx="429">
                  <c:v>#N/A</c:v>
                </c:pt>
                <c:pt idx="430">
                  <c:v>29</c:v>
                </c:pt>
                <c:pt idx="431">
                  <c:v>16</c:v>
                </c:pt>
                <c:pt idx="432">
                  <c:v>11</c:v>
                </c:pt>
                <c:pt idx="433">
                  <c:v>29</c:v>
                </c:pt>
                <c:pt idx="434">
                  <c:v>8</c:v>
                </c:pt>
                <c:pt idx="435">
                  <c:v>#N/A</c:v>
                </c:pt>
                <c:pt idx="436">
                  <c:v>33</c:v>
                </c:pt>
                <c:pt idx="437">
                  <c:v>29</c:v>
                </c:pt>
                <c:pt idx="438">
                  <c:v>15</c:v>
                </c:pt>
                <c:pt idx="439">
                  <c:v>29</c:v>
                </c:pt>
                <c:pt idx="440">
                  <c:v>#N/A</c:v>
                </c:pt>
                <c:pt idx="441">
                  <c:v>23</c:v>
                </c:pt>
                <c:pt idx="442">
                  <c:v>27</c:v>
                </c:pt>
                <c:pt idx="443">
                  <c:v>#N/A</c:v>
                </c:pt>
                <c:pt idx="444">
                  <c:v>#N/A</c:v>
                </c:pt>
                <c:pt idx="445">
                  <c:v>#N/A</c:v>
                </c:pt>
                <c:pt idx="446">
                  <c:v>12</c:v>
                </c:pt>
                <c:pt idx="447">
                  <c:v>45</c:v>
                </c:pt>
                <c:pt idx="448">
                  <c:v>#N/A</c:v>
                </c:pt>
                <c:pt idx="449">
                  <c:v>18</c:v>
                </c:pt>
                <c:pt idx="450">
                  <c:v>13</c:v>
                </c:pt>
                <c:pt idx="451">
                  <c:v>#N/A</c:v>
                </c:pt>
                <c:pt idx="452">
                  <c:v>32</c:v>
                </c:pt>
                <c:pt idx="453">
                  <c:v>29</c:v>
                </c:pt>
                <c:pt idx="454">
                  <c:v>28</c:v>
                </c:pt>
                <c:pt idx="455">
                  <c:v>#N/A</c:v>
                </c:pt>
                <c:pt idx="456">
                  <c:v>29</c:v>
                </c:pt>
                <c:pt idx="457">
                  <c:v>28</c:v>
                </c:pt>
                <c:pt idx="458">
                  <c:v>#N/A</c:v>
                </c:pt>
                <c:pt idx="459">
                  <c:v>33</c:v>
                </c:pt>
                <c:pt idx="460">
                  <c:v>22</c:v>
                </c:pt>
                <c:pt idx="461">
                  <c:v>29</c:v>
                </c:pt>
                <c:pt idx="462">
                  <c:v>40</c:v>
                </c:pt>
                <c:pt idx="463">
                  <c:v>30</c:v>
                </c:pt>
                <c:pt idx="464">
                  <c:v>29</c:v>
                </c:pt>
                <c:pt idx="465">
                  <c:v>13</c:v>
                </c:pt>
                <c:pt idx="466">
                  <c:v>10</c:v>
                </c:pt>
                <c:pt idx="467">
                  <c:v>36</c:v>
                </c:pt>
                <c:pt idx="468">
                  <c:v>#N/A</c:v>
                </c:pt>
                <c:pt idx="469">
                  <c:v>41</c:v>
                </c:pt>
                <c:pt idx="470">
                  <c:v>40</c:v>
                </c:pt>
                <c:pt idx="471">
                  <c:v>38</c:v>
                </c:pt>
                <c:pt idx="472">
                  <c:v>27</c:v>
                </c:pt>
                <c:pt idx="473">
                  <c:v>29</c:v>
                </c:pt>
                <c:pt idx="474">
                  <c:v>29</c:v>
                </c:pt>
                <c:pt idx="475">
                  <c:v>27</c:v>
                </c:pt>
                <c:pt idx="476">
                  <c:v>#N/A</c:v>
                </c:pt>
                <c:pt idx="477">
                  <c:v>17</c:v>
                </c:pt>
                <c:pt idx="478">
                  <c:v>38</c:v>
                </c:pt>
                <c:pt idx="479">
                  <c:v>31</c:v>
                </c:pt>
                <c:pt idx="480">
                  <c:v>#N/A</c:v>
                </c:pt>
                <c:pt idx="481">
                  <c:v>37</c:v>
                </c:pt>
                <c:pt idx="482">
                  <c:v>22</c:v>
                </c:pt>
                <c:pt idx="483">
                  <c:v>31</c:v>
                </c:pt>
                <c:pt idx="484">
                  <c:v>#N/A</c:v>
                </c:pt>
                <c:pt idx="485">
                  <c:v>#N/A</c:v>
                </c:pt>
                <c:pt idx="486">
                  <c:v>41</c:v>
                </c:pt>
                <c:pt idx="487">
                  <c:v>32</c:v>
                </c:pt>
                <c:pt idx="488">
                  <c:v>17</c:v>
                </c:pt>
                <c:pt idx="489">
                  <c:v>29</c:v>
                </c:pt>
                <c:pt idx="490">
                  <c:v>28</c:v>
                </c:pt>
                <c:pt idx="491">
                  <c:v>30</c:v>
                </c:pt>
                <c:pt idx="492">
                  <c:v>38</c:v>
                </c:pt>
                <c:pt idx="493">
                  <c:v>#N/A</c:v>
                </c:pt>
                <c:pt idx="494">
                  <c:v>29</c:v>
                </c:pt>
                <c:pt idx="495">
                  <c:v>29</c:v>
                </c:pt>
                <c:pt idx="496">
                  <c:v>29</c:v>
                </c:pt>
                <c:pt idx="497">
                  <c:v>15</c:v>
                </c:pt>
                <c:pt idx="498">
                  <c:v>#N/A</c:v>
                </c:pt>
                <c:pt idx="499">
                  <c:v>32</c:v>
                </c:pt>
                <c:pt idx="500">
                  <c:v>19</c:v>
                </c:pt>
                <c:pt idx="501">
                  <c:v>32</c:v>
                </c:pt>
                <c:pt idx="502">
                  <c:v>#N/A</c:v>
                </c:pt>
                <c:pt idx="503">
                  <c:v>25</c:v>
                </c:pt>
                <c:pt idx="504">
                  <c:v>39</c:v>
                </c:pt>
                <c:pt idx="505">
                  <c:v>29</c:v>
                </c:pt>
                <c:pt idx="506">
                  <c:v>#N/A</c:v>
                </c:pt>
                <c:pt idx="507">
                  <c:v>23</c:v>
                </c:pt>
                <c:pt idx="508">
                  <c:v>23</c:v>
                </c:pt>
                <c:pt idx="509">
                  <c:v>29</c:v>
                </c:pt>
                <c:pt idx="510">
                  <c:v>#N/A</c:v>
                </c:pt>
                <c:pt idx="511">
                  <c:v>17</c:v>
                </c:pt>
                <c:pt idx="512">
                  <c:v>29</c:v>
                </c:pt>
                <c:pt idx="513">
                  <c:v>29</c:v>
                </c:pt>
                <c:pt idx="514">
                  <c:v>19</c:v>
                </c:pt>
                <c:pt idx="515">
                  <c:v>#N/A</c:v>
                </c:pt>
                <c:pt idx="516">
                  <c:v>#N/A</c:v>
                </c:pt>
                <c:pt idx="517">
                  <c:v>29</c:v>
                </c:pt>
                <c:pt idx="518">
                  <c:v>29</c:v>
                </c:pt>
                <c:pt idx="519">
                  <c:v>7</c:v>
                </c:pt>
                <c:pt idx="520">
                  <c:v>32</c:v>
                </c:pt>
                <c:pt idx="521">
                  <c:v>33</c:v>
                </c:pt>
                <c:pt idx="522">
                  <c:v>29</c:v>
                </c:pt>
                <c:pt idx="523">
                  <c:v>#N/A</c:v>
                </c:pt>
                <c:pt idx="524">
                  <c:v>29</c:v>
                </c:pt>
                <c:pt idx="525">
                  <c:v>18</c:v>
                </c:pt>
                <c:pt idx="526">
                  <c:v>19</c:v>
                </c:pt>
                <c:pt idx="527">
                  <c:v>15</c:v>
                </c:pt>
                <c:pt idx="528">
                  <c:v>31</c:v>
                </c:pt>
                <c:pt idx="529">
                  <c:v>29</c:v>
                </c:pt>
                <c:pt idx="530">
                  <c:v>18</c:v>
                </c:pt>
                <c:pt idx="531">
                  <c:v>29</c:v>
                </c:pt>
                <c:pt idx="532">
                  <c:v>52</c:v>
                </c:pt>
                <c:pt idx="533">
                  <c:v>29</c:v>
                </c:pt>
                <c:pt idx="534">
                  <c:v>30</c:v>
                </c:pt>
                <c:pt idx="535">
                  <c:v>#N/A</c:v>
                </c:pt>
                <c:pt idx="536">
                  <c:v>29</c:v>
                </c:pt>
                <c:pt idx="537">
                  <c:v>29</c:v>
                </c:pt>
                <c:pt idx="538">
                  <c:v>37</c:v>
                </c:pt>
                <c:pt idx="539">
                  <c:v>#N/A</c:v>
                </c:pt>
                <c:pt idx="540">
                  <c:v>#N/A</c:v>
                </c:pt>
                <c:pt idx="541">
                  <c:v>#N/A</c:v>
                </c:pt>
                <c:pt idx="542">
                  <c:v>#N/A</c:v>
                </c:pt>
                <c:pt idx="543">
                  <c:v>23</c:v>
                </c:pt>
                <c:pt idx="544">
                  <c:v>29</c:v>
                </c:pt>
                <c:pt idx="545">
                  <c:v>#N/A</c:v>
                </c:pt>
                <c:pt idx="546">
                  <c:v>#N/A</c:v>
                </c:pt>
                <c:pt idx="547">
                  <c:v>21</c:v>
                </c:pt>
                <c:pt idx="548">
                  <c:v>43</c:v>
                </c:pt>
                <c:pt idx="549">
                  <c:v>31</c:v>
                </c:pt>
                <c:pt idx="550">
                  <c:v>28</c:v>
                </c:pt>
                <c:pt idx="551">
                  <c:v>30</c:v>
                </c:pt>
                <c:pt idx="552">
                  <c:v>29</c:v>
                </c:pt>
                <c:pt idx="553">
                  <c:v>24</c:v>
                </c:pt>
                <c:pt idx="554">
                  <c:v>23</c:v>
                </c:pt>
                <c:pt idx="555">
                  <c:v>33</c:v>
                </c:pt>
                <c:pt idx="556">
                  <c:v>40</c:v>
                </c:pt>
                <c:pt idx="557">
                  <c:v>29</c:v>
                </c:pt>
                <c:pt idx="558">
                  <c:v>40</c:v>
                </c:pt>
                <c:pt idx="559">
                  <c:v>29</c:v>
                </c:pt>
                <c:pt idx="560">
                  <c:v>#N/A</c:v>
                </c:pt>
                <c:pt idx="561">
                  <c:v>#N/A</c:v>
                </c:pt>
                <c:pt idx="562">
                  <c:v>34</c:v>
                </c:pt>
                <c:pt idx="563">
                  <c:v>19</c:v>
                </c:pt>
                <c:pt idx="564">
                  <c:v>29</c:v>
                </c:pt>
                <c:pt idx="565">
                  <c:v>14</c:v>
                </c:pt>
                <c:pt idx="566">
                  <c:v>30</c:v>
                </c:pt>
                <c:pt idx="567">
                  <c:v>32</c:v>
                </c:pt>
                <c:pt idx="568">
                  <c:v>29</c:v>
                </c:pt>
                <c:pt idx="569">
                  <c:v>#N/A</c:v>
                </c:pt>
                <c:pt idx="570">
                  <c:v>29</c:v>
                </c:pt>
                <c:pt idx="571">
                  <c:v>29</c:v>
                </c:pt>
                <c:pt idx="572">
                  <c:v>31</c:v>
                </c:pt>
                <c:pt idx="573">
                  <c:v>17</c:v>
                </c:pt>
                <c:pt idx="574">
                  <c:v>30</c:v>
                </c:pt>
                <c:pt idx="575">
                  <c:v>47</c:v>
                </c:pt>
                <c:pt idx="576">
                  <c:v>20</c:v>
                </c:pt>
                <c:pt idx="577">
                  <c:v>#N/A</c:v>
                </c:pt>
                <c:pt idx="578">
                  <c:v>29</c:v>
                </c:pt>
                <c:pt idx="579">
                  <c:v>#N/A</c:v>
                </c:pt>
                <c:pt idx="580">
                  <c:v>#N/A</c:v>
                </c:pt>
                <c:pt idx="581">
                  <c:v>27</c:v>
                </c:pt>
                <c:pt idx="582">
                  <c:v>17</c:v>
                </c:pt>
                <c:pt idx="583">
                  <c:v>29</c:v>
                </c:pt>
                <c:pt idx="584">
                  <c:v>#N/A</c:v>
                </c:pt>
                <c:pt idx="585">
                  <c:v>11</c:v>
                </c:pt>
                <c:pt idx="586">
                  <c:v>#N/A</c:v>
                </c:pt>
                <c:pt idx="587">
                  <c:v>29</c:v>
                </c:pt>
                <c:pt idx="588">
                  <c:v>#N/A</c:v>
                </c:pt>
                <c:pt idx="589">
                  <c:v>29</c:v>
                </c:pt>
                <c:pt idx="590">
                  <c:v>#N/A</c:v>
                </c:pt>
                <c:pt idx="591">
                  <c:v>50</c:v>
                </c:pt>
                <c:pt idx="592">
                  <c:v>#N/A</c:v>
                </c:pt>
                <c:pt idx="593">
                  <c:v>22</c:v>
                </c:pt>
                <c:pt idx="594">
                  <c:v>45</c:v>
                </c:pt>
                <c:pt idx="595">
                  <c:v>#N/A</c:v>
                </c:pt>
                <c:pt idx="596">
                  <c:v>29</c:v>
                </c:pt>
                <c:pt idx="597">
                  <c:v>19</c:v>
                </c:pt>
                <c:pt idx="598">
                  <c:v>#N/A</c:v>
                </c:pt>
                <c:pt idx="599">
                  <c:v>18</c:v>
                </c:pt>
                <c:pt idx="600">
                  <c:v>19</c:v>
                </c:pt>
                <c:pt idx="601">
                  <c:v>29</c:v>
                </c:pt>
                <c:pt idx="602">
                  <c:v>36</c:v>
                </c:pt>
                <c:pt idx="603">
                  <c:v>#N/A</c:v>
                </c:pt>
                <c:pt idx="604">
                  <c:v>#N/A</c:v>
                </c:pt>
                <c:pt idx="605">
                  <c:v>32</c:v>
                </c:pt>
                <c:pt idx="606">
                  <c:v>#N/A</c:v>
                </c:pt>
                <c:pt idx="607">
                  <c:v>25</c:v>
                </c:pt>
                <c:pt idx="608">
                  <c:v>39</c:v>
                </c:pt>
                <c:pt idx="609">
                  <c:v>13</c:v>
                </c:pt>
                <c:pt idx="610">
                  <c:v>21</c:v>
                </c:pt>
                <c:pt idx="611">
                  <c:v>#N/A</c:v>
                </c:pt>
                <c:pt idx="612">
                  <c:v>#N/A</c:v>
                </c:pt>
                <c:pt idx="613">
                  <c:v>28</c:v>
                </c:pt>
                <c:pt idx="614">
                  <c:v>#N/A</c:v>
                </c:pt>
                <c:pt idx="615">
                  <c:v>29</c:v>
                </c:pt>
                <c:pt idx="616">
                  <c:v>29</c:v>
                </c:pt>
                <c:pt idx="617">
                  <c:v>13</c:v>
                </c:pt>
                <c:pt idx="618">
                  <c:v>#N/A</c:v>
                </c:pt>
                <c:pt idx="619">
                  <c:v>#N/A</c:v>
                </c:pt>
                <c:pt idx="620">
                  <c:v>42</c:v>
                </c:pt>
                <c:pt idx="621">
                  <c:v>20</c:v>
                </c:pt>
                <c:pt idx="622">
                  <c:v>29</c:v>
                </c:pt>
                <c:pt idx="623">
                  <c:v>27</c:v>
                </c:pt>
                <c:pt idx="624">
                  <c:v>29</c:v>
                </c:pt>
                <c:pt idx="625">
                  <c:v>47</c:v>
                </c:pt>
                <c:pt idx="626">
                  <c:v>29</c:v>
                </c:pt>
                <c:pt idx="627">
                  <c:v>29</c:v>
                </c:pt>
                <c:pt idx="628">
                  <c:v>29</c:v>
                </c:pt>
                <c:pt idx="629">
                  <c:v>22</c:v>
                </c:pt>
                <c:pt idx="630">
                  <c:v>#N/A</c:v>
                </c:pt>
                <c:pt idx="631">
                  <c:v>40</c:v>
                </c:pt>
                <c:pt idx="632">
                  <c:v>29</c:v>
                </c:pt>
                <c:pt idx="633">
                  <c:v>17</c:v>
                </c:pt>
                <c:pt idx="634">
                  <c:v>29</c:v>
                </c:pt>
                <c:pt idx="635">
                  <c:v>#N/A</c:v>
                </c:pt>
                <c:pt idx="636">
                  <c:v>29</c:v>
                </c:pt>
                <c:pt idx="637">
                  <c:v>18</c:v>
                </c:pt>
                <c:pt idx="638">
                  <c:v>#N/A</c:v>
                </c:pt>
                <c:pt idx="639">
                  <c:v>12</c:v>
                </c:pt>
                <c:pt idx="640">
                  <c:v>17</c:v>
                </c:pt>
                <c:pt idx="641">
                  <c:v>29</c:v>
                </c:pt>
                <c:pt idx="642">
                  <c:v>#N/A</c:v>
                </c:pt>
                <c:pt idx="643">
                  <c:v>29</c:v>
                </c:pt>
                <c:pt idx="644">
                  <c:v>30</c:v>
                </c:pt>
                <c:pt idx="645">
                  <c:v>35</c:v>
                </c:pt>
                <c:pt idx="646">
                  <c:v>#N/A</c:v>
                </c:pt>
                <c:pt idx="647">
                  <c:v>#N/A</c:v>
                </c:pt>
                <c:pt idx="648">
                  <c:v>#N/A</c:v>
                </c:pt>
                <c:pt idx="649">
                  <c:v>25</c:v>
                </c:pt>
                <c:pt idx="650">
                  <c:v>25</c:v>
                </c:pt>
                <c:pt idx="651">
                  <c:v>23</c:v>
                </c:pt>
                <c:pt idx="652">
                  <c:v>40</c:v>
                </c:pt>
                <c:pt idx="653">
                  <c:v>29</c:v>
                </c:pt>
                <c:pt idx="654">
                  <c:v>28</c:v>
                </c:pt>
                <c:pt idx="655">
                  <c:v>#N/A</c:v>
                </c:pt>
                <c:pt idx="656">
                  <c:v>35</c:v>
                </c:pt>
                <c:pt idx="657">
                  <c:v>48</c:v>
                </c:pt>
                <c:pt idx="658">
                  <c:v>29</c:v>
                </c:pt>
                <c:pt idx="659">
                  <c:v>#N/A</c:v>
                </c:pt>
                <c:pt idx="660">
                  <c:v>29</c:v>
                </c:pt>
                <c:pt idx="661">
                  <c:v>#N/A</c:v>
                </c:pt>
                <c:pt idx="662">
                  <c:v>#N/A</c:v>
                </c:pt>
                <c:pt idx="663">
                  <c:v>#N/A</c:v>
                </c:pt>
                <c:pt idx="664">
                  <c:v>#N/A</c:v>
                </c:pt>
                <c:pt idx="665">
                  <c:v>45</c:v>
                </c:pt>
                <c:pt idx="666">
                  <c:v>#N/A</c:v>
                </c:pt>
                <c:pt idx="667">
                  <c:v>#N/A</c:v>
                </c:pt>
                <c:pt idx="668">
                  <c:v>33</c:v>
                </c:pt>
                <c:pt idx="669">
                  <c:v>30</c:v>
                </c:pt>
                <c:pt idx="670">
                  <c:v>26</c:v>
                </c:pt>
                <c:pt idx="671">
                  <c:v>10</c:v>
                </c:pt>
                <c:pt idx="672">
                  <c:v>23</c:v>
                </c:pt>
                <c:pt idx="673">
                  <c:v>35</c:v>
                </c:pt>
                <c:pt idx="674">
                  <c:v>29</c:v>
                </c:pt>
                <c:pt idx="675">
                  <c:v>#N/A</c:v>
                </c:pt>
                <c:pt idx="676">
                  <c:v>#N/A</c:v>
                </c:pt>
                <c:pt idx="677">
                  <c:v>29</c:v>
                </c:pt>
                <c:pt idx="678">
                  <c:v>#N/A</c:v>
                </c:pt>
                <c:pt idx="679">
                  <c:v>17</c:v>
                </c:pt>
                <c:pt idx="680">
                  <c:v>28</c:v>
                </c:pt>
                <c:pt idx="681">
                  <c:v>#N/A</c:v>
                </c:pt>
                <c:pt idx="682">
                  <c:v>39</c:v>
                </c:pt>
                <c:pt idx="683">
                  <c:v>#N/A</c:v>
                </c:pt>
                <c:pt idx="684">
                  <c:v>29</c:v>
                </c:pt>
                <c:pt idx="685">
                  <c:v>26</c:v>
                </c:pt>
                <c:pt idx="686">
                  <c:v>29</c:v>
                </c:pt>
                <c:pt idx="687">
                  <c:v>19</c:v>
                </c:pt>
                <c:pt idx="688">
                  <c:v>26</c:v>
                </c:pt>
                <c:pt idx="689">
                  <c:v>#N/A</c:v>
                </c:pt>
                <c:pt idx="690">
                  <c:v>29</c:v>
                </c:pt>
                <c:pt idx="691">
                  <c:v>#N/A</c:v>
                </c:pt>
                <c:pt idx="692">
                  <c:v>32</c:v>
                </c:pt>
                <c:pt idx="693">
                  <c:v>#N/A</c:v>
                </c:pt>
                <c:pt idx="694">
                  <c:v>29</c:v>
                </c:pt>
                <c:pt idx="695">
                  <c:v>#N/A</c:v>
                </c:pt>
                <c:pt idx="696">
                  <c:v>#N/A</c:v>
                </c:pt>
                <c:pt idx="697">
                  <c:v>29</c:v>
                </c:pt>
                <c:pt idx="698">
                  <c:v>11</c:v>
                </c:pt>
                <c:pt idx="699">
                  <c:v>29</c:v>
                </c:pt>
                <c:pt idx="700">
                  <c:v>27</c:v>
                </c:pt>
                <c:pt idx="701">
                  <c:v>#N/A</c:v>
                </c:pt>
                <c:pt idx="702">
                  <c:v>#N/A</c:v>
                </c:pt>
                <c:pt idx="703">
                  <c:v>29</c:v>
                </c:pt>
                <c:pt idx="704">
                  <c:v>20</c:v>
                </c:pt>
                <c:pt idx="705">
                  <c:v>36</c:v>
                </c:pt>
                <c:pt idx="706">
                  <c:v>#N/A</c:v>
                </c:pt>
                <c:pt idx="707">
                  <c:v>21</c:v>
                </c:pt>
                <c:pt idx="708">
                  <c:v>#N/A</c:v>
                </c:pt>
                <c:pt idx="709">
                  <c:v>#N/A</c:v>
                </c:pt>
                <c:pt idx="710">
                  <c:v>13</c:v>
                </c:pt>
                <c:pt idx="711">
                  <c:v>27</c:v>
                </c:pt>
                <c:pt idx="712">
                  <c:v>#N/A</c:v>
                </c:pt>
                <c:pt idx="713">
                  <c:v>20</c:v>
                </c:pt>
                <c:pt idx="714">
                  <c:v>29</c:v>
                </c:pt>
                <c:pt idx="715">
                  <c:v>#N/A</c:v>
                </c:pt>
                <c:pt idx="716">
                  <c:v>#N/A</c:v>
                </c:pt>
                <c:pt idx="717">
                  <c:v>18</c:v>
                </c:pt>
                <c:pt idx="718">
                  <c:v>46</c:v>
                </c:pt>
                <c:pt idx="719">
                  <c:v>#N/A</c:v>
                </c:pt>
                <c:pt idx="720">
                  <c:v>19</c:v>
                </c:pt>
                <c:pt idx="721">
                  <c:v>36</c:v>
                </c:pt>
                <c:pt idx="722">
                  <c:v>#N/A</c:v>
                </c:pt>
                <c:pt idx="723">
                  <c:v>30</c:v>
                </c:pt>
                <c:pt idx="724">
                  <c:v>29</c:v>
                </c:pt>
                <c:pt idx="725">
                  <c:v>40</c:v>
                </c:pt>
                <c:pt idx="726">
                  <c:v>29</c:v>
                </c:pt>
                <c:pt idx="727">
                  <c:v>26</c:v>
                </c:pt>
                <c:pt idx="728">
                  <c:v>29</c:v>
                </c:pt>
                <c:pt idx="729">
                  <c:v>29</c:v>
                </c:pt>
                <c:pt idx="730">
                  <c:v>#N/A</c:v>
                </c:pt>
                <c:pt idx="731">
                  <c:v>#N/A</c:v>
                </c:pt>
                <c:pt idx="732">
                  <c:v>#N/A</c:v>
                </c:pt>
                <c:pt idx="733">
                  <c:v>27</c:v>
                </c:pt>
                <c:pt idx="734">
                  <c:v>29</c:v>
                </c:pt>
                <c:pt idx="735">
                  <c:v>32</c:v>
                </c:pt>
                <c:pt idx="736">
                  <c:v>27</c:v>
                </c:pt>
                <c:pt idx="737">
                  <c:v>23</c:v>
                </c:pt>
                <c:pt idx="738">
                  <c:v>17</c:v>
                </c:pt>
                <c:pt idx="739">
                  <c:v>#N/A</c:v>
                </c:pt>
                <c:pt idx="740">
                  <c:v>#N/A</c:v>
                </c:pt>
                <c:pt idx="741">
                  <c:v>20</c:v>
                </c:pt>
                <c:pt idx="742">
                  <c:v>18</c:v>
                </c:pt>
                <c:pt idx="743">
                  <c:v>#N/A</c:v>
                </c:pt>
                <c:pt idx="744">
                  <c:v>37</c:v>
                </c:pt>
                <c:pt idx="745">
                  <c:v>33</c:v>
                </c:pt>
                <c:pt idx="746">
                  <c:v>#N/A</c:v>
                </c:pt>
                <c:pt idx="747">
                  <c:v>41</c:v>
                </c:pt>
                <c:pt idx="748">
                  <c:v>#N/A</c:v>
                </c:pt>
                <c:pt idx="749">
                  <c:v>#N/A</c:v>
                </c:pt>
                <c:pt idx="750">
                  <c:v>#N/A</c:v>
                </c:pt>
                <c:pt idx="751">
                  <c:v>39</c:v>
                </c:pt>
                <c:pt idx="752">
                  <c:v>24</c:v>
                </c:pt>
                <c:pt idx="753">
                  <c:v>#N/A</c:v>
                </c:pt>
                <c:pt idx="754">
                  <c:v>#N/A</c:v>
                </c:pt>
                <c:pt idx="755">
                  <c:v>#N/A</c:v>
                </c:pt>
                <c:pt idx="756">
                  <c:v>41</c:v>
                </c:pt>
                <c:pt idx="757">
                  <c:v>#N/A</c:v>
                </c:pt>
                <c:pt idx="758">
                  <c:v>29</c:v>
                </c:pt>
                <c:pt idx="759">
                  <c:v>#N/A</c:v>
                </c:pt>
                <c:pt idx="760">
                  <c:v>26</c:v>
                </c:pt>
                <c:pt idx="761">
                  <c:v>#N/A</c:v>
                </c:pt>
                <c:pt idx="762">
                  <c:v>29</c:v>
                </c:pt>
                <c:pt idx="763">
                  <c:v>48</c:v>
                </c:pt>
                <c:pt idx="764">
                  <c:v>27</c:v>
                </c:pt>
                <c:pt idx="765">
                  <c:v>23</c:v>
                </c:pt>
                <c:pt idx="766">
                  <c:v>#N/A</c:v>
                </c:pt>
                <c:pt idx="767">
                  <c:v>31</c:v>
                </c:pt>
              </c:numCache>
            </c:numRef>
          </c:xVal>
          <c:yVal>
            <c:numRef>
              <c:f>diabetes!$G$2:$G$769</c:f>
              <c:numCache>
                <c:formatCode>General</c:formatCode>
                <c:ptCount val="768"/>
                <c:pt idx="0">
                  <c:v>33.6</c:v>
                </c:pt>
                <c:pt idx="1">
                  <c:v>26.6</c:v>
                </c:pt>
                <c:pt idx="2">
                  <c:v>23.3</c:v>
                </c:pt>
                <c:pt idx="3">
                  <c:v>28.1</c:v>
                </c:pt>
                <c:pt idx="4">
                  <c:v>43.1</c:v>
                </c:pt>
                <c:pt idx="5">
                  <c:v>25.6</c:v>
                </c:pt>
                <c:pt idx="6">
                  <c:v>31</c:v>
                </c:pt>
                <c:pt idx="7">
                  <c:v>35.299999999999997</c:v>
                </c:pt>
                <c:pt idx="8">
                  <c:v>30.5</c:v>
                </c:pt>
                <c:pt idx="9">
                  <c:v>32.299999999999997</c:v>
                </c:pt>
                <c:pt idx="10">
                  <c:v>37.6</c:v>
                </c:pt>
                <c:pt idx="11">
                  <c:v>38</c:v>
                </c:pt>
                <c:pt idx="12">
                  <c:v>27.1</c:v>
                </c:pt>
                <c:pt idx="13">
                  <c:v>30.1</c:v>
                </c:pt>
                <c:pt idx="14">
                  <c:v>25.8</c:v>
                </c:pt>
                <c:pt idx="15">
                  <c:v>30</c:v>
                </c:pt>
                <c:pt idx="16">
                  <c:v>45.8</c:v>
                </c:pt>
                <c:pt idx="17">
                  <c:v>29.6</c:v>
                </c:pt>
                <c:pt idx="18">
                  <c:v>43.3</c:v>
                </c:pt>
                <c:pt idx="19">
                  <c:v>34.6</c:v>
                </c:pt>
                <c:pt idx="20">
                  <c:v>39.299999999999997</c:v>
                </c:pt>
                <c:pt idx="21">
                  <c:v>35.4</c:v>
                </c:pt>
                <c:pt idx="22">
                  <c:v>39.799999999999997</c:v>
                </c:pt>
                <c:pt idx="23">
                  <c:v>29</c:v>
                </c:pt>
                <c:pt idx="24">
                  <c:v>36.6</c:v>
                </c:pt>
                <c:pt idx="25">
                  <c:v>31.1</c:v>
                </c:pt>
                <c:pt idx="26">
                  <c:v>39.4</c:v>
                </c:pt>
                <c:pt idx="27">
                  <c:v>23.2</c:v>
                </c:pt>
                <c:pt idx="28">
                  <c:v>22.2</c:v>
                </c:pt>
                <c:pt idx="29">
                  <c:v>34.1</c:v>
                </c:pt>
                <c:pt idx="30">
                  <c:v>36</c:v>
                </c:pt>
                <c:pt idx="31">
                  <c:v>31.6</c:v>
                </c:pt>
                <c:pt idx="32">
                  <c:v>24.8</c:v>
                </c:pt>
                <c:pt idx="33">
                  <c:v>19.899999999999999</c:v>
                </c:pt>
                <c:pt idx="34">
                  <c:v>27.6</c:v>
                </c:pt>
                <c:pt idx="35">
                  <c:v>24</c:v>
                </c:pt>
                <c:pt idx="36">
                  <c:v>33.200000000000003</c:v>
                </c:pt>
                <c:pt idx="37">
                  <c:v>32.9</c:v>
                </c:pt>
                <c:pt idx="38">
                  <c:v>38.200000000000003</c:v>
                </c:pt>
                <c:pt idx="39">
                  <c:v>37.1</c:v>
                </c:pt>
                <c:pt idx="40">
                  <c:v>34</c:v>
                </c:pt>
                <c:pt idx="41">
                  <c:v>40.200000000000003</c:v>
                </c:pt>
                <c:pt idx="42">
                  <c:v>22.7</c:v>
                </c:pt>
                <c:pt idx="43">
                  <c:v>45.4</c:v>
                </c:pt>
                <c:pt idx="44">
                  <c:v>27.4</c:v>
                </c:pt>
                <c:pt idx="45">
                  <c:v>42</c:v>
                </c:pt>
                <c:pt idx="46">
                  <c:v>29.7</c:v>
                </c:pt>
                <c:pt idx="47">
                  <c:v>28</c:v>
                </c:pt>
                <c:pt idx="48">
                  <c:v>39.1</c:v>
                </c:pt>
                <c:pt idx="49">
                  <c:v>32.299999999999997</c:v>
                </c:pt>
                <c:pt idx="50">
                  <c:v>19.399999999999999</c:v>
                </c:pt>
                <c:pt idx="51">
                  <c:v>24.2</c:v>
                </c:pt>
                <c:pt idx="52">
                  <c:v>24.4</c:v>
                </c:pt>
                <c:pt idx="53">
                  <c:v>33.700000000000003</c:v>
                </c:pt>
                <c:pt idx="54">
                  <c:v>34.700000000000003</c:v>
                </c:pt>
                <c:pt idx="55">
                  <c:v>23</c:v>
                </c:pt>
                <c:pt idx="56">
                  <c:v>37.700000000000003</c:v>
                </c:pt>
                <c:pt idx="57">
                  <c:v>46.8</c:v>
                </c:pt>
                <c:pt idx="58">
                  <c:v>40.5</c:v>
                </c:pt>
                <c:pt idx="59">
                  <c:v>41.5</c:v>
                </c:pt>
                <c:pt idx="60">
                  <c:v>32.299999999999997</c:v>
                </c:pt>
                <c:pt idx="61">
                  <c:v>32.9</c:v>
                </c:pt>
                <c:pt idx="62">
                  <c:v>25</c:v>
                </c:pt>
                <c:pt idx="63">
                  <c:v>25.4</c:v>
                </c:pt>
                <c:pt idx="64">
                  <c:v>32.799999999999997</c:v>
                </c:pt>
                <c:pt idx="65">
                  <c:v>29</c:v>
                </c:pt>
                <c:pt idx="66">
                  <c:v>32.5</c:v>
                </c:pt>
                <c:pt idx="67">
                  <c:v>42.7</c:v>
                </c:pt>
                <c:pt idx="68">
                  <c:v>19.600000000000001</c:v>
                </c:pt>
                <c:pt idx="69">
                  <c:v>28.9</c:v>
                </c:pt>
                <c:pt idx="70">
                  <c:v>32.9</c:v>
                </c:pt>
                <c:pt idx="71">
                  <c:v>28.6</c:v>
                </c:pt>
                <c:pt idx="72">
                  <c:v>43.4</c:v>
                </c:pt>
                <c:pt idx="73">
                  <c:v>35.1</c:v>
                </c:pt>
                <c:pt idx="74">
                  <c:v>32</c:v>
                </c:pt>
                <c:pt idx="75">
                  <c:v>24.7</c:v>
                </c:pt>
                <c:pt idx="76">
                  <c:v>32.6</c:v>
                </c:pt>
                <c:pt idx="77">
                  <c:v>37.700000000000003</c:v>
                </c:pt>
                <c:pt idx="78">
                  <c:v>43.2</c:v>
                </c:pt>
                <c:pt idx="79">
                  <c:v>25</c:v>
                </c:pt>
                <c:pt idx="80">
                  <c:v>22.4</c:v>
                </c:pt>
                <c:pt idx="81">
                  <c:v>32.299999999999997</c:v>
                </c:pt>
                <c:pt idx="82">
                  <c:v>29.3</c:v>
                </c:pt>
                <c:pt idx="83">
                  <c:v>24.6</c:v>
                </c:pt>
                <c:pt idx="84">
                  <c:v>48.8</c:v>
                </c:pt>
                <c:pt idx="85">
                  <c:v>32.4</c:v>
                </c:pt>
                <c:pt idx="86">
                  <c:v>36.6</c:v>
                </c:pt>
                <c:pt idx="87">
                  <c:v>38.5</c:v>
                </c:pt>
                <c:pt idx="88">
                  <c:v>37.1</c:v>
                </c:pt>
                <c:pt idx="89">
                  <c:v>26.5</c:v>
                </c:pt>
                <c:pt idx="90">
                  <c:v>19.100000000000001</c:v>
                </c:pt>
                <c:pt idx="91">
                  <c:v>32</c:v>
                </c:pt>
                <c:pt idx="92">
                  <c:v>46.7</c:v>
                </c:pt>
                <c:pt idx="93">
                  <c:v>23.8</c:v>
                </c:pt>
                <c:pt idx="94">
                  <c:v>24.7</c:v>
                </c:pt>
                <c:pt idx="95">
                  <c:v>33.9</c:v>
                </c:pt>
                <c:pt idx="96">
                  <c:v>31.6</c:v>
                </c:pt>
                <c:pt idx="97">
                  <c:v>20.399999999999999</c:v>
                </c:pt>
                <c:pt idx="98">
                  <c:v>28.7</c:v>
                </c:pt>
                <c:pt idx="99">
                  <c:v>49.7</c:v>
                </c:pt>
                <c:pt idx="100">
                  <c:v>39</c:v>
                </c:pt>
                <c:pt idx="101">
                  <c:v>26.1</c:v>
                </c:pt>
                <c:pt idx="102">
                  <c:v>22.5</c:v>
                </c:pt>
                <c:pt idx="103">
                  <c:v>26.6</c:v>
                </c:pt>
                <c:pt idx="104">
                  <c:v>39.6</c:v>
                </c:pt>
                <c:pt idx="105">
                  <c:v>28.7</c:v>
                </c:pt>
                <c:pt idx="106">
                  <c:v>22.4</c:v>
                </c:pt>
                <c:pt idx="107">
                  <c:v>29.5</c:v>
                </c:pt>
                <c:pt idx="108">
                  <c:v>34.299999999999997</c:v>
                </c:pt>
                <c:pt idx="109">
                  <c:v>37.4</c:v>
                </c:pt>
                <c:pt idx="110">
                  <c:v>33.299999999999997</c:v>
                </c:pt>
                <c:pt idx="111">
                  <c:v>34</c:v>
                </c:pt>
                <c:pt idx="112">
                  <c:v>31.2</c:v>
                </c:pt>
                <c:pt idx="113">
                  <c:v>34</c:v>
                </c:pt>
                <c:pt idx="114">
                  <c:v>30.5</c:v>
                </c:pt>
                <c:pt idx="115">
                  <c:v>31.2</c:v>
                </c:pt>
                <c:pt idx="116">
                  <c:v>34</c:v>
                </c:pt>
                <c:pt idx="117">
                  <c:v>33.700000000000003</c:v>
                </c:pt>
                <c:pt idx="118">
                  <c:v>28.2</c:v>
                </c:pt>
                <c:pt idx="119">
                  <c:v>23.2</c:v>
                </c:pt>
                <c:pt idx="120">
                  <c:v>53.2</c:v>
                </c:pt>
                <c:pt idx="121">
                  <c:v>34.200000000000003</c:v>
                </c:pt>
                <c:pt idx="122">
                  <c:v>33.6</c:v>
                </c:pt>
                <c:pt idx="123">
                  <c:v>26.8</c:v>
                </c:pt>
                <c:pt idx="124">
                  <c:v>33.299999999999997</c:v>
                </c:pt>
                <c:pt idx="125">
                  <c:v>55</c:v>
                </c:pt>
                <c:pt idx="126">
                  <c:v>42.9</c:v>
                </c:pt>
                <c:pt idx="127">
                  <c:v>33.299999999999997</c:v>
                </c:pt>
                <c:pt idx="128">
                  <c:v>34.5</c:v>
                </c:pt>
                <c:pt idx="129">
                  <c:v>27.9</c:v>
                </c:pt>
                <c:pt idx="130">
                  <c:v>29.7</c:v>
                </c:pt>
                <c:pt idx="131">
                  <c:v>33.299999999999997</c:v>
                </c:pt>
                <c:pt idx="132">
                  <c:v>34.5</c:v>
                </c:pt>
                <c:pt idx="133">
                  <c:v>38.299999999999997</c:v>
                </c:pt>
                <c:pt idx="134">
                  <c:v>21.1</c:v>
                </c:pt>
                <c:pt idx="135">
                  <c:v>33.799999999999997</c:v>
                </c:pt>
                <c:pt idx="136">
                  <c:v>30.8</c:v>
                </c:pt>
                <c:pt idx="137">
                  <c:v>28.7</c:v>
                </c:pt>
                <c:pt idx="138">
                  <c:v>31.2</c:v>
                </c:pt>
                <c:pt idx="139">
                  <c:v>36.9</c:v>
                </c:pt>
                <c:pt idx="140">
                  <c:v>21.1</c:v>
                </c:pt>
                <c:pt idx="141">
                  <c:v>39.5</c:v>
                </c:pt>
                <c:pt idx="142">
                  <c:v>32.5</c:v>
                </c:pt>
                <c:pt idx="143">
                  <c:v>32.4</c:v>
                </c:pt>
                <c:pt idx="144">
                  <c:v>32.799999999999997</c:v>
                </c:pt>
                <c:pt idx="145">
                  <c:v>32.299999999999997</c:v>
                </c:pt>
                <c:pt idx="146">
                  <c:v>32.799999999999997</c:v>
                </c:pt>
                <c:pt idx="147">
                  <c:v>30.5</c:v>
                </c:pt>
                <c:pt idx="148">
                  <c:v>33.700000000000003</c:v>
                </c:pt>
                <c:pt idx="149">
                  <c:v>27.3</c:v>
                </c:pt>
                <c:pt idx="150">
                  <c:v>37.4</c:v>
                </c:pt>
                <c:pt idx="151">
                  <c:v>21.9</c:v>
                </c:pt>
                <c:pt idx="152">
                  <c:v>34.299999999999997</c:v>
                </c:pt>
                <c:pt idx="153">
                  <c:v>40.6</c:v>
                </c:pt>
                <c:pt idx="154">
                  <c:v>47.9</c:v>
                </c:pt>
                <c:pt idx="155">
                  <c:v>50</c:v>
                </c:pt>
                <c:pt idx="156">
                  <c:v>24.6</c:v>
                </c:pt>
                <c:pt idx="157">
                  <c:v>25.2</c:v>
                </c:pt>
                <c:pt idx="158">
                  <c:v>29</c:v>
                </c:pt>
                <c:pt idx="159">
                  <c:v>40.9</c:v>
                </c:pt>
                <c:pt idx="160">
                  <c:v>29.7</c:v>
                </c:pt>
                <c:pt idx="161">
                  <c:v>37.200000000000003</c:v>
                </c:pt>
                <c:pt idx="162">
                  <c:v>44.2</c:v>
                </c:pt>
                <c:pt idx="163">
                  <c:v>29.7</c:v>
                </c:pt>
                <c:pt idx="164">
                  <c:v>31.6</c:v>
                </c:pt>
                <c:pt idx="165">
                  <c:v>29.9</c:v>
                </c:pt>
                <c:pt idx="166">
                  <c:v>32.5</c:v>
                </c:pt>
                <c:pt idx="167">
                  <c:v>29.6</c:v>
                </c:pt>
                <c:pt idx="168">
                  <c:v>31.9</c:v>
                </c:pt>
                <c:pt idx="169">
                  <c:v>28.4</c:v>
                </c:pt>
                <c:pt idx="170">
                  <c:v>30.8</c:v>
                </c:pt>
                <c:pt idx="171">
                  <c:v>35.4</c:v>
                </c:pt>
                <c:pt idx="172">
                  <c:v>28.9</c:v>
                </c:pt>
                <c:pt idx="173">
                  <c:v>43.5</c:v>
                </c:pt>
                <c:pt idx="174">
                  <c:v>29.7</c:v>
                </c:pt>
                <c:pt idx="175">
                  <c:v>32.700000000000003</c:v>
                </c:pt>
                <c:pt idx="176">
                  <c:v>31.2</c:v>
                </c:pt>
                <c:pt idx="177">
                  <c:v>67.099999999999994</c:v>
                </c:pt>
                <c:pt idx="178">
                  <c:v>45</c:v>
                </c:pt>
                <c:pt idx="179">
                  <c:v>39.1</c:v>
                </c:pt>
                <c:pt idx="180">
                  <c:v>23.2</c:v>
                </c:pt>
                <c:pt idx="181">
                  <c:v>34.9</c:v>
                </c:pt>
                <c:pt idx="182">
                  <c:v>27.7</c:v>
                </c:pt>
                <c:pt idx="183">
                  <c:v>26.8</c:v>
                </c:pt>
                <c:pt idx="184">
                  <c:v>27.6</c:v>
                </c:pt>
                <c:pt idx="185">
                  <c:v>35.9</c:v>
                </c:pt>
                <c:pt idx="186">
                  <c:v>30.1</c:v>
                </c:pt>
                <c:pt idx="187">
                  <c:v>32</c:v>
                </c:pt>
                <c:pt idx="188">
                  <c:v>27.9</c:v>
                </c:pt>
                <c:pt idx="189">
                  <c:v>31.6</c:v>
                </c:pt>
                <c:pt idx="190">
                  <c:v>22.6</c:v>
                </c:pt>
                <c:pt idx="191">
                  <c:v>33.1</c:v>
                </c:pt>
                <c:pt idx="192">
                  <c:v>30.4</c:v>
                </c:pt>
                <c:pt idx="193">
                  <c:v>52.3</c:v>
                </c:pt>
                <c:pt idx="194">
                  <c:v>24.4</c:v>
                </c:pt>
                <c:pt idx="195">
                  <c:v>39.4</c:v>
                </c:pt>
                <c:pt idx="196">
                  <c:v>24.3</c:v>
                </c:pt>
                <c:pt idx="197">
                  <c:v>22.9</c:v>
                </c:pt>
                <c:pt idx="198">
                  <c:v>34.799999999999997</c:v>
                </c:pt>
                <c:pt idx="199">
                  <c:v>30.9</c:v>
                </c:pt>
                <c:pt idx="200">
                  <c:v>31</c:v>
                </c:pt>
                <c:pt idx="201">
                  <c:v>40.1</c:v>
                </c:pt>
                <c:pt idx="202">
                  <c:v>27.3</c:v>
                </c:pt>
                <c:pt idx="203">
                  <c:v>20.399999999999999</c:v>
                </c:pt>
                <c:pt idx="204">
                  <c:v>37.700000000000003</c:v>
                </c:pt>
                <c:pt idx="205">
                  <c:v>23.9</c:v>
                </c:pt>
                <c:pt idx="206">
                  <c:v>37.5</c:v>
                </c:pt>
                <c:pt idx="207">
                  <c:v>37.700000000000003</c:v>
                </c:pt>
                <c:pt idx="208">
                  <c:v>33.200000000000003</c:v>
                </c:pt>
                <c:pt idx="209">
                  <c:v>35.5</c:v>
                </c:pt>
                <c:pt idx="210">
                  <c:v>27.7</c:v>
                </c:pt>
                <c:pt idx="211">
                  <c:v>42.8</c:v>
                </c:pt>
                <c:pt idx="212">
                  <c:v>34.200000000000003</c:v>
                </c:pt>
                <c:pt idx="213">
                  <c:v>42.6</c:v>
                </c:pt>
                <c:pt idx="214">
                  <c:v>34.200000000000003</c:v>
                </c:pt>
                <c:pt idx="215">
                  <c:v>41.8</c:v>
                </c:pt>
                <c:pt idx="216">
                  <c:v>35.799999999999997</c:v>
                </c:pt>
                <c:pt idx="217">
                  <c:v>30</c:v>
                </c:pt>
                <c:pt idx="218">
                  <c:v>29</c:v>
                </c:pt>
                <c:pt idx="219">
                  <c:v>37.799999999999997</c:v>
                </c:pt>
                <c:pt idx="220">
                  <c:v>34.6</c:v>
                </c:pt>
                <c:pt idx="221">
                  <c:v>31.6</c:v>
                </c:pt>
                <c:pt idx="222">
                  <c:v>25.2</c:v>
                </c:pt>
                <c:pt idx="223">
                  <c:v>28.8</c:v>
                </c:pt>
                <c:pt idx="224">
                  <c:v>23.6</c:v>
                </c:pt>
                <c:pt idx="225">
                  <c:v>34.6</c:v>
                </c:pt>
                <c:pt idx="226">
                  <c:v>35.700000000000003</c:v>
                </c:pt>
                <c:pt idx="227">
                  <c:v>37.200000000000003</c:v>
                </c:pt>
                <c:pt idx="228">
                  <c:v>36.700000000000003</c:v>
                </c:pt>
                <c:pt idx="229">
                  <c:v>45.2</c:v>
                </c:pt>
                <c:pt idx="230">
                  <c:v>44</c:v>
                </c:pt>
                <c:pt idx="231">
                  <c:v>46.2</c:v>
                </c:pt>
                <c:pt idx="232">
                  <c:v>25.4</c:v>
                </c:pt>
                <c:pt idx="233">
                  <c:v>35</c:v>
                </c:pt>
                <c:pt idx="234">
                  <c:v>29.7</c:v>
                </c:pt>
                <c:pt idx="235">
                  <c:v>43.6</c:v>
                </c:pt>
                <c:pt idx="236">
                  <c:v>35.9</c:v>
                </c:pt>
                <c:pt idx="237">
                  <c:v>44.1</c:v>
                </c:pt>
                <c:pt idx="238">
                  <c:v>30.8</c:v>
                </c:pt>
                <c:pt idx="239">
                  <c:v>18.399999999999999</c:v>
                </c:pt>
                <c:pt idx="240">
                  <c:v>29.2</c:v>
                </c:pt>
                <c:pt idx="241">
                  <c:v>33.1</c:v>
                </c:pt>
                <c:pt idx="242">
                  <c:v>25.6</c:v>
                </c:pt>
                <c:pt idx="243">
                  <c:v>27.1</c:v>
                </c:pt>
                <c:pt idx="244">
                  <c:v>38.200000000000003</c:v>
                </c:pt>
                <c:pt idx="245">
                  <c:v>30</c:v>
                </c:pt>
                <c:pt idx="246">
                  <c:v>31.2</c:v>
                </c:pt>
                <c:pt idx="247">
                  <c:v>52.3</c:v>
                </c:pt>
                <c:pt idx="248">
                  <c:v>35.4</c:v>
                </c:pt>
                <c:pt idx="249">
                  <c:v>30.1</c:v>
                </c:pt>
                <c:pt idx="250">
                  <c:v>31.2</c:v>
                </c:pt>
                <c:pt idx="251">
                  <c:v>28</c:v>
                </c:pt>
                <c:pt idx="252">
                  <c:v>24.4</c:v>
                </c:pt>
                <c:pt idx="253">
                  <c:v>35.799999999999997</c:v>
                </c:pt>
                <c:pt idx="254">
                  <c:v>27.6</c:v>
                </c:pt>
                <c:pt idx="255">
                  <c:v>33.6</c:v>
                </c:pt>
                <c:pt idx="256">
                  <c:v>30.1</c:v>
                </c:pt>
                <c:pt idx="257">
                  <c:v>28.7</c:v>
                </c:pt>
                <c:pt idx="258">
                  <c:v>25.9</c:v>
                </c:pt>
                <c:pt idx="259">
                  <c:v>33.299999999999997</c:v>
                </c:pt>
                <c:pt idx="260">
                  <c:v>30.9</c:v>
                </c:pt>
                <c:pt idx="261">
                  <c:v>30</c:v>
                </c:pt>
                <c:pt idx="262">
                  <c:v>32.1</c:v>
                </c:pt>
                <c:pt idx="263">
                  <c:v>32.4</c:v>
                </c:pt>
                <c:pt idx="264">
                  <c:v>32</c:v>
                </c:pt>
                <c:pt idx="265">
                  <c:v>33.6</c:v>
                </c:pt>
                <c:pt idx="266">
                  <c:v>36.299999999999997</c:v>
                </c:pt>
                <c:pt idx="267">
                  <c:v>40</c:v>
                </c:pt>
                <c:pt idx="268">
                  <c:v>25.1</c:v>
                </c:pt>
                <c:pt idx="269">
                  <c:v>27.5</c:v>
                </c:pt>
                <c:pt idx="270">
                  <c:v>45.6</c:v>
                </c:pt>
                <c:pt idx="271">
                  <c:v>25.2</c:v>
                </c:pt>
                <c:pt idx="272">
                  <c:v>23</c:v>
                </c:pt>
                <c:pt idx="273">
                  <c:v>33.200000000000003</c:v>
                </c:pt>
                <c:pt idx="274">
                  <c:v>34.200000000000003</c:v>
                </c:pt>
                <c:pt idx="275">
                  <c:v>40.5</c:v>
                </c:pt>
                <c:pt idx="276">
                  <c:v>26.5</c:v>
                </c:pt>
                <c:pt idx="277">
                  <c:v>27.8</c:v>
                </c:pt>
                <c:pt idx="278">
                  <c:v>24.9</c:v>
                </c:pt>
                <c:pt idx="279">
                  <c:v>25.3</c:v>
                </c:pt>
                <c:pt idx="280">
                  <c:v>37.9</c:v>
                </c:pt>
                <c:pt idx="281">
                  <c:v>35.9</c:v>
                </c:pt>
                <c:pt idx="282">
                  <c:v>32.4</c:v>
                </c:pt>
                <c:pt idx="283">
                  <c:v>30.4</c:v>
                </c:pt>
                <c:pt idx="284">
                  <c:v>27</c:v>
                </c:pt>
                <c:pt idx="285">
                  <c:v>26</c:v>
                </c:pt>
                <c:pt idx="286">
                  <c:v>38.700000000000003</c:v>
                </c:pt>
                <c:pt idx="287">
                  <c:v>45.6</c:v>
                </c:pt>
                <c:pt idx="288">
                  <c:v>20.8</c:v>
                </c:pt>
                <c:pt idx="289">
                  <c:v>36.1</c:v>
                </c:pt>
                <c:pt idx="290">
                  <c:v>36.9</c:v>
                </c:pt>
                <c:pt idx="291">
                  <c:v>36.6</c:v>
                </c:pt>
                <c:pt idx="292">
                  <c:v>43.3</c:v>
                </c:pt>
                <c:pt idx="293">
                  <c:v>40.5</c:v>
                </c:pt>
                <c:pt idx="294">
                  <c:v>21.9</c:v>
                </c:pt>
                <c:pt idx="295">
                  <c:v>35.5</c:v>
                </c:pt>
                <c:pt idx="296">
                  <c:v>28</c:v>
                </c:pt>
                <c:pt idx="297">
                  <c:v>30.7</c:v>
                </c:pt>
                <c:pt idx="298">
                  <c:v>36.6</c:v>
                </c:pt>
                <c:pt idx="299">
                  <c:v>23.6</c:v>
                </c:pt>
                <c:pt idx="300">
                  <c:v>32.299999999999997</c:v>
                </c:pt>
                <c:pt idx="301">
                  <c:v>31.6</c:v>
                </c:pt>
                <c:pt idx="302">
                  <c:v>35.799999999999997</c:v>
                </c:pt>
                <c:pt idx="303">
                  <c:v>52.9</c:v>
                </c:pt>
                <c:pt idx="304">
                  <c:v>21</c:v>
                </c:pt>
                <c:pt idx="305">
                  <c:v>39.700000000000003</c:v>
                </c:pt>
                <c:pt idx="306">
                  <c:v>25.5</c:v>
                </c:pt>
                <c:pt idx="307">
                  <c:v>24.8</c:v>
                </c:pt>
                <c:pt idx="308">
                  <c:v>30.5</c:v>
                </c:pt>
                <c:pt idx="309">
                  <c:v>32.9</c:v>
                </c:pt>
                <c:pt idx="310">
                  <c:v>26.2</c:v>
                </c:pt>
                <c:pt idx="311">
                  <c:v>39.4</c:v>
                </c:pt>
                <c:pt idx="312">
                  <c:v>26.6</c:v>
                </c:pt>
                <c:pt idx="313">
                  <c:v>29.5</c:v>
                </c:pt>
                <c:pt idx="314">
                  <c:v>35.9</c:v>
                </c:pt>
                <c:pt idx="315">
                  <c:v>34.1</c:v>
                </c:pt>
                <c:pt idx="316">
                  <c:v>19.3</c:v>
                </c:pt>
                <c:pt idx="317">
                  <c:v>30.5</c:v>
                </c:pt>
                <c:pt idx="318">
                  <c:v>38.1</c:v>
                </c:pt>
                <c:pt idx="319">
                  <c:v>23.5</c:v>
                </c:pt>
                <c:pt idx="320">
                  <c:v>27.5</c:v>
                </c:pt>
                <c:pt idx="321">
                  <c:v>31.6</c:v>
                </c:pt>
                <c:pt idx="322">
                  <c:v>27.4</c:v>
                </c:pt>
                <c:pt idx="323">
                  <c:v>26.8</c:v>
                </c:pt>
                <c:pt idx="324">
                  <c:v>35.700000000000003</c:v>
                </c:pt>
                <c:pt idx="325">
                  <c:v>25.6</c:v>
                </c:pt>
                <c:pt idx="326">
                  <c:v>35.1</c:v>
                </c:pt>
                <c:pt idx="327">
                  <c:v>35.1</c:v>
                </c:pt>
                <c:pt idx="328">
                  <c:v>45.5</c:v>
                </c:pt>
                <c:pt idx="329">
                  <c:v>30.8</c:v>
                </c:pt>
                <c:pt idx="330">
                  <c:v>23.1</c:v>
                </c:pt>
                <c:pt idx="331">
                  <c:v>32.700000000000003</c:v>
                </c:pt>
                <c:pt idx="332">
                  <c:v>43.3</c:v>
                </c:pt>
                <c:pt idx="333">
                  <c:v>23.6</c:v>
                </c:pt>
                <c:pt idx="334">
                  <c:v>23.9</c:v>
                </c:pt>
                <c:pt idx="335">
                  <c:v>47.9</c:v>
                </c:pt>
                <c:pt idx="336">
                  <c:v>33.799999999999997</c:v>
                </c:pt>
                <c:pt idx="337">
                  <c:v>31.2</c:v>
                </c:pt>
                <c:pt idx="338">
                  <c:v>34.200000000000003</c:v>
                </c:pt>
                <c:pt idx="339">
                  <c:v>39.9</c:v>
                </c:pt>
                <c:pt idx="340">
                  <c:v>25.9</c:v>
                </c:pt>
                <c:pt idx="341">
                  <c:v>25.9</c:v>
                </c:pt>
                <c:pt idx="342">
                  <c:v>32</c:v>
                </c:pt>
                <c:pt idx="343">
                  <c:v>34.700000000000003</c:v>
                </c:pt>
                <c:pt idx="344">
                  <c:v>36.799999999999997</c:v>
                </c:pt>
                <c:pt idx="345">
                  <c:v>38.5</c:v>
                </c:pt>
                <c:pt idx="346">
                  <c:v>28.7</c:v>
                </c:pt>
                <c:pt idx="347">
                  <c:v>23.5</c:v>
                </c:pt>
                <c:pt idx="348">
                  <c:v>21.8</c:v>
                </c:pt>
                <c:pt idx="349">
                  <c:v>41</c:v>
                </c:pt>
                <c:pt idx="350">
                  <c:v>42.2</c:v>
                </c:pt>
                <c:pt idx="351">
                  <c:v>31.2</c:v>
                </c:pt>
                <c:pt idx="352">
                  <c:v>34.4</c:v>
                </c:pt>
                <c:pt idx="353">
                  <c:v>27.2</c:v>
                </c:pt>
                <c:pt idx="354">
                  <c:v>42.7</c:v>
                </c:pt>
                <c:pt idx="355">
                  <c:v>30.4</c:v>
                </c:pt>
                <c:pt idx="356">
                  <c:v>33.299999999999997</c:v>
                </c:pt>
                <c:pt idx="357">
                  <c:v>39.9</c:v>
                </c:pt>
                <c:pt idx="358">
                  <c:v>35.299999999999997</c:v>
                </c:pt>
                <c:pt idx="359">
                  <c:v>36.5</c:v>
                </c:pt>
                <c:pt idx="360">
                  <c:v>31.2</c:v>
                </c:pt>
                <c:pt idx="361">
                  <c:v>29.8</c:v>
                </c:pt>
                <c:pt idx="362">
                  <c:v>39.200000000000003</c:v>
                </c:pt>
                <c:pt idx="363">
                  <c:v>38.5</c:v>
                </c:pt>
                <c:pt idx="364">
                  <c:v>34.9</c:v>
                </c:pt>
                <c:pt idx="365">
                  <c:v>34</c:v>
                </c:pt>
                <c:pt idx="366">
                  <c:v>27.6</c:v>
                </c:pt>
                <c:pt idx="367">
                  <c:v>21</c:v>
                </c:pt>
                <c:pt idx="368">
                  <c:v>27.5</c:v>
                </c:pt>
                <c:pt idx="369">
                  <c:v>32.799999999999997</c:v>
                </c:pt>
                <c:pt idx="370">
                  <c:v>38.4</c:v>
                </c:pt>
                <c:pt idx="371">
                  <c:v>32.299999999999997</c:v>
                </c:pt>
                <c:pt idx="372">
                  <c:v>35.799999999999997</c:v>
                </c:pt>
                <c:pt idx="373">
                  <c:v>34.9</c:v>
                </c:pt>
                <c:pt idx="374">
                  <c:v>36.200000000000003</c:v>
                </c:pt>
                <c:pt idx="375">
                  <c:v>39.200000000000003</c:v>
                </c:pt>
                <c:pt idx="376">
                  <c:v>25.2</c:v>
                </c:pt>
                <c:pt idx="377">
                  <c:v>37.200000000000003</c:v>
                </c:pt>
                <c:pt idx="378">
                  <c:v>48.3</c:v>
                </c:pt>
                <c:pt idx="379">
                  <c:v>43.4</c:v>
                </c:pt>
                <c:pt idx="380">
                  <c:v>30.8</c:v>
                </c:pt>
                <c:pt idx="381">
                  <c:v>20</c:v>
                </c:pt>
                <c:pt idx="382">
                  <c:v>25.4</c:v>
                </c:pt>
                <c:pt idx="383">
                  <c:v>25.1</c:v>
                </c:pt>
                <c:pt idx="384">
                  <c:v>24.3</c:v>
                </c:pt>
                <c:pt idx="385">
                  <c:v>22.3</c:v>
                </c:pt>
                <c:pt idx="386">
                  <c:v>32.299999999999997</c:v>
                </c:pt>
                <c:pt idx="387">
                  <c:v>43.3</c:v>
                </c:pt>
                <c:pt idx="388">
                  <c:v>32</c:v>
                </c:pt>
                <c:pt idx="389">
                  <c:v>31.6</c:v>
                </c:pt>
                <c:pt idx="390">
                  <c:v>32</c:v>
                </c:pt>
                <c:pt idx="391">
                  <c:v>45.7</c:v>
                </c:pt>
                <c:pt idx="392">
                  <c:v>23.7</c:v>
                </c:pt>
                <c:pt idx="393">
                  <c:v>22.1</c:v>
                </c:pt>
                <c:pt idx="394">
                  <c:v>32.9</c:v>
                </c:pt>
                <c:pt idx="395">
                  <c:v>27.7</c:v>
                </c:pt>
                <c:pt idx="396">
                  <c:v>24.7</c:v>
                </c:pt>
                <c:pt idx="397">
                  <c:v>34.299999999999997</c:v>
                </c:pt>
                <c:pt idx="398">
                  <c:v>21.1</c:v>
                </c:pt>
                <c:pt idx="399">
                  <c:v>34.9</c:v>
                </c:pt>
                <c:pt idx="400">
                  <c:v>32</c:v>
                </c:pt>
                <c:pt idx="401">
                  <c:v>24.2</c:v>
                </c:pt>
                <c:pt idx="402">
                  <c:v>35</c:v>
                </c:pt>
                <c:pt idx="403">
                  <c:v>31.6</c:v>
                </c:pt>
                <c:pt idx="404">
                  <c:v>32.9</c:v>
                </c:pt>
                <c:pt idx="405">
                  <c:v>42.1</c:v>
                </c:pt>
                <c:pt idx="406">
                  <c:v>28.9</c:v>
                </c:pt>
                <c:pt idx="407">
                  <c:v>21.9</c:v>
                </c:pt>
                <c:pt idx="408">
                  <c:v>25.9</c:v>
                </c:pt>
                <c:pt idx="409">
                  <c:v>42.4</c:v>
                </c:pt>
                <c:pt idx="410">
                  <c:v>35.700000000000003</c:v>
                </c:pt>
                <c:pt idx="411">
                  <c:v>34.4</c:v>
                </c:pt>
                <c:pt idx="412">
                  <c:v>42.4</c:v>
                </c:pt>
                <c:pt idx="413">
                  <c:v>26.2</c:v>
                </c:pt>
                <c:pt idx="414">
                  <c:v>34.6</c:v>
                </c:pt>
                <c:pt idx="415">
                  <c:v>35.700000000000003</c:v>
                </c:pt>
                <c:pt idx="416">
                  <c:v>27.2</c:v>
                </c:pt>
                <c:pt idx="417">
                  <c:v>38.5</c:v>
                </c:pt>
                <c:pt idx="418">
                  <c:v>18.2</c:v>
                </c:pt>
                <c:pt idx="419">
                  <c:v>26.4</c:v>
                </c:pt>
                <c:pt idx="420">
                  <c:v>45.3</c:v>
                </c:pt>
                <c:pt idx="421">
                  <c:v>26</c:v>
                </c:pt>
                <c:pt idx="422">
                  <c:v>40.6</c:v>
                </c:pt>
                <c:pt idx="423">
                  <c:v>30.8</c:v>
                </c:pt>
                <c:pt idx="424">
                  <c:v>42.9</c:v>
                </c:pt>
                <c:pt idx="425">
                  <c:v>37</c:v>
                </c:pt>
                <c:pt idx="426">
                  <c:v>32.299999999999997</c:v>
                </c:pt>
                <c:pt idx="427">
                  <c:v>34.1</c:v>
                </c:pt>
                <c:pt idx="428">
                  <c:v>40.6</c:v>
                </c:pt>
                <c:pt idx="429">
                  <c:v>35</c:v>
                </c:pt>
                <c:pt idx="430">
                  <c:v>22.2</c:v>
                </c:pt>
                <c:pt idx="431">
                  <c:v>30.4</c:v>
                </c:pt>
                <c:pt idx="432">
                  <c:v>30</c:v>
                </c:pt>
                <c:pt idx="433">
                  <c:v>25.6</c:v>
                </c:pt>
                <c:pt idx="434">
                  <c:v>24.5</c:v>
                </c:pt>
                <c:pt idx="435">
                  <c:v>42.4</c:v>
                </c:pt>
                <c:pt idx="436">
                  <c:v>37.4</c:v>
                </c:pt>
                <c:pt idx="437">
                  <c:v>29.9</c:v>
                </c:pt>
                <c:pt idx="438">
                  <c:v>18.2</c:v>
                </c:pt>
                <c:pt idx="439">
                  <c:v>36.799999999999997</c:v>
                </c:pt>
                <c:pt idx="440">
                  <c:v>34.299999999999997</c:v>
                </c:pt>
                <c:pt idx="441">
                  <c:v>32.200000000000003</c:v>
                </c:pt>
                <c:pt idx="442">
                  <c:v>33.200000000000003</c:v>
                </c:pt>
                <c:pt idx="443">
                  <c:v>30.5</c:v>
                </c:pt>
                <c:pt idx="444">
                  <c:v>29.7</c:v>
                </c:pt>
                <c:pt idx="445">
                  <c:v>59.4</c:v>
                </c:pt>
                <c:pt idx="446">
                  <c:v>25.3</c:v>
                </c:pt>
                <c:pt idx="447">
                  <c:v>36.5</c:v>
                </c:pt>
                <c:pt idx="448">
                  <c:v>33.6</c:v>
                </c:pt>
                <c:pt idx="449">
                  <c:v>30.5</c:v>
                </c:pt>
                <c:pt idx="450">
                  <c:v>21.2</c:v>
                </c:pt>
                <c:pt idx="451">
                  <c:v>28.9</c:v>
                </c:pt>
                <c:pt idx="452">
                  <c:v>39.9</c:v>
                </c:pt>
                <c:pt idx="453">
                  <c:v>19.600000000000001</c:v>
                </c:pt>
                <c:pt idx="454">
                  <c:v>37.799999999999997</c:v>
                </c:pt>
                <c:pt idx="455">
                  <c:v>33.6</c:v>
                </c:pt>
                <c:pt idx="456">
                  <c:v>26.7</c:v>
                </c:pt>
                <c:pt idx="457">
                  <c:v>30.2</c:v>
                </c:pt>
                <c:pt idx="458">
                  <c:v>37.6</c:v>
                </c:pt>
                <c:pt idx="459">
                  <c:v>25.9</c:v>
                </c:pt>
                <c:pt idx="460">
                  <c:v>20.8</c:v>
                </c:pt>
                <c:pt idx="461">
                  <c:v>21.8</c:v>
                </c:pt>
                <c:pt idx="462">
                  <c:v>35.299999999999997</c:v>
                </c:pt>
                <c:pt idx="463">
                  <c:v>27.6</c:v>
                </c:pt>
                <c:pt idx="464">
                  <c:v>24</c:v>
                </c:pt>
                <c:pt idx="465">
                  <c:v>21.8</c:v>
                </c:pt>
                <c:pt idx="466">
                  <c:v>27.8</c:v>
                </c:pt>
                <c:pt idx="467">
                  <c:v>36.799999999999997</c:v>
                </c:pt>
                <c:pt idx="468">
                  <c:v>30</c:v>
                </c:pt>
                <c:pt idx="469">
                  <c:v>46.1</c:v>
                </c:pt>
                <c:pt idx="470">
                  <c:v>41.3</c:v>
                </c:pt>
                <c:pt idx="471">
                  <c:v>33.200000000000003</c:v>
                </c:pt>
                <c:pt idx="472">
                  <c:v>38.799999999999997</c:v>
                </c:pt>
                <c:pt idx="473">
                  <c:v>29.9</c:v>
                </c:pt>
                <c:pt idx="474">
                  <c:v>28.9</c:v>
                </c:pt>
                <c:pt idx="475">
                  <c:v>27.3</c:v>
                </c:pt>
                <c:pt idx="476">
                  <c:v>33.700000000000003</c:v>
                </c:pt>
                <c:pt idx="477">
                  <c:v>23.8</c:v>
                </c:pt>
                <c:pt idx="478">
                  <c:v>25.9</c:v>
                </c:pt>
                <c:pt idx="479">
                  <c:v>28</c:v>
                </c:pt>
                <c:pt idx="480">
                  <c:v>35.5</c:v>
                </c:pt>
                <c:pt idx="481">
                  <c:v>35.200000000000003</c:v>
                </c:pt>
                <c:pt idx="482">
                  <c:v>27.8</c:v>
                </c:pt>
                <c:pt idx="483">
                  <c:v>38.200000000000003</c:v>
                </c:pt>
                <c:pt idx="484">
                  <c:v>44.2</c:v>
                </c:pt>
                <c:pt idx="485">
                  <c:v>42.3</c:v>
                </c:pt>
                <c:pt idx="486">
                  <c:v>40.700000000000003</c:v>
                </c:pt>
                <c:pt idx="487">
                  <c:v>46.5</c:v>
                </c:pt>
                <c:pt idx="488">
                  <c:v>25.6</c:v>
                </c:pt>
                <c:pt idx="489">
                  <c:v>26.1</c:v>
                </c:pt>
                <c:pt idx="490">
                  <c:v>36.799999999999997</c:v>
                </c:pt>
                <c:pt idx="491">
                  <c:v>33.5</c:v>
                </c:pt>
                <c:pt idx="492">
                  <c:v>32.799999999999997</c:v>
                </c:pt>
                <c:pt idx="493">
                  <c:v>28.9</c:v>
                </c:pt>
                <c:pt idx="494">
                  <c:v>32.299999999999997</c:v>
                </c:pt>
                <c:pt idx="495">
                  <c:v>26.6</c:v>
                </c:pt>
                <c:pt idx="496">
                  <c:v>26</c:v>
                </c:pt>
                <c:pt idx="497">
                  <c:v>30.1</c:v>
                </c:pt>
                <c:pt idx="498">
                  <c:v>25.1</c:v>
                </c:pt>
                <c:pt idx="499">
                  <c:v>29.3</c:v>
                </c:pt>
                <c:pt idx="500">
                  <c:v>25.2</c:v>
                </c:pt>
                <c:pt idx="501">
                  <c:v>37.200000000000003</c:v>
                </c:pt>
                <c:pt idx="502">
                  <c:v>39</c:v>
                </c:pt>
                <c:pt idx="503">
                  <c:v>33.299999999999997</c:v>
                </c:pt>
                <c:pt idx="504">
                  <c:v>37.299999999999997</c:v>
                </c:pt>
                <c:pt idx="505">
                  <c:v>33.299999999999997</c:v>
                </c:pt>
                <c:pt idx="506">
                  <c:v>36.5</c:v>
                </c:pt>
                <c:pt idx="507">
                  <c:v>28.6</c:v>
                </c:pt>
                <c:pt idx="508">
                  <c:v>30.4</c:v>
                </c:pt>
                <c:pt idx="509">
                  <c:v>25</c:v>
                </c:pt>
                <c:pt idx="510">
                  <c:v>29.7</c:v>
                </c:pt>
                <c:pt idx="511">
                  <c:v>22.1</c:v>
                </c:pt>
                <c:pt idx="512">
                  <c:v>24.2</c:v>
                </c:pt>
                <c:pt idx="513">
                  <c:v>27.3</c:v>
                </c:pt>
                <c:pt idx="514">
                  <c:v>25.6</c:v>
                </c:pt>
                <c:pt idx="515">
                  <c:v>31.6</c:v>
                </c:pt>
                <c:pt idx="516">
                  <c:v>30.3</c:v>
                </c:pt>
                <c:pt idx="517">
                  <c:v>37.6</c:v>
                </c:pt>
                <c:pt idx="518">
                  <c:v>32.799999999999997</c:v>
                </c:pt>
                <c:pt idx="519">
                  <c:v>19.600000000000001</c:v>
                </c:pt>
                <c:pt idx="520">
                  <c:v>25</c:v>
                </c:pt>
                <c:pt idx="521">
                  <c:v>33.200000000000003</c:v>
                </c:pt>
                <c:pt idx="522">
                  <c:v>32.299999999999997</c:v>
                </c:pt>
                <c:pt idx="523">
                  <c:v>34.200000000000003</c:v>
                </c:pt>
                <c:pt idx="524">
                  <c:v>31.6</c:v>
                </c:pt>
                <c:pt idx="525">
                  <c:v>21.8</c:v>
                </c:pt>
                <c:pt idx="526">
                  <c:v>18.2</c:v>
                </c:pt>
                <c:pt idx="527">
                  <c:v>26.3</c:v>
                </c:pt>
                <c:pt idx="528">
                  <c:v>30.8</c:v>
                </c:pt>
                <c:pt idx="529">
                  <c:v>24.6</c:v>
                </c:pt>
                <c:pt idx="530">
                  <c:v>29.8</c:v>
                </c:pt>
                <c:pt idx="531">
                  <c:v>45.3</c:v>
                </c:pt>
                <c:pt idx="532">
                  <c:v>41.3</c:v>
                </c:pt>
                <c:pt idx="533">
                  <c:v>29.8</c:v>
                </c:pt>
                <c:pt idx="534">
                  <c:v>33.299999999999997</c:v>
                </c:pt>
                <c:pt idx="535">
                  <c:v>32.9</c:v>
                </c:pt>
                <c:pt idx="536">
                  <c:v>29.6</c:v>
                </c:pt>
                <c:pt idx="537">
                  <c:v>21.7</c:v>
                </c:pt>
                <c:pt idx="538">
                  <c:v>36.299999999999997</c:v>
                </c:pt>
                <c:pt idx="539">
                  <c:v>36.4</c:v>
                </c:pt>
                <c:pt idx="540">
                  <c:v>39.4</c:v>
                </c:pt>
                <c:pt idx="541">
                  <c:v>32.4</c:v>
                </c:pt>
                <c:pt idx="542">
                  <c:v>34.9</c:v>
                </c:pt>
                <c:pt idx="543">
                  <c:v>39.5</c:v>
                </c:pt>
                <c:pt idx="544">
                  <c:v>32</c:v>
                </c:pt>
                <c:pt idx="545">
                  <c:v>34.5</c:v>
                </c:pt>
                <c:pt idx="546">
                  <c:v>43.6</c:v>
                </c:pt>
                <c:pt idx="547">
                  <c:v>33.1</c:v>
                </c:pt>
                <c:pt idx="548">
                  <c:v>32.799999999999997</c:v>
                </c:pt>
                <c:pt idx="549">
                  <c:v>28.5</c:v>
                </c:pt>
                <c:pt idx="550">
                  <c:v>27.4</c:v>
                </c:pt>
                <c:pt idx="551">
                  <c:v>31.9</c:v>
                </c:pt>
                <c:pt idx="552">
                  <c:v>27.8</c:v>
                </c:pt>
                <c:pt idx="553">
                  <c:v>29.9</c:v>
                </c:pt>
                <c:pt idx="554">
                  <c:v>36.9</c:v>
                </c:pt>
                <c:pt idx="555">
                  <c:v>25.5</c:v>
                </c:pt>
                <c:pt idx="556">
                  <c:v>38.1</c:v>
                </c:pt>
                <c:pt idx="557">
                  <c:v>27.8</c:v>
                </c:pt>
                <c:pt idx="558">
                  <c:v>46.2</c:v>
                </c:pt>
                <c:pt idx="559">
                  <c:v>30.1</c:v>
                </c:pt>
                <c:pt idx="560">
                  <c:v>33.799999999999997</c:v>
                </c:pt>
                <c:pt idx="561">
                  <c:v>41.3</c:v>
                </c:pt>
                <c:pt idx="562">
                  <c:v>37.6</c:v>
                </c:pt>
                <c:pt idx="563">
                  <c:v>26.9</c:v>
                </c:pt>
                <c:pt idx="564">
                  <c:v>32.4</c:v>
                </c:pt>
                <c:pt idx="565">
                  <c:v>26.1</c:v>
                </c:pt>
                <c:pt idx="566">
                  <c:v>38.6</c:v>
                </c:pt>
                <c:pt idx="567">
                  <c:v>32</c:v>
                </c:pt>
                <c:pt idx="568">
                  <c:v>31.3</c:v>
                </c:pt>
                <c:pt idx="569">
                  <c:v>34.299999999999997</c:v>
                </c:pt>
                <c:pt idx="570">
                  <c:v>32.5</c:v>
                </c:pt>
                <c:pt idx="571">
                  <c:v>22.6</c:v>
                </c:pt>
                <c:pt idx="572">
                  <c:v>29.5</c:v>
                </c:pt>
                <c:pt idx="573">
                  <c:v>34.700000000000003</c:v>
                </c:pt>
                <c:pt idx="574">
                  <c:v>30.1</c:v>
                </c:pt>
                <c:pt idx="575">
                  <c:v>35.5</c:v>
                </c:pt>
                <c:pt idx="576">
                  <c:v>24</c:v>
                </c:pt>
                <c:pt idx="577">
                  <c:v>42.9</c:v>
                </c:pt>
                <c:pt idx="578">
                  <c:v>27</c:v>
                </c:pt>
                <c:pt idx="579">
                  <c:v>34.700000000000003</c:v>
                </c:pt>
                <c:pt idx="580">
                  <c:v>42.1</c:v>
                </c:pt>
                <c:pt idx="581">
                  <c:v>25</c:v>
                </c:pt>
                <c:pt idx="582">
                  <c:v>26.5</c:v>
                </c:pt>
                <c:pt idx="583">
                  <c:v>38.700000000000003</c:v>
                </c:pt>
                <c:pt idx="584">
                  <c:v>28.7</c:v>
                </c:pt>
                <c:pt idx="585">
                  <c:v>22.5</c:v>
                </c:pt>
                <c:pt idx="586">
                  <c:v>34.9</c:v>
                </c:pt>
                <c:pt idx="587">
                  <c:v>24.3</c:v>
                </c:pt>
                <c:pt idx="588">
                  <c:v>33.299999999999997</c:v>
                </c:pt>
                <c:pt idx="589">
                  <c:v>21.1</c:v>
                </c:pt>
                <c:pt idx="590">
                  <c:v>46.8</c:v>
                </c:pt>
                <c:pt idx="591">
                  <c:v>39.4</c:v>
                </c:pt>
                <c:pt idx="592">
                  <c:v>34.4</c:v>
                </c:pt>
                <c:pt idx="593">
                  <c:v>28.5</c:v>
                </c:pt>
                <c:pt idx="594">
                  <c:v>33.6</c:v>
                </c:pt>
                <c:pt idx="595">
                  <c:v>32</c:v>
                </c:pt>
                <c:pt idx="596">
                  <c:v>45.3</c:v>
                </c:pt>
                <c:pt idx="597">
                  <c:v>27.8</c:v>
                </c:pt>
                <c:pt idx="598">
                  <c:v>36.799999999999997</c:v>
                </c:pt>
                <c:pt idx="599">
                  <c:v>23.1</c:v>
                </c:pt>
                <c:pt idx="600">
                  <c:v>27.1</c:v>
                </c:pt>
                <c:pt idx="601">
                  <c:v>23.7</c:v>
                </c:pt>
                <c:pt idx="602">
                  <c:v>27.8</c:v>
                </c:pt>
                <c:pt idx="603">
                  <c:v>35.200000000000003</c:v>
                </c:pt>
                <c:pt idx="604">
                  <c:v>28.4</c:v>
                </c:pt>
                <c:pt idx="605">
                  <c:v>35.799999999999997</c:v>
                </c:pt>
                <c:pt idx="606">
                  <c:v>40</c:v>
                </c:pt>
                <c:pt idx="607">
                  <c:v>19.5</c:v>
                </c:pt>
                <c:pt idx="608">
                  <c:v>41.5</c:v>
                </c:pt>
                <c:pt idx="609">
                  <c:v>24</c:v>
                </c:pt>
                <c:pt idx="610">
                  <c:v>30.9</c:v>
                </c:pt>
                <c:pt idx="611">
                  <c:v>32.9</c:v>
                </c:pt>
                <c:pt idx="612">
                  <c:v>38.200000000000003</c:v>
                </c:pt>
                <c:pt idx="613">
                  <c:v>32.5</c:v>
                </c:pt>
                <c:pt idx="614">
                  <c:v>36.1</c:v>
                </c:pt>
                <c:pt idx="615">
                  <c:v>25.8</c:v>
                </c:pt>
                <c:pt idx="616">
                  <c:v>28.7</c:v>
                </c:pt>
                <c:pt idx="617">
                  <c:v>20.100000000000001</c:v>
                </c:pt>
                <c:pt idx="618">
                  <c:v>28.2</c:v>
                </c:pt>
                <c:pt idx="619">
                  <c:v>32.4</c:v>
                </c:pt>
                <c:pt idx="620">
                  <c:v>38.4</c:v>
                </c:pt>
                <c:pt idx="621">
                  <c:v>24.2</c:v>
                </c:pt>
                <c:pt idx="622">
                  <c:v>40.799999999999997</c:v>
                </c:pt>
                <c:pt idx="623">
                  <c:v>43.5</c:v>
                </c:pt>
                <c:pt idx="624">
                  <c:v>30.8</c:v>
                </c:pt>
                <c:pt idx="625">
                  <c:v>37.700000000000003</c:v>
                </c:pt>
                <c:pt idx="626">
                  <c:v>24.7</c:v>
                </c:pt>
                <c:pt idx="627">
                  <c:v>32.4</c:v>
                </c:pt>
                <c:pt idx="628">
                  <c:v>34.6</c:v>
                </c:pt>
                <c:pt idx="629">
                  <c:v>24.7</c:v>
                </c:pt>
                <c:pt idx="630">
                  <c:v>27.4</c:v>
                </c:pt>
                <c:pt idx="631">
                  <c:v>34.5</c:v>
                </c:pt>
                <c:pt idx="632">
                  <c:v>26.2</c:v>
                </c:pt>
                <c:pt idx="633">
                  <c:v>27.5</c:v>
                </c:pt>
                <c:pt idx="634">
                  <c:v>25.9</c:v>
                </c:pt>
                <c:pt idx="635">
                  <c:v>31.2</c:v>
                </c:pt>
                <c:pt idx="636">
                  <c:v>28.8</c:v>
                </c:pt>
                <c:pt idx="637">
                  <c:v>31.6</c:v>
                </c:pt>
                <c:pt idx="638">
                  <c:v>40.9</c:v>
                </c:pt>
                <c:pt idx="639">
                  <c:v>19.5</c:v>
                </c:pt>
                <c:pt idx="640">
                  <c:v>29.3</c:v>
                </c:pt>
                <c:pt idx="641">
                  <c:v>34.299999999999997</c:v>
                </c:pt>
                <c:pt idx="642">
                  <c:v>29.5</c:v>
                </c:pt>
                <c:pt idx="643">
                  <c:v>28</c:v>
                </c:pt>
                <c:pt idx="644">
                  <c:v>27.6</c:v>
                </c:pt>
                <c:pt idx="645">
                  <c:v>39.4</c:v>
                </c:pt>
                <c:pt idx="646">
                  <c:v>23.4</c:v>
                </c:pt>
                <c:pt idx="647">
                  <c:v>37.799999999999997</c:v>
                </c:pt>
                <c:pt idx="648">
                  <c:v>28.3</c:v>
                </c:pt>
                <c:pt idx="649">
                  <c:v>26.4</c:v>
                </c:pt>
                <c:pt idx="650">
                  <c:v>25.2</c:v>
                </c:pt>
                <c:pt idx="651">
                  <c:v>33.799999999999997</c:v>
                </c:pt>
                <c:pt idx="652">
                  <c:v>34.1</c:v>
                </c:pt>
                <c:pt idx="653">
                  <c:v>26.8</c:v>
                </c:pt>
                <c:pt idx="654">
                  <c:v>34.200000000000003</c:v>
                </c:pt>
                <c:pt idx="655">
                  <c:v>38.700000000000003</c:v>
                </c:pt>
                <c:pt idx="656">
                  <c:v>21.8</c:v>
                </c:pt>
                <c:pt idx="657">
                  <c:v>38.9</c:v>
                </c:pt>
                <c:pt idx="658">
                  <c:v>39</c:v>
                </c:pt>
                <c:pt idx="659">
                  <c:v>34.200000000000003</c:v>
                </c:pt>
                <c:pt idx="660">
                  <c:v>27.7</c:v>
                </c:pt>
                <c:pt idx="661">
                  <c:v>42.9</c:v>
                </c:pt>
                <c:pt idx="662">
                  <c:v>37.6</c:v>
                </c:pt>
                <c:pt idx="663">
                  <c:v>37.9</c:v>
                </c:pt>
                <c:pt idx="664">
                  <c:v>33.700000000000003</c:v>
                </c:pt>
                <c:pt idx="665">
                  <c:v>34.799999999999997</c:v>
                </c:pt>
                <c:pt idx="666">
                  <c:v>32.5</c:v>
                </c:pt>
                <c:pt idx="667">
                  <c:v>27.5</c:v>
                </c:pt>
                <c:pt idx="668">
                  <c:v>34</c:v>
                </c:pt>
                <c:pt idx="669">
                  <c:v>30.9</c:v>
                </c:pt>
                <c:pt idx="670">
                  <c:v>33.6</c:v>
                </c:pt>
                <c:pt idx="671">
                  <c:v>25.4</c:v>
                </c:pt>
                <c:pt idx="672">
                  <c:v>35.5</c:v>
                </c:pt>
                <c:pt idx="673">
                  <c:v>57.3</c:v>
                </c:pt>
                <c:pt idx="674">
                  <c:v>35.6</c:v>
                </c:pt>
                <c:pt idx="675">
                  <c:v>30.9</c:v>
                </c:pt>
                <c:pt idx="676">
                  <c:v>24.8</c:v>
                </c:pt>
                <c:pt idx="677">
                  <c:v>35.299999999999997</c:v>
                </c:pt>
                <c:pt idx="678">
                  <c:v>36</c:v>
                </c:pt>
                <c:pt idx="679">
                  <c:v>24.2</c:v>
                </c:pt>
                <c:pt idx="680">
                  <c:v>24.2</c:v>
                </c:pt>
                <c:pt idx="681">
                  <c:v>49.6</c:v>
                </c:pt>
                <c:pt idx="682">
                  <c:v>44.6</c:v>
                </c:pt>
                <c:pt idx="683">
                  <c:v>32.299999999999997</c:v>
                </c:pt>
                <c:pt idx="684">
                  <c:v>32.299999999999997</c:v>
                </c:pt>
                <c:pt idx="685">
                  <c:v>33.200000000000003</c:v>
                </c:pt>
                <c:pt idx="686">
                  <c:v>23.1</c:v>
                </c:pt>
                <c:pt idx="687">
                  <c:v>28.3</c:v>
                </c:pt>
                <c:pt idx="688">
                  <c:v>24.1</c:v>
                </c:pt>
                <c:pt idx="689">
                  <c:v>46.1</c:v>
                </c:pt>
                <c:pt idx="690">
                  <c:v>24.6</c:v>
                </c:pt>
                <c:pt idx="691">
                  <c:v>42.3</c:v>
                </c:pt>
                <c:pt idx="692">
                  <c:v>39.1</c:v>
                </c:pt>
                <c:pt idx="693">
                  <c:v>38.5</c:v>
                </c:pt>
                <c:pt idx="694">
                  <c:v>23.5</c:v>
                </c:pt>
                <c:pt idx="695">
                  <c:v>30.4</c:v>
                </c:pt>
                <c:pt idx="696">
                  <c:v>29.9</c:v>
                </c:pt>
                <c:pt idx="697">
                  <c:v>25</c:v>
                </c:pt>
                <c:pt idx="698">
                  <c:v>34.5</c:v>
                </c:pt>
                <c:pt idx="699">
                  <c:v>44.5</c:v>
                </c:pt>
                <c:pt idx="700">
                  <c:v>35.9</c:v>
                </c:pt>
                <c:pt idx="701">
                  <c:v>27.6</c:v>
                </c:pt>
                <c:pt idx="702">
                  <c:v>35</c:v>
                </c:pt>
                <c:pt idx="703">
                  <c:v>38.5</c:v>
                </c:pt>
                <c:pt idx="704">
                  <c:v>28.4</c:v>
                </c:pt>
                <c:pt idx="705">
                  <c:v>39.799999999999997</c:v>
                </c:pt>
                <c:pt idx="706">
                  <c:v>32.299999999999997</c:v>
                </c:pt>
                <c:pt idx="707">
                  <c:v>34.4</c:v>
                </c:pt>
                <c:pt idx="708">
                  <c:v>32.799999999999997</c:v>
                </c:pt>
                <c:pt idx="709">
                  <c:v>38</c:v>
                </c:pt>
                <c:pt idx="710">
                  <c:v>31.2</c:v>
                </c:pt>
                <c:pt idx="711">
                  <c:v>29.6</c:v>
                </c:pt>
                <c:pt idx="712">
                  <c:v>41.2</c:v>
                </c:pt>
                <c:pt idx="713">
                  <c:v>26.4</c:v>
                </c:pt>
                <c:pt idx="714">
                  <c:v>29.5</c:v>
                </c:pt>
                <c:pt idx="715">
                  <c:v>33.9</c:v>
                </c:pt>
                <c:pt idx="716">
                  <c:v>33.799999999999997</c:v>
                </c:pt>
                <c:pt idx="717">
                  <c:v>23.1</c:v>
                </c:pt>
                <c:pt idx="718">
                  <c:v>35.5</c:v>
                </c:pt>
                <c:pt idx="719">
                  <c:v>35.6</c:v>
                </c:pt>
                <c:pt idx="720">
                  <c:v>29.3</c:v>
                </c:pt>
                <c:pt idx="721">
                  <c:v>38.1</c:v>
                </c:pt>
                <c:pt idx="722">
                  <c:v>29.3</c:v>
                </c:pt>
                <c:pt idx="723">
                  <c:v>39.1</c:v>
                </c:pt>
                <c:pt idx="724">
                  <c:v>32.799999999999997</c:v>
                </c:pt>
                <c:pt idx="725">
                  <c:v>39.4</c:v>
                </c:pt>
                <c:pt idx="726">
                  <c:v>36.1</c:v>
                </c:pt>
                <c:pt idx="727">
                  <c:v>32.4</c:v>
                </c:pt>
                <c:pt idx="728">
                  <c:v>22.9</c:v>
                </c:pt>
                <c:pt idx="729">
                  <c:v>30.1</c:v>
                </c:pt>
                <c:pt idx="730">
                  <c:v>28.4</c:v>
                </c:pt>
                <c:pt idx="731">
                  <c:v>28.4</c:v>
                </c:pt>
                <c:pt idx="732">
                  <c:v>44.5</c:v>
                </c:pt>
                <c:pt idx="733">
                  <c:v>29</c:v>
                </c:pt>
                <c:pt idx="734">
                  <c:v>23.3</c:v>
                </c:pt>
                <c:pt idx="735">
                  <c:v>35.4</c:v>
                </c:pt>
                <c:pt idx="736">
                  <c:v>27.4</c:v>
                </c:pt>
                <c:pt idx="737">
                  <c:v>32</c:v>
                </c:pt>
                <c:pt idx="738">
                  <c:v>36.6</c:v>
                </c:pt>
                <c:pt idx="739">
                  <c:v>39.5</c:v>
                </c:pt>
                <c:pt idx="740">
                  <c:v>42.3</c:v>
                </c:pt>
                <c:pt idx="741">
                  <c:v>30.8</c:v>
                </c:pt>
                <c:pt idx="742">
                  <c:v>28.5</c:v>
                </c:pt>
                <c:pt idx="743">
                  <c:v>32.700000000000003</c:v>
                </c:pt>
                <c:pt idx="744">
                  <c:v>40.6</c:v>
                </c:pt>
                <c:pt idx="745">
                  <c:v>30</c:v>
                </c:pt>
                <c:pt idx="746">
                  <c:v>49.3</c:v>
                </c:pt>
                <c:pt idx="747">
                  <c:v>46.3</c:v>
                </c:pt>
                <c:pt idx="748">
                  <c:v>36.4</c:v>
                </c:pt>
                <c:pt idx="749">
                  <c:v>24.3</c:v>
                </c:pt>
                <c:pt idx="750">
                  <c:v>31.2</c:v>
                </c:pt>
                <c:pt idx="751">
                  <c:v>39</c:v>
                </c:pt>
                <c:pt idx="752">
                  <c:v>26</c:v>
                </c:pt>
                <c:pt idx="753">
                  <c:v>43.3</c:v>
                </c:pt>
                <c:pt idx="754">
                  <c:v>32.4</c:v>
                </c:pt>
                <c:pt idx="755">
                  <c:v>36.5</c:v>
                </c:pt>
                <c:pt idx="756">
                  <c:v>32</c:v>
                </c:pt>
                <c:pt idx="757">
                  <c:v>36.299999999999997</c:v>
                </c:pt>
                <c:pt idx="758">
                  <c:v>37.5</c:v>
                </c:pt>
                <c:pt idx="759">
                  <c:v>35.5</c:v>
                </c:pt>
                <c:pt idx="760">
                  <c:v>28.4</c:v>
                </c:pt>
                <c:pt idx="761">
                  <c:v>44</c:v>
                </c:pt>
                <c:pt idx="762">
                  <c:v>22.5</c:v>
                </c:pt>
                <c:pt idx="763">
                  <c:v>32.9</c:v>
                </c:pt>
                <c:pt idx="764">
                  <c:v>36.799999999999997</c:v>
                </c:pt>
                <c:pt idx="765">
                  <c:v>26.2</c:v>
                </c:pt>
                <c:pt idx="766">
                  <c:v>30.1</c:v>
                </c:pt>
                <c:pt idx="767">
                  <c:v>30.4</c:v>
                </c:pt>
              </c:numCache>
            </c:numRef>
          </c:yVal>
          <c:smooth val="0"/>
          <c:extLst>
            <c:ext xmlns:c16="http://schemas.microsoft.com/office/drawing/2014/chart" uri="{C3380CC4-5D6E-409C-BE32-E72D297353CC}">
              <c16:uniqueId val="{00000000-51ED-49FE-B1FC-E145CE4CA034}"/>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diabetes!$S$2:$S$769</c:f>
              <c:numCache>
                <c:formatCode>General</c:formatCode>
                <c:ptCount val="768"/>
                <c:pt idx="0">
                  <c:v>35</c:v>
                </c:pt>
                <c:pt idx="1">
                  <c:v>#N/A</c:v>
                </c:pt>
                <c:pt idx="2">
                  <c:v>29</c:v>
                </c:pt>
                <c:pt idx="3">
                  <c:v>#N/A</c:v>
                </c:pt>
                <c:pt idx="4">
                  <c:v>35</c:v>
                </c:pt>
                <c:pt idx="5">
                  <c:v>#N/A</c:v>
                </c:pt>
                <c:pt idx="6">
                  <c:v>32</c:v>
                </c:pt>
                <c:pt idx="7">
                  <c:v>#N/A</c:v>
                </c:pt>
                <c:pt idx="8">
                  <c:v>45</c:v>
                </c:pt>
                <c:pt idx="9">
                  <c:v>29</c:v>
                </c:pt>
                <c:pt idx="10">
                  <c:v>#N/A</c:v>
                </c:pt>
                <c:pt idx="11">
                  <c:v>29</c:v>
                </c:pt>
                <c:pt idx="12">
                  <c:v>#N/A</c:v>
                </c:pt>
                <c:pt idx="13">
                  <c:v>23</c:v>
                </c:pt>
                <c:pt idx="14">
                  <c:v>19</c:v>
                </c:pt>
                <c:pt idx="15">
                  <c:v>29</c:v>
                </c:pt>
                <c:pt idx="16">
                  <c:v>47</c:v>
                </c:pt>
                <c:pt idx="17">
                  <c:v>29</c:v>
                </c:pt>
                <c:pt idx="18">
                  <c:v>#N/A</c:v>
                </c:pt>
                <c:pt idx="19">
                  <c:v>30</c:v>
                </c:pt>
                <c:pt idx="20">
                  <c:v>#N/A</c:v>
                </c:pt>
                <c:pt idx="21">
                  <c:v>#N/A</c:v>
                </c:pt>
                <c:pt idx="22">
                  <c:v>29</c:v>
                </c:pt>
                <c:pt idx="23">
                  <c:v>35</c:v>
                </c:pt>
                <c:pt idx="24">
                  <c:v>33</c:v>
                </c:pt>
                <c:pt idx="25">
                  <c:v>26</c:v>
                </c:pt>
                <c:pt idx="26">
                  <c:v>29</c:v>
                </c:pt>
                <c:pt idx="27">
                  <c:v>#N/A</c:v>
                </c:pt>
                <c:pt idx="28">
                  <c:v>#N/A</c:v>
                </c:pt>
                <c:pt idx="29">
                  <c:v>#N/A</c:v>
                </c:pt>
                <c:pt idx="30">
                  <c:v>#N/A</c:v>
                </c:pt>
                <c:pt idx="31">
                  <c:v>36</c:v>
                </c:pt>
                <c:pt idx="32">
                  <c:v>#N/A</c:v>
                </c:pt>
                <c:pt idx="33">
                  <c:v>#N/A</c:v>
                </c:pt>
                <c:pt idx="34">
                  <c:v>#N/A</c:v>
                </c:pt>
                <c:pt idx="35">
                  <c:v>#N/A</c:v>
                </c:pt>
                <c:pt idx="36">
                  <c:v>#N/A</c:v>
                </c:pt>
                <c:pt idx="37">
                  <c:v>37</c:v>
                </c:pt>
                <c:pt idx="38">
                  <c:v>42</c:v>
                </c:pt>
                <c:pt idx="39">
                  <c:v>47</c:v>
                </c:pt>
                <c:pt idx="40">
                  <c:v>#N/A</c:v>
                </c:pt>
                <c:pt idx="41">
                  <c:v>#N/A</c:v>
                </c:pt>
                <c:pt idx="42">
                  <c:v>#N/A</c:v>
                </c:pt>
                <c:pt idx="43">
                  <c:v>24</c:v>
                </c:pt>
                <c:pt idx="44">
                  <c:v>#N/A</c:v>
                </c:pt>
                <c:pt idx="45">
                  <c:v>39</c:v>
                </c:pt>
                <c:pt idx="46">
                  <c:v>#N/A</c:v>
                </c:pt>
                <c:pt idx="47">
                  <c:v>#N/A</c:v>
                </c:pt>
                <c:pt idx="48">
                  <c:v>32</c:v>
                </c:pt>
                <c:pt idx="49">
                  <c:v>#N/A</c:v>
                </c:pt>
                <c:pt idx="50">
                  <c:v>#N/A</c:v>
                </c:pt>
                <c:pt idx="51">
                  <c:v>#N/A</c:v>
                </c:pt>
                <c:pt idx="52">
                  <c:v>#N/A</c:v>
                </c:pt>
                <c:pt idx="53">
                  <c:v>34</c:v>
                </c:pt>
                <c:pt idx="54">
                  <c:v>#N/A</c:v>
                </c:pt>
                <c:pt idx="55">
                  <c:v>#N/A</c:v>
                </c:pt>
                <c:pt idx="56">
                  <c:v>39</c:v>
                </c:pt>
                <c:pt idx="57">
                  <c:v>#N/A</c:v>
                </c:pt>
                <c:pt idx="58">
                  <c:v>#N/A</c:v>
                </c:pt>
                <c:pt idx="59">
                  <c:v>#N/A</c:v>
                </c:pt>
                <c:pt idx="60">
                  <c:v>#N/A</c:v>
                </c:pt>
                <c:pt idx="61">
                  <c:v>29</c:v>
                </c:pt>
                <c:pt idx="62">
                  <c:v>#N/A</c:v>
                </c:pt>
                <c:pt idx="63">
                  <c:v>#N/A</c:v>
                </c:pt>
                <c:pt idx="64">
                  <c:v>29</c:v>
                </c:pt>
                <c:pt idx="65">
                  <c:v>#N/A</c:v>
                </c:pt>
                <c:pt idx="66">
                  <c:v>30</c:v>
                </c:pt>
                <c:pt idx="67">
                  <c:v>#N/A</c:v>
                </c:pt>
                <c:pt idx="68">
                  <c:v>#N/A</c:v>
                </c:pt>
                <c:pt idx="69">
                  <c:v>#N/A</c:v>
                </c:pt>
                <c:pt idx="70">
                  <c:v>20</c:v>
                </c:pt>
                <c:pt idx="71">
                  <c:v>#N/A</c:v>
                </c:pt>
                <c:pt idx="72">
                  <c:v>29</c:v>
                </c:pt>
                <c:pt idx="73">
                  <c:v>#N/A</c:v>
                </c:pt>
                <c:pt idx="74">
                  <c:v>#N/A</c:v>
                </c:pt>
                <c:pt idx="75">
                  <c:v>#N/A</c:v>
                </c:pt>
                <c:pt idx="76">
                  <c:v>#N/A</c:v>
                </c:pt>
                <c:pt idx="77">
                  <c:v>#N/A</c:v>
                </c:pt>
                <c:pt idx="78">
                  <c:v>29</c:v>
                </c:pt>
                <c:pt idx="79">
                  <c:v>#N/A</c:v>
                </c:pt>
                <c:pt idx="80">
                  <c:v>#N/A</c:v>
                </c:pt>
                <c:pt idx="81">
                  <c:v>#N/A</c:v>
                </c:pt>
                <c:pt idx="82">
                  <c:v>#N/A</c:v>
                </c:pt>
                <c:pt idx="83">
                  <c:v>#N/A</c:v>
                </c:pt>
                <c:pt idx="84">
                  <c:v>29</c:v>
                </c:pt>
                <c:pt idx="85">
                  <c:v>#N/A</c:v>
                </c:pt>
                <c:pt idx="86">
                  <c:v>#N/A</c:v>
                </c:pt>
                <c:pt idx="87">
                  <c:v>#N/A</c:v>
                </c:pt>
                <c:pt idx="88">
                  <c:v>32</c:v>
                </c:pt>
                <c:pt idx="89">
                  <c:v>#N/A</c:v>
                </c:pt>
                <c:pt idx="90">
                  <c:v>#N/A</c:v>
                </c:pt>
                <c:pt idx="91">
                  <c:v>#N/A</c:v>
                </c:pt>
                <c:pt idx="92">
                  <c:v>#N/A</c:v>
                </c:pt>
                <c:pt idx="93">
                  <c:v>29</c:v>
                </c:pt>
                <c:pt idx="94">
                  <c:v>#N/A</c:v>
                </c:pt>
                <c:pt idx="95">
                  <c:v>#N/A</c:v>
                </c:pt>
                <c:pt idx="96">
                  <c:v>#N/A</c:v>
                </c:pt>
                <c:pt idx="97">
                  <c:v>#N/A</c:v>
                </c:pt>
                <c:pt idx="98">
                  <c:v>#N/A</c:v>
                </c:pt>
                <c:pt idx="99">
                  <c:v>51</c:v>
                </c:pt>
                <c:pt idx="100">
                  <c:v>29</c:v>
                </c:pt>
                <c:pt idx="101">
                  <c:v>#N/A</c:v>
                </c:pt>
                <c:pt idx="102">
                  <c:v>#N/A</c:v>
                </c:pt>
                <c:pt idx="103">
                  <c:v>#N/A</c:v>
                </c:pt>
                <c:pt idx="104">
                  <c:v>#N/A</c:v>
                </c:pt>
                <c:pt idx="105">
                  <c:v>#N/A</c:v>
                </c:pt>
                <c:pt idx="106">
                  <c:v>#N/A</c:v>
                </c:pt>
                <c:pt idx="107">
                  <c:v>#N/A</c:v>
                </c:pt>
                <c:pt idx="108">
                  <c:v>#N/A</c:v>
                </c:pt>
                <c:pt idx="109">
                  <c:v>25</c:v>
                </c:pt>
                <c:pt idx="110">
                  <c:v>33</c:v>
                </c:pt>
                <c:pt idx="111">
                  <c:v>26</c:v>
                </c:pt>
                <c:pt idx="112">
                  <c:v>#N/A</c:v>
                </c:pt>
                <c:pt idx="113">
                  <c:v>#N/A</c:v>
                </c:pt>
                <c:pt idx="114">
                  <c:v>32</c:v>
                </c:pt>
                <c:pt idx="115">
                  <c:v>29</c:v>
                </c:pt>
                <c:pt idx="116">
                  <c:v>29</c:v>
                </c:pt>
                <c:pt idx="117">
                  <c:v>#N/A</c:v>
                </c:pt>
                <c:pt idx="118">
                  <c:v>#N/A</c:v>
                </c:pt>
                <c:pt idx="119">
                  <c:v>#N/A</c:v>
                </c:pt>
                <c:pt idx="120">
                  <c:v>56</c:v>
                </c:pt>
                <c:pt idx="121">
                  <c:v>#N/A</c:v>
                </c:pt>
                <c:pt idx="122">
                  <c:v>#N/A</c:v>
                </c:pt>
                <c:pt idx="123">
                  <c:v>#N/A</c:v>
                </c:pt>
                <c:pt idx="124">
                  <c:v>29</c:v>
                </c:pt>
                <c:pt idx="125">
                  <c:v>42</c:v>
                </c:pt>
                <c:pt idx="126">
                  <c:v>#N/A</c:v>
                </c:pt>
                <c:pt idx="127">
                  <c:v>#N/A</c:v>
                </c:pt>
                <c:pt idx="128">
                  <c:v>24</c:v>
                </c:pt>
                <c:pt idx="129">
                  <c:v>29</c:v>
                </c:pt>
                <c:pt idx="130">
                  <c:v>14</c:v>
                </c:pt>
                <c:pt idx="131">
                  <c:v>29</c:v>
                </c:pt>
                <c:pt idx="132">
                  <c:v>37</c:v>
                </c:pt>
                <c:pt idx="133">
                  <c:v>#N/A</c:v>
                </c:pt>
                <c:pt idx="134">
                  <c:v>#N/A</c:v>
                </c:pt>
                <c:pt idx="135">
                  <c:v>#N/A</c:v>
                </c:pt>
                <c:pt idx="136">
                  <c:v>#N/A</c:v>
                </c:pt>
                <c:pt idx="137">
                  <c:v>#N/A</c:v>
                </c:pt>
                <c:pt idx="138">
                  <c:v>#N/A</c:v>
                </c:pt>
                <c:pt idx="139">
                  <c:v>#N/A</c:v>
                </c:pt>
                <c:pt idx="140">
                  <c:v>#N/A</c:v>
                </c:pt>
                <c:pt idx="141">
                  <c:v>#N/A</c:v>
                </c:pt>
                <c:pt idx="142">
                  <c:v>#N/A</c:v>
                </c:pt>
                <c:pt idx="143">
                  <c:v>29</c:v>
                </c:pt>
                <c:pt idx="144">
                  <c:v>#N/A</c:v>
                </c:pt>
                <c:pt idx="145">
                  <c:v>#N/A</c:v>
                </c:pt>
                <c:pt idx="146">
                  <c:v>#N/A</c:v>
                </c:pt>
                <c:pt idx="147">
                  <c:v>#N/A</c:v>
                </c:pt>
                <c:pt idx="148">
                  <c:v>#N/A</c:v>
                </c:pt>
                <c:pt idx="149">
                  <c:v>#N/A</c:v>
                </c:pt>
                <c:pt idx="150">
                  <c:v>#N/A</c:v>
                </c:pt>
                <c:pt idx="151">
                  <c:v>#N/A</c:v>
                </c:pt>
                <c:pt idx="152">
                  <c:v>28</c:v>
                </c:pt>
                <c:pt idx="153">
                  <c:v>#N/A</c:v>
                </c:pt>
                <c:pt idx="154">
                  <c:v>29</c:v>
                </c:pt>
                <c:pt idx="155">
                  <c:v>44</c:v>
                </c:pt>
                <c:pt idx="156">
                  <c:v>#N/A</c:v>
                </c:pt>
                <c:pt idx="157">
                  <c:v>#N/A</c:v>
                </c:pt>
                <c:pt idx="158">
                  <c:v>#N/A</c:v>
                </c:pt>
                <c:pt idx="159">
                  <c:v>41</c:v>
                </c:pt>
                <c:pt idx="160">
                  <c:v>#N/A</c:v>
                </c:pt>
                <c:pt idx="161">
                  <c:v>#N/A</c:v>
                </c:pt>
                <c:pt idx="162">
                  <c:v>#N/A</c:v>
                </c:pt>
                <c:pt idx="163">
                  <c:v>#N/A</c:v>
                </c:pt>
                <c:pt idx="164">
                  <c:v>29</c:v>
                </c:pt>
                <c:pt idx="165">
                  <c:v>18</c:v>
                </c:pt>
                <c:pt idx="166">
                  <c:v>#N/A</c:v>
                </c:pt>
                <c:pt idx="167">
                  <c:v>#N/A</c:v>
                </c:pt>
                <c:pt idx="168">
                  <c:v>#N/A</c:v>
                </c:pt>
                <c:pt idx="169">
                  <c:v>#N/A</c:v>
                </c:pt>
                <c:pt idx="170">
                  <c:v>29</c:v>
                </c:pt>
                <c:pt idx="171">
                  <c:v>23</c:v>
                </c:pt>
                <c:pt idx="172">
                  <c:v>#N/A</c:v>
                </c:pt>
                <c:pt idx="173">
                  <c:v>#N/A</c:v>
                </c:pt>
                <c:pt idx="174">
                  <c:v>#N/A</c:v>
                </c:pt>
                <c:pt idx="175">
                  <c:v>42</c:v>
                </c:pt>
                <c:pt idx="176">
                  <c:v>#N/A</c:v>
                </c:pt>
                <c:pt idx="177">
                  <c:v>46</c:v>
                </c:pt>
                <c:pt idx="178">
                  <c:v>#N/A</c:v>
                </c:pt>
                <c:pt idx="179">
                  <c:v>29</c:v>
                </c:pt>
                <c:pt idx="180">
                  <c:v>#N/A</c:v>
                </c:pt>
                <c:pt idx="181">
                  <c:v>#N/A</c:v>
                </c:pt>
                <c:pt idx="182">
                  <c:v>#N/A</c:v>
                </c:pt>
                <c:pt idx="183">
                  <c:v>#N/A</c:v>
                </c:pt>
                <c:pt idx="184">
                  <c:v>#N/A</c:v>
                </c:pt>
                <c:pt idx="185">
                  <c:v>28</c:v>
                </c:pt>
                <c:pt idx="186">
                  <c:v>36</c:v>
                </c:pt>
                <c:pt idx="187">
                  <c:v>41</c:v>
                </c:pt>
                <c:pt idx="188">
                  <c:v>39</c:v>
                </c:pt>
                <c:pt idx="189">
                  <c:v>35</c:v>
                </c:pt>
                <c:pt idx="190">
                  <c:v>#N/A</c:v>
                </c:pt>
                <c:pt idx="191">
                  <c:v>#N/A</c:v>
                </c:pt>
                <c:pt idx="192">
                  <c:v>29</c:v>
                </c:pt>
                <c:pt idx="193">
                  <c:v>29</c:v>
                </c:pt>
                <c:pt idx="194">
                  <c:v>#N/A</c:v>
                </c:pt>
                <c:pt idx="195">
                  <c:v>41</c:v>
                </c:pt>
                <c:pt idx="196">
                  <c:v>#N/A</c:v>
                </c:pt>
                <c:pt idx="197">
                  <c:v>13</c:v>
                </c:pt>
                <c:pt idx="198">
                  <c:v>44</c:v>
                </c:pt>
                <c:pt idx="199">
                  <c:v>27</c:v>
                </c:pt>
                <c:pt idx="200">
                  <c:v>#N/A</c:v>
                </c:pt>
                <c:pt idx="201">
                  <c:v>#N/A</c:v>
                </c:pt>
                <c:pt idx="202">
                  <c:v>#N/A</c:v>
                </c:pt>
                <c:pt idx="203">
                  <c:v>#N/A</c:v>
                </c:pt>
                <c:pt idx="204">
                  <c:v>#N/A</c:v>
                </c:pt>
                <c:pt idx="205">
                  <c:v>#N/A</c:v>
                </c:pt>
                <c:pt idx="206">
                  <c:v>29</c:v>
                </c:pt>
                <c:pt idx="207">
                  <c:v>29</c:v>
                </c:pt>
                <c:pt idx="208">
                  <c:v>#N/A</c:v>
                </c:pt>
                <c:pt idx="209">
                  <c:v>33</c:v>
                </c:pt>
                <c:pt idx="210">
                  <c:v>#N/A</c:v>
                </c:pt>
                <c:pt idx="211">
                  <c:v>#N/A</c:v>
                </c:pt>
                <c:pt idx="212">
                  <c:v>#N/A</c:v>
                </c:pt>
                <c:pt idx="213">
                  <c:v>26</c:v>
                </c:pt>
                <c:pt idx="214">
                  <c:v>32</c:v>
                </c:pt>
                <c:pt idx="215">
                  <c:v>40</c:v>
                </c:pt>
                <c:pt idx="216">
                  <c:v>41</c:v>
                </c:pt>
                <c:pt idx="217">
                  <c:v>#N/A</c:v>
                </c:pt>
                <c:pt idx="218">
                  <c:v>22</c:v>
                </c:pt>
                <c:pt idx="219">
                  <c:v>29</c:v>
                </c:pt>
                <c:pt idx="220">
                  <c:v>29</c:v>
                </c:pt>
                <c:pt idx="221">
                  <c:v>29</c:v>
                </c:pt>
                <c:pt idx="222">
                  <c:v>#N/A</c:v>
                </c:pt>
                <c:pt idx="223">
                  <c:v>#N/A</c:v>
                </c:pt>
                <c:pt idx="224">
                  <c:v>#N/A</c:v>
                </c:pt>
                <c:pt idx="225">
                  <c:v>#N/A</c:v>
                </c:pt>
                <c:pt idx="226">
                  <c:v>#N/A</c:v>
                </c:pt>
                <c:pt idx="227">
                  <c:v>38</c:v>
                </c:pt>
                <c:pt idx="228">
                  <c:v>#N/A</c:v>
                </c:pt>
                <c:pt idx="229">
                  <c:v>#N/A</c:v>
                </c:pt>
                <c:pt idx="230">
                  <c:v>29</c:v>
                </c:pt>
                <c:pt idx="231">
                  <c:v>37</c:v>
                </c:pt>
                <c:pt idx="232">
                  <c:v>#N/A</c:v>
                </c:pt>
                <c:pt idx="233">
                  <c:v>#N/A</c:v>
                </c:pt>
                <c:pt idx="234">
                  <c:v>#N/A</c:v>
                </c:pt>
                <c:pt idx="235">
                  <c:v>29</c:v>
                </c:pt>
                <c:pt idx="236">
                  <c:v>21</c:v>
                </c:pt>
                <c:pt idx="237">
                  <c:v>27</c:v>
                </c:pt>
                <c:pt idx="238">
                  <c:v>21</c:v>
                </c:pt>
                <c:pt idx="239">
                  <c:v>#N/A</c:v>
                </c:pt>
                <c:pt idx="240">
                  <c:v>#N/A</c:v>
                </c:pt>
                <c:pt idx="241">
                  <c:v>#N/A</c:v>
                </c:pt>
                <c:pt idx="242">
                  <c:v>29</c:v>
                </c:pt>
                <c:pt idx="243">
                  <c:v>22</c:v>
                </c:pt>
                <c:pt idx="244">
                  <c:v>#N/A</c:v>
                </c:pt>
                <c:pt idx="245">
                  <c:v>15</c:v>
                </c:pt>
                <c:pt idx="246">
                  <c:v>#N/A</c:v>
                </c:pt>
                <c:pt idx="247">
                  <c:v>#N/A</c:v>
                </c:pt>
                <c:pt idx="248">
                  <c:v>#N/A</c:v>
                </c:pt>
                <c:pt idx="249">
                  <c:v>#N/A</c:v>
                </c:pt>
                <c:pt idx="250">
                  <c:v>#N/A</c:v>
                </c:pt>
                <c:pt idx="251">
                  <c:v>#N/A</c:v>
                </c:pt>
                <c:pt idx="252">
                  <c:v>#N/A</c:v>
                </c:pt>
                <c:pt idx="253">
                  <c:v>#N/A</c:v>
                </c:pt>
                <c:pt idx="254">
                  <c:v>7</c:v>
                </c:pt>
                <c:pt idx="255">
                  <c:v>35</c:v>
                </c:pt>
                <c:pt idx="256">
                  <c:v>#N/A</c:v>
                </c:pt>
                <c:pt idx="257">
                  <c:v>#N/A</c:v>
                </c:pt>
                <c:pt idx="258">
                  <c:v>#N/A</c:v>
                </c:pt>
                <c:pt idx="259">
                  <c:v>28</c:v>
                </c:pt>
                <c:pt idx="260">
                  <c:v>#N/A</c:v>
                </c:pt>
                <c:pt idx="261">
                  <c:v>29</c:v>
                </c:pt>
                <c:pt idx="262">
                  <c:v>#N/A</c:v>
                </c:pt>
                <c:pt idx="263">
                  <c:v>#N/A</c:v>
                </c:pt>
                <c:pt idx="264">
                  <c:v>29</c:v>
                </c:pt>
                <c:pt idx="265">
                  <c:v>#N/A</c:v>
                </c:pt>
                <c:pt idx="266">
                  <c:v>29</c:v>
                </c:pt>
                <c:pt idx="267">
                  <c:v>#N/A</c:v>
                </c:pt>
                <c:pt idx="268">
                  <c:v>#N/A</c:v>
                </c:pt>
                <c:pt idx="269">
                  <c:v>29</c:v>
                </c:pt>
                <c:pt idx="270">
                  <c:v>37</c:v>
                </c:pt>
                <c:pt idx="271">
                  <c:v>#N/A</c:v>
                </c:pt>
                <c:pt idx="272">
                  <c:v>#N/A</c:v>
                </c:pt>
                <c:pt idx="273">
                  <c:v>#N/A</c:v>
                </c:pt>
                <c:pt idx="274">
                  <c:v>#N/A</c:v>
                </c:pt>
                <c:pt idx="275">
                  <c:v>#N/A</c:v>
                </c:pt>
                <c:pt idx="276">
                  <c:v>24</c:v>
                </c:pt>
                <c:pt idx="277">
                  <c:v>#N/A</c:v>
                </c:pt>
                <c:pt idx="278">
                  <c:v>#N/A</c:v>
                </c:pt>
                <c:pt idx="279">
                  <c:v>#N/A</c:v>
                </c:pt>
                <c:pt idx="280">
                  <c:v>29</c:v>
                </c:pt>
                <c:pt idx="281">
                  <c:v>#N/A</c:v>
                </c:pt>
                <c:pt idx="282">
                  <c:v>#N/A</c:v>
                </c:pt>
                <c:pt idx="283">
                  <c:v>29</c:v>
                </c:pt>
                <c:pt idx="284">
                  <c:v>29</c:v>
                </c:pt>
                <c:pt idx="285">
                  <c:v>#N/A</c:v>
                </c:pt>
                <c:pt idx="286">
                  <c:v>#N/A</c:v>
                </c:pt>
                <c:pt idx="287">
                  <c:v>39</c:v>
                </c:pt>
                <c:pt idx="288">
                  <c:v>#N/A</c:v>
                </c:pt>
                <c:pt idx="289">
                  <c:v>#N/A</c:v>
                </c:pt>
                <c:pt idx="290">
                  <c:v>#N/A</c:v>
                </c:pt>
                <c:pt idx="291">
                  <c:v>30</c:v>
                </c:pt>
                <c:pt idx="292">
                  <c:v>37</c:v>
                </c:pt>
                <c:pt idx="293">
                  <c:v>45</c:v>
                </c:pt>
                <c:pt idx="294">
                  <c:v>#N/A</c:v>
                </c:pt>
                <c:pt idx="295">
                  <c:v>#N/A</c:v>
                </c:pt>
                <c:pt idx="296">
                  <c:v>38</c:v>
                </c:pt>
                <c:pt idx="297">
                  <c:v>#N/A</c:v>
                </c:pt>
                <c:pt idx="298">
                  <c:v>25</c:v>
                </c:pt>
                <c:pt idx="299">
                  <c:v>#N/A</c:v>
                </c:pt>
                <c:pt idx="300">
                  <c:v>29</c:v>
                </c:pt>
                <c:pt idx="301">
                  <c:v>33</c:v>
                </c:pt>
                <c:pt idx="302">
                  <c:v>#N/A</c:v>
                </c:pt>
                <c:pt idx="303">
                  <c:v>29</c:v>
                </c:pt>
                <c:pt idx="304">
                  <c:v>#N/A</c:v>
                </c:pt>
                <c:pt idx="305">
                  <c:v>#N/A</c:v>
                </c:pt>
                <c:pt idx="306">
                  <c:v>23</c:v>
                </c:pt>
                <c:pt idx="307">
                  <c:v>#N/A</c:v>
                </c:pt>
                <c:pt idx="308">
                  <c:v>19</c:v>
                </c:pt>
                <c:pt idx="309">
                  <c:v>28</c:v>
                </c:pt>
                <c:pt idx="310">
                  <c:v>#N/A</c:v>
                </c:pt>
                <c:pt idx="311">
                  <c:v>#N/A</c:v>
                </c:pt>
                <c:pt idx="312">
                  <c:v>17</c:v>
                </c:pt>
                <c:pt idx="313">
                  <c:v>#N/A</c:v>
                </c:pt>
                <c:pt idx="314">
                  <c:v>31</c:v>
                </c:pt>
                <c:pt idx="315">
                  <c:v>#N/A</c:v>
                </c:pt>
                <c:pt idx="316">
                  <c:v>#N/A</c:v>
                </c:pt>
                <c:pt idx="317">
                  <c:v>29</c:v>
                </c:pt>
                <c:pt idx="318">
                  <c:v>#N/A</c:v>
                </c:pt>
                <c:pt idx="319">
                  <c:v>29</c:v>
                </c:pt>
                <c:pt idx="320">
                  <c:v>#N/A</c:v>
                </c:pt>
                <c:pt idx="321">
                  <c:v>30</c:v>
                </c:pt>
                <c:pt idx="322">
                  <c:v>20</c:v>
                </c:pt>
                <c:pt idx="323">
                  <c:v>33</c:v>
                </c:pt>
                <c:pt idx="324">
                  <c:v>#N/A</c:v>
                </c:pt>
                <c:pt idx="325">
                  <c:v>#N/A</c:v>
                </c:pt>
                <c:pt idx="326">
                  <c:v>32</c:v>
                </c:pt>
                <c:pt idx="327">
                  <c:v>#N/A</c:v>
                </c:pt>
                <c:pt idx="328">
                  <c:v>36</c:v>
                </c:pt>
                <c:pt idx="329">
                  <c:v>#N/A</c:v>
                </c:pt>
                <c:pt idx="330">
                  <c:v>#N/A</c:v>
                </c:pt>
                <c:pt idx="331">
                  <c:v>#N/A</c:v>
                </c:pt>
                <c:pt idx="332">
                  <c:v>29</c:v>
                </c:pt>
                <c:pt idx="333">
                  <c:v>#N/A</c:v>
                </c:pt>
                <c:pt idx="334">
                  <c:v>#N/A</c:v>
                </c:pt>
                <c:pt idx="335">
                  <c:v>#N/A</c:v>
                </c:pt>
                <c:pt idx="336">
                  <c:v>#N/A</c:v>
                </c:pt>
                <c:pt idx="337">
                  <c:v>29</c:v>
                </c:pt>
                <c:pt idx="338">
                  <c:v>34</c:v>
                </c:pt>
                <c:pt idx="339">
                  <c:v>29</c:v>
                </c:pt>
                <c:pt idx="340">
                  <c:v>#N/A</c:v>
                </c:pt>
                <c:pt idx="341">
                  <c:v>#N/A</c:v>
                </c:pt>
                <c:pt idx="342">
                  <c:v>#N/A</c:v>
                </c:pt>
                <c:pt idx="343">
                  <c:v>#N/A</c:v>
                </c:pt>
                <c:pt idx="344">
                  <c:v>#N/A</c:v>
                </c:pt>
                <c:pt idx="345">
                  <c:v>#N/A</c:v>
                </c:pt>
                <c:pt idx="346">
                  <c:v>#N/A</c:v>
                </c:pt>
                <c:pt idx="347">
                  <c:v>#N/A</c:v>
                </c:pt>
                <c:pt idx="348">
                  <c:v>#N/A</c:v>
                </c:pt>
                <c:pt idx="349">
                  <c:v>32</c:v>
                </c:pt>
                <c:pt idx="350">
                  <c:v>#N/A</c:v>
                </c:pt>
                <c:pt idx="351">
                  <c:v>#N/A</c:v>
                </c:pt>
                <c:pt idx="352">
                  <c:v>#N/A</c:v>
                </c:pt>
                <c:pt idx="353">
                  <c:v>#N/A</c:v>
                </c:pt>
                <c:pt idx="354">
                  <c:v>#N/A</c:v>
                </c:pt>
                <c:pt idx="355">
                  <c:v>29</c:v>
                </c:pt>
                <c:pt idx="356">
                  <c:v>40</c:v>
                </c:pt>
                <c:pt idx="357">
                  <c:v>30</c:v>
                </c:pt>
                <c:pt idx="358">
                  <c:v>#N/A</c:v>
                </c:pt>
                <c:pt idx="359">
                  <c:v>36</c:v>
                </c:pt>
                <c:pt idx="360">
                  <c:v>33</c:v>
                </c:pt>
                <c:pt idx="361">
                  <c:v>#N/A</c:v>
                </c:pt>
                <c:pt idx="362">
                  <c:v>#N/A</c:v>
                </c:pt>
                <c:pt idx="363">
                  <c:v>29</c:v>
                </c:pt>
                <c:pt idx="364">
                  <c:v>#N/A</c:v>
                </c:pt>
                <c:pt idx="365">
                  <c:v>#N/A</c:v>
                </c:pt>
                <c:pt idx="366">
                  <c:v>29</c:v>
                </c:pt>
                <c:pt idx="367">
                  <c:v>#N/A</c:v>
                </c:pt>
                <c:pt idx="368">
                  <c:v>#N/A</c:v>
                </c:pt>
                <c:pt idx="369">
                  <c:v>28</c:v>
                </c:pt>
                <c:pt idx="370">
                  <c:v>48</c:v>
                </c:pt>
                <c:pt idx="371">
                  <c:v>#N/A</c:v>
                </c:pt>
                <c:pt idx="372">
                  <c:v>#N/A</c:v>
                </c:pt>
                <c:pt idx="373">
                  <c:v>#N/A</c:v>
                </c:pt>
                <c:pt idx="374">
                  <c:v>#N/A</c:v>
                </c:pt>
                <c:pt idx="375">
                  <c:v>43</c:v>
                </c:pt>
                <c:pt idx="376">
                  <c:v>#N/A</c:v>
                </c:pt>
                <c:pt idx="377">
                  <c:v>#N/A</c:v>
                </c:pt>
                <c:pt idx="378">
                  <c:v>29</c:v>
                </c:pt>
                <c:pt idx="379">
                  <c:v>#N/A</c:v>
                </c:pt>
                <c:pt idx="380">
                  <c:v>#N/A</c:v>
                </c:pt>
                <c:pt idx="381">
                  <c:v>#N/A</c:v>
                </c:pt>
                <c:pt idx="382">
                  <c:v>#N/A</c:v>
                </c:pt>
                <c:pt idx="383">
                  <c:v>#N/A</c:v>
                </c:pt>
                <c:pt idx="384">
                  <c:v>#N/A</c:v>
                </c:pt>
                <c:pt idx="385">
                  <c:v>#N/A</c:v>
                </c:pt>
                <c:pt idx="386">
                  <c:v>29</c:v>
                </c:pt>
                <c:pt idx="387">
                  <c:v>36</c:v>
                </c:pt>
                <c:pt idx="388">
                  <c:v>26</c:v>
                </c:pt>
                <c:pt idx="389">
                  <c:v>#N/A</c:v>
                </c:pt>
                <c:pt idx="390">
                  <c:v>#N/A</c:v>
                </c:pt>
                <c:pt idx="391">
                  <c:v>29</c:v>
                </c:pt>
                <c:pt idx="392">
                  <c:v>#N/A</c:v>
                </c:pt>
                <c:pt idx="393">
                  <c:v>#N/A</c:v>
                </c:pt>
                <c:pt idx="394">
                  <c:v>29</c:v>
                </c:pt>
                <c:pt idx="395">
                  <c:v>#N/A</c:v>
                </c:pt>
                <c:pt idx="396">
                  <c:v>#N/A</c:v>
                </c:pt>
                <c:pt idx="397">
                  <c:v>40</c:v>
                </c:pt>
                <c:pt idx="398">
                  <c:v>#N/A</c:v>
                </c:pt>
                <c:pt idx="399">
                  <c:v>31</c:v>
                </c:pt>
                <c:pt idx="400">
                  <c:v>29</c:v>
                </c:pt>
                <c:pt idx="401">
                  <c:v>#N/A</c:v>
                </c:pt>
                <c:pt idx="402">
                  <c:v>41</c:v>
                </c:pt>
                <c:pt idx="403">
                  <c:v>#N/A</c:v>
                </c:pt>
                <c:pt idx="404">
                  <c:v>29</c:v>
                </c:pt>
                <c:pt idx="405">
                  <c:v>#N/A</c:v>
                </c:pt>
                <c:pt idx="406">
                  <c:v>29</c:v>
                </c:pt>
                <c:pt idx="407">
                  <c:v>#N/A</c:v>
                </c:pt>
                <c:pt idx="408">
                  <c:v>29</c:v>
                </c:pt>
                <c:pt idx="409">
                  <c:v>49</c:v>
                </c:pt>
                <c:pt idx="410">
                  <c:v>#N/A</c:v>
                </c:pt>
                <c:pt idx="411">
                  <c:v>#N/A</c:v>
                </c:pt>
                <c:pt idx="412">
                  <c:v>#N/A</c:v>
                </c:pt>
                <c:pt idx="413">
                  <c:v>#N/A</c:v>
                </c:pt>
                <c:pt idx="414">
                  <c:v>35</c:v>
                </c:pt>
                <c:pt idx="415">
                  <c:v>33</c:v>
                </c:pt>
                <c:pt idx="416">
                  <c:v>#N/A</c:v>
                </c:pt>
                <c:pt idx="417">
                  <c:v>32</c:v>
                </c:pt>
                <c:pt idx="418">
                  <c:v>#N/A</c:v>
                </c:pt>
                <c:pt idx="419">
                  <c:v>29</c:v>
                </c:pt>
                <c:pt idx="420">
                  <c:v>#N/A</c:v>
                </c:pt>
                <c:pt idx="421">
                  <c:v>#N/A</c:v>
                </c:pt>
                <c:pt idx="422">
                  <c:v>#N/A</c:v>
                </c:pt>
                <c:pt idx="423">
                  <c:v>#N/A</c:v>
                </c:pt>
                <c:pt idx="424">
                  <c:v>32</c:v>
                </c:pt>
                <c:pt idx="425">
                  <c:v>39</c:v>
                </c:pt>
                <c:pt idx="426">
                  <c:v>#N/A</c:v>
                </c:pt>
                <c:pt idx="427">
                  <c:v>30</c:v>
                </c:pt>
                <c:pt idx="428">
                  <c:v>#N/A</c:v>
                </c:pt>
                <c:pt idx="429">
                  <c:v>25</c:v>
                </c:pt>
                <c:pt idx="430">
                  <c:v>#N/A</c:v>
                </c:pt>
                <c:pt idx="431">
                  <c:v>#N/A</c:v>
                </c:pt>
                <c:pt idx="432">
                  <c:v>#N/A</c:v>
                </c:pt>
                <c:pt idx="433">
                  <c:v>#N/A</c:v>
                </c:pt>
                <c:pt idx="434">
                  <c:v>#N/A</c:v>
                </c:pt>
                <c:pt idx="435">
                  <c:v>29</c:v>
                </c:pt>
                <c:pt idx="436">
                  <c:v>#N/A</c:v>
                </c:pt>
                <c:pt idx="437">
                  <c:v>#N/A</c:v>
                </c:pt>
                <c:pt idx="438">
                  <c:v>#N/A</c:v>
                </c:pt>
                <c:pt idx="439">
                  <c:v>#N/A</c:v>
                </c:pt>
                <c:pt idx="440">
                  <c:v>25</c:v>
                </c:pt>
                <c:pt idx="441">
                  <c:v>#N/A</c:v>
                </c:pt>
                <c:pt idx="442">
                  <c:v>#N/A</c:v>
                </c:pt>
                <c:pt idx="443">
                  <c:v>29</c:v>
                </c:pt>
                <c:pt idx="444">
                  <c:v>12</c:v>
                </c:pt>
                <c:pt idx="445">
                  <c:v>63</c:v>
                </c:pt>
                <c:pt idx="446">
                  <c:v>#N/A</c:v>
                </c:pt>
                <c:pt idx="447">
                  <c:v>#N/A</c:v>
                </c:pt>
                <c:pt idx="448">
                  <c:v>37</c:v>
                </c:pt>
                <c:pt idx="449">
                  <c:v>#N/A</c:v>
                </c:pt>
                <c:pt idx="450">
                  <c:v>#N/A</c:v>
                </c:pt>
                <c:pt idx="451">
                  <c:v>29</c:v>
                </c:pt>
                <c:pt idx="452">
                  <c:v>#N/A</c:v>
                </c:pt>
                <c:pt idx="453">
                  <c:v>#N/A</c:v>
                </c:pt>
                <c:pt idx="454">
                  <c:v>#N/A</c:v>
                </c:pt>
                <c:pt idx="455">
                  <c:v>30</c:v>
                </c:pt>
                <c:pt idx="456">
                  <c:v>#N/A</c:v>
                </c:pt>
                <c:pt idx="457">
                  <c:v>#N/A</c:v>
                </c:pt>
                <c:pt idx="458">
                  <c:v>48</c:v>
                </c:pt>
                <c:pt idx="459">
                  <c:v>#N/A</c:v>
                </c:pt>
                <c:pt idx="460">
                  <c:v>#N/A</c:v>
                </c:pt>
                <c:pt idx="461">
                  <c:v>#N/A</c:v>
                </c:pt>
                <c:pt idx="462">
                  <c:v>#N/A</c:v>
                </c:pt>
                <c:pt idx="463">
                  <c:v>#N/A</c:v>
                </c:pt>
                <c:pt idx="464">
                  <c:v>#N/A</c:v>
                </c:pt>
                <c:pt idx="465">
                  <c:v>#N/A</c:v>
                </c:pt>
                <c:pt idx="466">
                  <c:v>#N/A</c:v>
                </c:pt>
                <c:pt idx="467">
                  <c:v>#N/A</c:v>
                </c:pt>
                <c:pt idx="468">
                  <c:v>29</c:v>
                </c:pt>
                <c:pt idx="469">
                  <c:v>#N/A</c:v>
                </c:pt>
                <c:pt idx="470">
                  <c:v>#N/A</c:v>
                </c:pt>
                <c:pt idx="471">
                  <c:v>#N/A</c:v>
                </c:pt>
                <c:pt idx="472">
                  <c:v>#N/A</c:v>
                </c:pt>
                <c:pt idx="473">
                  <c:v>#N/A</c:v>
                </c:pt>
                <c:pt idx="474">
                  <c:v>#N/A</c:v>
                </c:pt>
                <c:pt idx="475">
                  <c:v>#N/A</c:v>
                </c:pt>
                <c:pt idx="476">
                  <c:v>45</c:v>
                </c:pt>
                <c:pt idx="477">
                  <c:v>#N/A</c:v>
                </c:pt>
                <c:pt idx="478">
                  <c:v>#N/A</c:v>
                </c:pt>
                <c:pt idx="479">
                  <c:v>#N/A</c:v>
                </c:pt>
                <c:pt idx="480">
                  <c:v>30</c:v>
                </c:pt>
                <c:pt idx="481">
                  <c:v>#N/A</c:v>
                </c:pt>
                <c:pt idx="482">
                  <c:v>#N/A</c:v>
                </c:pt>
                <c:pt idx="483">
                  <c:v>#N/A</c:v>
                </c:pt>
                <c:pt idx="484">
                  <c:v>29</c:v>
                </c:pt>
                <c:pt idx="485">
                  <c:v>42</c:v>
                </c:pt>
                <c:pt idx="486">
                  <c:v>#N/A</c:v>
                </c:pt>
                <c:pt idx="487">
                  <c:v>#N/A</c:v>
                </c:pt>
                <c:pt idx="488">
                  <c:v>#N/A</c:v>
                </c:pt>
                <c:pt idx="489">
                  <c:v>#N/A</c:v>
                </c:pt>
                <c:pt idx="490">
                  <c:v>#N/A</c:v>
                </c:pt>
                <c:pt idx="491">
                  <c:v>#N/A</c:v>
                </c:pt>
                <c:pt idx="492">
                  <c:v>#N/A</c:v>
                </c:pt>
                <c:pt idx="493">
                  <c:v>18</c:v>
                </c:pt>
                <c:pt idx="494">
                  <c:v>#N/A</c:v>
                </c:pt>
                <c:pt idx="495">
                  <c:v>#N/A</c:v>
                </c:pt>
                <c:pt idx="496">
                  <c:v>#N/A</c:v>
                </c:pt>
                <c:pt idx="497">
                  <c:v>#N/A</c:v>
                </c:pt>
                <c:pt idx="498">
                  <c:v>33</c:v>
                </c:pt>
                <c:pt idx="499">
                  <c:v>#N/A</c:v>
                </c:pt>
                <c:pt idx="500">
                  <c:v>#N/A</c:v>
                </c:pt>
                <c:pt idx="501">
                  <c:v>#N/A</c:v>
                </c:pt>
                <c:pt idx="502">
                  <c:v>41</c:v>
                </c:pt>
                <c:pt idx="503">
                  <c:v>#N/A</c:v>
                </c:pt>
                <c:pt idx="504">
                  <c:v>#N/A</c:v>
                </c:pt>
                <c:pt idx="505">
                  <c:v>#N/A</c:v>
                </c:pt>
                <c:pt idx="506">
                  <c:v>26</c:v>
                </c:pt>
                <c:pt idx="507">
                  <c:v>#N/A</c:v>
                </c:pt>
                <c:pt idx="508">
                  <c:v>#N/A</c:v>
                </c:pt>
                <c:pt idx="509">
                  <c:v>#N/A</c:v>
                </c:pt>
                <c:pt idx="510">
                  <c:v>31</c:v>
                </c:pt>
                <c:pt idx="511">
                  <c:v>#N/A</c:v>
                </c:pt>
                <c:pt idx="512">
                  <c:v>#N/A</c:v>
                </c:pt>
                <c:pt idx="513">
                  <c:v>#N/A</c:v>
                </c:pt>
                <c:pt idx="514">
                  <c:v>#N/A</c:v>
                </c:pt>
                <c:pt idx="515">
                  <c:v>18</c:v>
                </c:pt>
                <c:pt idx="516">
                  <c:v>34</c:v>
                </c:pt>
                <c:pt idx="517">
                  <c:v>#N/A</c:v>
                </c:pt>
                <c:pt idx="518">
                  <c:v>#N/A</c:v>
                </c:pt>
                <c:pt idx="519">
                  <c:v>#N/A</c:v>
                </c:pt>
                <c:pt idx="520">
                  <c:v>#N/A</c:v>
                </c:pt>
                <c:pt idx="521">
                  <c:v>#N/A</c:v>
                </c:pt>
                <c:pt idx="522">
                  <c:v>#N/A</c:v>
                </c:pt>
                <c:pt idx="523">
                  <c:v>29</c:v>
                </c:pt>
                <c:pt idx="524">
                  <c:v>#N/A</c:v>
                </c:pt>
                <c:pt idx="525">
                  <c:v>#N/A</c:v>
                </c:pt>
                <c:pt idx="526">
                  <c:v>#N/A</c:v>
                </c:pt>
                <c:pt idx="527">
                  <c:v>#N/A</c:v>
                </c:pt>
                <c:pt idx="528">
                  <c:v>#N/A</c:v>
                </c:pt>
                <c:pt idx="529">
                  <c:v>#N/A</c:v>
                </c:pt>
                <c:pt idx="530">
                  <c:v>#N/A</c:v>
                </c:pt>
                <c:pt idx="531">
                  <c:v>#N/A</c:v>
                </c:pt>
                <c:pt idx="532">
                  <c:v>#N/A</c:v>
                </c:pt>
                <c:pt idx="533">
                  <c:v>#N/A</c:v>
                </c:pt>
                <c:pt idx="534">
                  <c:v>#N/A</c:v>
                </c:pt>
                <c:pt idx="535">
                  <c:v>29</c:v>
                </c:pt>
                <c:pt idx="536">
                  <c:v>#N/A</c:v>
                </c:pt>
                <c:pt idx="537">
                  <c:v>#N/A</c:v>
                </c:pt>
                <c:pt idx="538">
                  <c:v>#N/A</c:v>
                </c:pt>
                <c:pt idx="539">
                  <c:v>49</c:v>
                </c:pt>
                <c:pt idx="540">
                  <c:v>40</c:v>
                </c:pt>
                <c:pt idx="541">
                  <c:v>25</c:v>
                </c:pt>
                <c:pt idx="542">
                  <c:v>32</c:v>
                </c:pt>
                <c:pt idx="543">
                  <c:v>#N/A</c:v>
                </c:pt>
                <c:pt idx="544">
                  <c:v>#N/A</c:v>
                </c:pt>
                <c:pt idx="545">
                  <c:v>35</c:v>
                </c:pt>
                <c:pt idx="546">
                  <c:v>27</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29</c:v>
                </c:pt>
                <c:pt idx="561">
                  <c:v>32</c:v>
                </c:pt>
                <c:pt idx="562">
                  <c:v>#N/A</c:v>
                </c:pt>
                <c:pt idx="563">
                  <c:v>#N/A</c:v>
                </c:pt>
                <c:pt idx="564">
                  <c:v>#N/A</c:v>
                </c:pt>
                <c:pt idx="565">
                  <c:v>#N/A</c:v>
                </c:pt>
                <c:pt idx="566">
                  <c:v>#N/A</c:v>
                </c:pt>
                <c:pt idx="567">
                  <c:v>#N/A</c:v>
                </c:pt>
                <c:pt idx="568">
                  <c:v>#N/A</c:v>
                </c:pt>
                <c:pt idx="569">
                  <c:v>30</c:v>
                </c:pt>
                <c:pt idx="570">
                  <c:v>#N/A</c:v>
                </c:pt>
                <c:pt idx="571">
                  <c:v>#N/A</c:v>
                </c:pt>
                <c:pt idx="572">
                  <c:v>#N/A</c:v>
                </c:pt>
                <c:pt idx="573">
                  <c:v>#N/A</c:v>
                </c:pt>
                <c:pt idx="574">
                  <c:v>#N/A</c:v>
                </c:pt>
                <c:pt idx="575">
                  <c:v>#N/A</c:v>
                </c:pt>
                <c:pt idx="576">
                  <c:v>#N/A</c:v>
                </c:pt>
                <c:pt idx="577">
                  <c:v>29</c:v>
                </c:pt>
                <c:pt idx="578">
                  <c:v>#N/A</c:v>
                </c:pt>
                <c:pt idx="579">
                  <c:v>99</c:v>
                </c:pt>
                <c:pt idx="580">
                  <c:v>46</c:v>
                </c:pt>
                <c:pt idx="581">
                  <c:v>#N/A</c:v>
                </c:pt>
                <c:pt idx="582">
                  <c:v>#N/A</c:v>
                </c:pt>
                <c:pt idx="583">
                  <c:v>#N/A</c:v>
                </c:pt>
                <c:pt idx="584">
                  <c:v>24</c:v>
                </c:pt>
                <c:pt idx="585">
                  <c:v>#N/A</c:v>
                </c:pt>
                <c:pt idx="586">
                  <c:v>29</c:v>
                </c:pt>
                <c:pt idx="587">
                  <c:v>#N/A</c:v>
                </c:pt>
                <c:pt idx="588">
                  <c:v>27</c:v>
                </c:pt>
                <c:pt idx="589">
                  <c:v>#N/A</c:v>
                </c:pt>
                <c:pt idx="590">
                  <c:v>40</c:v>
                </c:pt>
                <c:pt idx="591">
                  <c:v>#N/A</c:v>
                </c:pt>
                <c:pt idx="592">
                  <c:v>29</c:v>
                </c:pt>
                <c:pt idx="593">
                  <c:v>#N/A</c:v>
                </c:pt>
                <c:pt idx="594">
                  <c:v>#N/A</c:v>
                </c:pt>
                <c:pt idx="595">
                  <c:v>14</c:v>
                </c:pt>
                <c:pt idx="596">
                  <c:v>#N/A</c:v>
                </c:pt>
                <c:pt idx="597">
                  <c:v>#N/A</c:v>
                </c:pt>
                <c:pt idx="598">
                  <c:v>29</c:v>
                </c:pt>
                <c:pt idx="599">
                  <c:v>#N/A</c:v>
                </c:pt>
                <c:pt idx="600">
                  <c:v>#N/A</c:v>
                </c:pt>
                <c:pt idx="601">
                  <c:v>#N/A</c:v>
                </c:pt>
                <c:pt idx="602">
                  <c:v>#N/A</c:v>
                </c:pt>
                <c:pt idx="603">
                  <c:v>29</c:v>
                </c:pt>
                <c:pt idx="604">
                  <c:v>29</c:v>
                </c:pt>
                <c:pt idx="605">
                  <c:v>#N/A</c:v>
                </c:pt>
                <c:pt idx="606">
                  <c:v>42</c:v>
                </c:pt>
                <c:pt idx="607">
                  <c:v>#N/A</c:v>
                </c:pt>
                <c:pt idx="608">
                  <c:v>#N/A</c:v>
                </c:pt>
                <c:pt idx="609">
                  <c:v>#N/A</c:v>
                </c:pt>
                <c:pt idx="610">
                  <c:v>#N/A</c:v>
                </c:pt>
                <c:pt idx="611">
                  <c:v>22</c:v>
                </c:pt>
                <c:pt idx="612">
                  <c:v>42</c:v>
                </c:pt>
                <c:pt idx="613">
                  <c:v>#N/A</c:v>
                </c:pt>
                <c:pt idx="614">
                  <c:v>26</c:v>
                </c:pt>
                <c:pt idx="615">
                  <c:v>#N/A</c:v>
                </c:pt>
                <c:pt idx="616">
                  <c:v>#N/A</c:v>
                </c:pt>
                <c:pt idx="617">
                  <c:v>#N/A</c:v>
                </c:pt>
                <c:pt idx="618">
                  <c:v>24</c:v>
                </c:pt>
                <c:pt idx="619">
                  <c:v>29</c:v>
                </c:pt>
                <c:pt idx="620">
                  <c:v>#N/A</c:v>
                </c:pt>
                <c:pt idx="621">
                  <c:v>#N/A</c:v>
                </c:pt>
                <c:pt idx="622">
                  <c:v>#N/A</c:v>
                </c:pt>
                <c:pt idx="623">
                  <c:v>#N/A</c:v>
                </c:pt>
                <c:pt idx="624">
                  <c:v>#N/A</c:v>
                </c:pt>
                <c:pt idx="625">
                  <c:v>#N/A</c:v>
                </c:pt>
                <c:pt idx="626">
                  <c:v>#N/A</c:v>
                </c:pt>
                <c:pt idx="627">
                  <c:v>#N/A</c:v>
                </c:pt>
                <c:pt idx="628">
                  <c:v>#N/A</c:v>
                </c:pt>
                <c:pt idx="629">
                  <c:v>#N/A</c:v>
                </c:pt>
                <c:pt idx="630">
                  <c:v>29</c:v>
                </c:pt>
                <c:pt idx="631">
                  <c:v>#N/A</c:v>
                </c:pt>
                <c:pt idx="632">
                  <c:v>#N/A</c:v>
                </c:pt>
                <c:pt idx="633">
                  <c:v>#N/A</c:v>
                </c:pt>
                <c:pt idx="634">
                  <c:v>#N/A</c:v>
                </c:pt>
                <c:pt idx="635">
                  <c:v>29</c:v>
                </c:pt>
                <c:pt idx="636">
                  <c:v>#N/A</c:v>
                </c:pt>
                <c:pt idx="637">
                  <c:v>#N/A</c:v>
                </c:pt>
                <c:pt idx="638">
                  <c:v>32</c:v>
                </c:pt>
                <c:pt idx="639">
                  <c:v>#N/A</c:v>
                </c:pt>
                <c:pt idx="640">
                  <c:v>#N/A</c:v>
                </c:pt>
                <c:pt idx="641">
                  <c:v>#N/A</c:v>
                </c:pt>
                <c:pt idx="642">
                  <c:v>29</c:v>
                </c:pt>
                <c:pt idx="643">
                  <c:v>#N/A</c:v>
                </c:pt>
                <c:pt idx="644">
                  <c:v>#N/A</c:v>
                </c:pt>
                <c:pt idx="645">
                  <c:v>#N/A</c:v>
                </c:pt>
                <c:pt idx="646">
                  <c:v>17</c:v>
                </c:pt>
                <c:pt idx="647">
                  <c:v>36</c:v>
                </c:pt>
                <c:pt idx="648">
                  <c:v>35</c:v>
                </c:pt>
                <c:pt idx="649">
                  <c:v>#N/A</c:v>
                </c:pt>
                <c:pt idx="650">
                  <c:v>#N/A</c:v>
                </c:pt>
                <c:pt idx="651">
                  <c:v>#N/A</c:v>
                </c:pt>
                <c:pt idx="652">
                  <c:v>#N/A</c:v>
                </c:pt>
                <c:pt idx="653">
                  <c:v>#N/A</c:v>
                </c:pt>
                <c:pt idx="654">
                  <c:v>#N/A</c:v>
                </c:pt>
                <c:pt idx="655">
                  <c:v>27</c:v>
                </c:pt>
                <c:pt idx="656">
                  <c:v>#N/A</c:v>
                </c:pt>
                <c:pt idx="657">
                  <c:v>#N/A</c:v>
                </c:pt>
                <c:pt idx="658">
                  <c:v>#N/A</c:v>
                </c:pt>
                <c:pt idx="659">
                  <c:v>31</c:v>
                </c:pt>
                <c:pt idx="660">
                  <c:v>#N/A</c:v>
                </c:pt>
                <c:pt idx="661">
                  <c:v>43</c:v>
                </c:pt>
                <c:pt idx="662">
                  <c:v>46</c:v>
                </c:pt>
                <c:pt idx="663">
                  <c:v>46</c:v>
                </c:pt>
                <c:pt idx="664">
                  <c:v>39</c:v>
                </c:pt>
                <c:pt idx="665">
                  <c:v>#N/A</c:v>
                </c:pt>
                <c:pt idx="666">
                  <c:v>18</c:v>
                </c:pt>
                <c:pt idx="667">
                  <c:v>27</c:v>
                </c:pt>
                <c:pt idx="668">
                  <c:v>#N/A</c:v>
                </c:pt>
                <c:pt idx="669">
                  <c:v>#N/A</c:v>
                </c:pt>
                <c:pt idx="670">
                  <c:v>#N/A</c:v>
                </c:pt>
                <c:pt idx="671">
                  <c:v>#N/A</c:v>
                </c:pt>
                <c:pt idx="672">
                  <c:v>#N/A</c:v>
                </c:pt>
                <c:pt idx="673">
                  <c:v>#N/A</c:v>
                </c:pt>
                <c:pt idx="674">
                  <c:v>#N/A</c:v>
                </c:pt>
                <c:pt idx="675">
                  <c:v>29</c:v>
                </c:pt>
                <c:pt idx="676">
                  <c:v>29</c:v>
                </c:pt>
                <c:pt idx="677">
                  <c:v>#N/A</c:v>
                </c:pt>
                <c:pt idx="678">
                  <c:v>29</c:v>
                </c:pt>
                <c:pt idx="679">
                  <c:v>#N/A</c:v>
                </c:pt>
                <c:pt idx="680">
                  <c:v>#N/A</c:v>
                </c:pt>
                <c:pt idx="681">
                  <c:v>36</c:v>
                </c:pt>
                <c:pt idx="682">
                  <c:v>#N/A</c:v>
                </c:pt>
                <c:pt idx="683">
                  <c:v>29</c:v>
                </c:pt>
                <c:pt idx="684">
                  <c:v>#N/A</c:v>
                </c:pt>
                <c:pt idx="685">
                  <c:v>#N/A</c:v>
                </c:pt>
                <c:pt idx="686">
                  <c:v>#N/A</c:v>
                </c:pt>
                <c:pt idx="687">
                  <c:v>#N/A</c:v>
                </c:pt>
                <c:pt idx="688">
                  <c:v>#N/A</c:v>
                </c:pt>
                <c:pt idx="689">
                  <c:v>46</c:v>
                </c:pt>
                <c:pt idx="690">
                  <c:v>#N/A</c:v>
                </c:pt>
                <c:pt idx="691">
                  <c:v>29</c:v>
                </c:pt>
                <c:pt idx="692">
                  <c:v>#N/A</c:v>
                </c:pt>
                <c:pt idx="693">
                  <c:v>49</c:v>
                </c:pt>
                <c:pt idx="694">
                  <c:v>#N/A</c:v>
                </c:pt>
                <c:pt idx="695">
                  <c:v>24</c:v>
                </c:pt>
                <c:pt idx="696">
                  <c:v>19</c:v>
                </c:pt>
                <c:pt idx="697">
                  <c:v>#N/A</c:v>
                </c:pt>
                <c:pt idx="698">
                  <c:v>#N/A</c:v>
                </c:pt>
                <c:pt idx="699">
                  <c:v>#N/A</c:v>
                </c:pt>
                <c:pt idx="700">
                  <c:v>#N/A</c:v>
                </c:pt>
                <c:pt idx="701">
                  <c:v>31</c:v>
                </c:pt>
                <c:pt idx="702">
                  <c:v>29</c:v>
                </c:pt>
                <c:pt idx="703">
                  <c:v>#N/A</c:v>
                </c:pt>
                <c:pt idx="704">
                  <c:v>#N/A</c:v>
                </c:pt>
                <c:pt idx="705">
                  <c:v>#N/A</c:v>
                </c:pt>
                <c:pt idx="706">
                  <c:v>29</c:v>
                </c:pt>
                <c:pt idx="707">
                  <c:v>#N/A</c:v>
                </c:pt>
                <c:pt idx="708">
                  <c:v>29</c:v>
                </c:pt>
                <c:pt idx="709">
                  <c:v>32</c:v>
                </c:pt>
                <c:pt idx="710">
                  <c:v>#N/A</c:v>
                </c:pt>
                <c:pt idx="711">
                  <c:v>#N/A</c:v>
                </c:pt>
                <c:pt idx="712">
                  <c:v>36</c:v>
                </c:pt>
                <c:pt idx="713">
                  <c:v>#N/A</c:v>
                </c:pt>
                <c:pt idx="714">
                  <c:v>#N/A</c:v>
                </c:pt>
                <c:pt idx="715">
                  <c:v>33</c:v>
                </c:pt>
                <c:pt idx="716">
                  <c:v>39</c:v>
                </c:pt>
                <c:pt idx="717">
                  <c:v>#N/A</c:v>
                </c:pt>
                <c:pt idx="718">
                  <c:v>#N/A</c:v>
                </c:pt>
                <c:pt idx="719">
                  <c:v>27</c:v>
                </c:pt>
                <c:pt idx="720">
                  <c:v>#N/A</c:v>
                </c:pt>
                <c:pt idx="721">
                  <c:v>#N/A</c:v>
                </c:pt>
                <c:pt idx="722">
                  <c:v>29</c:v>
                </c:pt>
                <c:pt idx="723">
                  <c:v>#N/A</c:v>
                </c:pt>
                <c:pt idx="724">
                  <c:v>#N/A</c:v>
                </c:pt>
                <c:pt idx="725">
                  <c:v>#N/A</c:v>
                </c:pt>
                <c:pt idx="726">
                  <c:v>#N/A</c:v>
                </c:pt>
                <c:pt idx="727">
                  <c:v>#N/A</c:v>
                </c:pt>
                <c:pt idx="728">
                  <c:v>#N/A</c:v>
                </c:pt>
                <c:pt idx="729">
                  <c:v>#N/A</c:v>
                </c:pt>
                <c:pt idx="730">
                  <c:v>23</c:v>
                </c:pt>
                <c:pt idx="731">
                  <c:v>29</c:v>
                </c:pt>
                <c:pt idx="732">
                  <c:v>37</c:v>
                </c:pt>
                <c:pt idx="733">
                  <c:v>#N/A</c:v>
                </c:pt>
                <c:pt idx="734">
                  <c:v>#N/A</c:v>
                </c:pt>
                <c:pt idx="735">
                  <c:v>#N/A</c:v>
                </c:pt>
                <c:pt idx="736">
                  <c:v>#N/A</c:v>
                </c:pt>
                <c:pt idx="737">
                  <c:v>#N/A</c:v>
                </c:pt>
                <c:pt idx="738">
                  <c:v>#N/A</c:v>
                </c:pt>
                <c:pt idx="739">
                  <c:v>29</c:v>
                </c:pt>
                <c:pt idx="740">
                  <c:v>37</c:v>
                </c:pt>
                <c:pt idx="741">
                  <c:v>#N/A</c:v>
                </c:pt>
                <c:pt idx="742">
                  <c:v>#N/A</c:v>
                </c:pt>
                <c:pt idx="743">
                  <c:v>29</c:v>
                </c:pt>
                <c:pt idx="744">
                  <c:v>#N/A</c:v>
                </c:pt>
                <c:pt idx="745">
                  <c:v>#N/A</c:v>
                </c:pt>
                <c:pt idx="746">
                  <c:v>41</c:v>
                </c:pt>
                <c:pt idx="747">
                  <c:v>#N/A</c:v>
                </c:pt>
                <c:pt idx="748">
                  <c:v>22</c:v>
                </c:pt>
                <c:pt idx="749">
                  <c:v>29</c:v>
                </c:pt>
                <c:pt idx="750">
                  <c:v>29</c:v>
                </c:pt>
                <c:pt idx="751">
                  <c:v>#N/A</c:v>
                </c:pt>
                <c:pt idx="752">
                  <c:v>#N/A</c:v>
                </c:pt>
                <c:pt idx="753">
                  <c:v>44</c:v>
                </c:pt>
                <c:pt idx="754">
                  <c:v>32</c:v>
                </c:pt>
                <c:pt idx="755">
                  <c:v>39</c:v>
                </c:pt>
                <c:pt idx="756">
                  <c:v>#N/A</c:v>
                </c:pt>
                <c:pt idx="757">
                  <c:v>29</c:v>
                </c:pt>
                <c:pt idx="758">
                  <c:v>#N/A</c:v>
                </c:pt>
                <c:pt idx="759">
                  <c:v>29</c:v>
                </c:pt>
                <c:pt idx="760">
                  <c:v>#N/A</c:v>
                </c:pt>
                <c:pt idx="761">
                  <c:v>31</c:v>
                </c:pt>
                <c:pt idx="762">
                  <c:v>#N/A</c:v>
                </c:pt>
                <c:pt idx="763">
                  <c:v>#N/A</c:v>
                </c:pt>
                <c:pt idx="764">
                  <c:v>#N/A</c:v>
                </c:pt>
                <c:pt idx="765">
                  <c:v>#N/A</c:v>
                </c:pt>
                <c:pt idx="766">
                  <c:v>29</c:v>
                </c:pt>
                <c:pt idx="767">
                  <c:v>#N/A</c:v>
                </c:pt>
              </c:numCache>
            </c:numRef>
          </c:xVal>
          <c:yVal>
            <c:numRef>
              <c:f>diabetes!$G$2:$G$769</c:f>
              <c:numCache>
                <c:formatCode>General</c:formatCode>
                <c:ptCount val="768"/>
                <c:pt idx="0">
                  <c:v>33.6</c:v>
                </c:pt>
                <c:pt idx="1">
                  <c:v>26.6</c:v>
                </c:pt>
                <c:pt idx="2">
                  <c:v>23.3</c:v>
                </c:pt>
                <c:pt idx="3">
                  <c:v>28.1</c:v>
                </c:pt>
                <c:pt idx="4">
                  <c:v>43.1</c:v>
                </c:pt>
                <c:pt idx="5">
                  <c:v>25.6</c:v>
                </c:pt>
                <c:pt idx="6">
                  <c:v>31</c:v>
                </c:pt>
                <c:pt idx="7">
                  <c:v>35.299999999999997</c:v>
                </c:pt>
                <c:pt idx="8">
                  <c:v>30.5</c:v>
                </c:pt>
                <c:pt idx="9">
                  <c:v>32.299999999999997</c:v>
                </c:pt>
                <c:pt idx="10">
                  <c:v>37.6</c:v>
                </c:pt>
                <c:pt idx="11">
                  <c:v>38</c:v>
                </c:pt>
                <c:pt idx="12">
                  <c:v>27.1</c:v>
                </c:pt>
                <c:pt idx="13">
                  <c:v>30.1</c:v>
                </c:pt>
                <c:pt idx="14">
                  <c:v>25.8</c:v>
                </c:pt>
                <c:pt idx="15">
                  <c:v>30</c:v>
                </c:pt>
                <c:pt idx="16">
                  <c:v>45.8</c:v>
                </c:pt>
                <c:pt idx="17">
                  <c:v>29.6</c:v>
                </c:pt>
                <c:pt idx="18">
                  <c:v>43.3</c:v>
                </c:pt>
                <c:pt idx="19">
                  <c:v>34.6</c:v>
                </c:pt>
                <c:pt idx="20">
                  <c:v>39.299999999999997</c:v>
                </c:pt>
                <c:pt idx="21">
                  <c:v>35.4</c:v>
                </c:pt>
                <c:pt idx="22">
                  <c:v>39.799999999999997</c:v>
                </c:pt>
                <c:pt idx="23">
                  <c:v>29</c:v>
                </c:pt>
                <c:pt idx="24">
                  <c:v>36.6</c:v>
                </c:pt>
                <c:pt idx="25">
                  <c:v>31.1</c:v>
                </c:pt>
                <c:pt idx="26">
                  <c:v>39.4</c:v>
                </c:pt>
                <c:pt idx="27">
                  <c:v>23.2</c:v>
                </c:pt>
                <c:pt idx="28">
                  <c:v>22.2</c:v>
                </c:pt>
                <c:pt idx="29">
                  <c:v>34.1</c:v>
                </c:pt>
                <c:pt idx="30">
                  <c:v>36</c:v>
                </c:pt>
                <c:pt idx="31">
                  <c:v>31.6</c:v>
                </c:pt>
                <c:pt idx="32">
                  <c:v>24.8</c:v>
                </c:pt>
                <c:pt idx="33">
                  <c:v>19.899999999999999</c:v>
                </c:pt>
                <c:pt idx="34">
                  <c:v>27.6</c:v>
                </c:pt>
                <c:pt idx="35">
                  <c:v>24</c:v>
                </c:pt>
                <c:pt idx="36">
                  <c:v>33.200000000000003</c:v>
                </c:pt>
                <c:pt idx="37">
                  <c:v>32.9</c:v>
                </c:pt>
                <c:pt idx="38">
                  <c:v>38.200000000000003</c:v>
                </c:pt>
                <c:pt idx="39">
                  <c:v>37.1</c:v>
                </c:pt>
                <c:pt idx="40">
                  <c:v>34</c:v>
                </c:pt>
                <c:pt idx="41">
                  <c:v>40.200000000000003</c:v>
                </c:pt>
                <c:pt idx="42">
                  <c:v>22.7</c:v>
                </c:pt>
                <c:pt idx="43">
                  <c:v>45.4</c:v>
                </c:pt>
                <c:pt idx="44">
                  <c:v>27.4</c:v>
                </c:pt>
                <c:pt idx="45">
                  <c:v>42</c:v>
                </c:pt>
                <c:pt idx="46">
                  <c:v>29.7</c:v>
                </c:pt>
                <c:pt idx="47">
                  <c:v>28</c:v>
                </c:pt>
                <c:pt idx="48">
                  <c:v>39.1</c:v>
                </c:pt>
                <c:pt idx="49">
                  <c:v>32.299999999999997</c:v>
                </c:pt>
                <c:pt idx="50">
                  <c:v>19.399999999999999</c:v>
                </c:pt>
                <c:pt idx="51">
                  <c:v>24.2</c:v>
                </c:pt>
                <c:pt idx="52">
                  <c:v>24.4</c:v>
                </c:pt>
                <c:pt idx="53">
                  <c:v>33.700000000000003</c:v>
                </c:pt>
                <c:pt idx="54">
                  <c:v>34.700000000000003</c:v>
                </c:pt>
                <c:pt idx="55">
                  <c:v>23</c:v>
                </c:pt>
                <c:pt idx="56">
                  <c:v>37.700000000000003</c:v>
                </c:pt>
                <c:pt idx="57">
                  <c:v>46.8</c:v>
                </c:pt>
                <c:pt idx="58">
                  <c:v>40.5</c:v>
                </c:pt>
                <c:pt idx="59">
                  <c:v>41.5</c:v>
                </c:pt>
                <c:pt idx="60">
                  <c:v>32.299999999999997</c:v>
                </c:pt>
                <c:pt idx="61">
                  <c:v>32.9</c:v>
                </c:pt>
                <c:pt idx="62">
                  <c:v>25</c:v>
                </c:pt>
                <c:pt idx="63">
                  <c:v>25.4</c:v>
                </c:pt>
                <c:pt idx="64">
                  <c:v>32.799999999999997</c:v>
                </c:pt>
                <c:pt idx="65">
                  <c:v>29</c:v>
                </c:pt>
                <c:pt idx="66">
                  <c:v>32.5</c:v>
                </c:pt>
                <c:pt idx="67">
                  <c:v>42.7</c:v>
                </c:pt>
                <c:pt idx="68">
                  <c:v>19.600000000000001</c:v>
                </c:pt>
                <c:pt idx="69">
                  <c:v>28.9</c:v>
                </c:pt>
                <c:pt idx="70">
                  <c:v>32.9</c:v>
                </c:pt>
                <c:pt idx="71">
                  <c:v>28.6</c:v>
                </c:pt>
                <c:pt idx="72">
                  <c:v>43.4</c:v>
                </c:pt>
                <c:pt idx="73">
                  <c:v>35.1</c:v>
                </c:pt>
                <c:pt idx="74">
                  <c:v>32</c:v>
                </c:pt>
                <c:pt idx="75">
                  <c:v>24.7</c:v>
                </c:pt>
                <c:pt idx="76">
                  <c:v>32.6</c:v>
                </c:pt>
                <c:pt idx="77">
                  <c:v>37.700000000000003</c:v>
                </c:pt>
                <c:pt idx="78">
                  <c:v>43.2</c:v>
                </c:pt>
                <c:pt idx="79">
                  <c:v>25</c:v>
                </c:pt>
                <c:pt idx="80">
                  <c:v>22.4</c:v>
                </c:pt>
                <c:pt idx="81">
                  <c:v>32.299999999999997</c:v>
                </c:pt>
                <c:pt idx="82">
                  <c:v>29.3</c:v>
                </c:pt>
                <c:pt idx="83">
                  <c:v>24.6</c:v>
                </c:pt>
                <c:pt idx="84">
                  <c:v>48.8</c:v>
                </c:pt>
                <c:pt idx="85">
                  <c:v>32.4</c:v>
                </c:pt>
                <c:pt idx="86">
                  <c:v>36.6</c:v>
                </c:pt>
                <c:pt idx="87">
                  <c:v>38.5</c:v>
                </c:pt>
                <c:pt idx="88">
                  <c:v>37.1</c:v>
                </c:pt>
                <c:pt idx="89">
                  <c:v>26.5</c:v>
                </c:pt>
                <c:pt idx="90">
                  <c:v>19.100000000000001</c:v>
                </c:pt>
                <c:pt idx="91">
                  <c:v>32</c:v>
                </c:pt>
                <c:pt idx="92">
                  <c:v>46.7</c:v>
                </c:pt>
                <c:pt idx="93">
                  <c:v>23.8</c:v>
                </c:pt>
                <c:pt idx="94">
                  <c:v>24.7</c:v>
                </c:pt>
                <c:pt idx="95">
                  <c:v>33.9</c:v>
                </c:pt>
                <c:pt idx="96">
                  <c:v>31.6</c:v>
                </c:pt>
                <c:pt idx="97">
                  <c:v>20.399999999999999</c:v>
                </c:pt>
                <c:pt idx="98">
                  <c:v>28.7</c:v>
                </c:pt>
                <c:pt idx="99">
                  <c:v>49.7</c:v>
                </c:pt>
                <c:pt idx="100">
                  <c:v>39</c:v>
                </c:pt>
                <c:pt idx="101">
                  <c:v>26.1</c:v>
                </c:pt>
                <c:pt idx="102">
                  <c:v>22.5</c:v>
                </c:pt>
                <c:pt idx="103">
                  <c:v>26.6</c:v>
                </c:pt>
                <c:pt idx="104">
                  <c:v>39.6</c:v>
                </c:pt>
                <c:pt idx="105">
                  <c:v>28.7</c:v>
                </c:pt>
                <c:pt idx="106">
                  <c:v>22.4</c:v>
                </c:pt>
                <c:pt idx="107">
                  <c:v>29.5</c:v>
                </c:pt>
                <c:pt idx="108">
                  <c:v>34.299999999999997</c:v>
                </c:pt>
                <c:pt idx="109">
                  <c:v>37.4</c:v>
                </c:pt>
                <c:pt idx="110">
                  <c:v>33.299999999999997</c:v>
                </c:pt>
                <c:pt idx="111">
                  <c:v>34</c:v>
                </c:pt>
                <c:pt idx="112">
                  <c:v>31.2</c:v>
                </c:pt>
                <c:pt idx="113">
                  <c:v>34</c:v>
                </c:pt>
                <c:pt idx="114">
                  <c:v>30.5</c:v>
                </c:pt>
                <c:pt idx="115">
                  <c:v>31.2</c:v>
                </c:pt>
                <c:pt idx="116">
                  <c:v>34</c:v>
                </c:pt>
                <c:pt idx="117">
                  <c:v>33.700000000000003</c:v>
                </c:pt>
                <c:pt idx="118">
                  <c:v>28.2</c:v>
                </c:pt>
                <c:pt idx="119">
                  <c:v>23.2</c:v>
                </c:pt>
                <c:pt idx="120">
                  <c:v>53.2</c:v>
                </c:pt>
                <c:pt idx="121">
                  <c:v>34.200000000000003</c:v>
                </c:pt>
                <c:pt idx="122">
                  <c:v>33.6</c:v>
                </c:pt>
                <c:pt idx="123">
                  <c:v>26.8</c:v>
                </c:pt>
                <c:pt idx="124">
                  <c:v>33.299999999999997</c:v>
                </c:pt>
                <c:pt idx="125">
                  <c:v>55</c:v>
                </c:pt>
                <c:pt idx="126">
                  <c:v>42.9</c:v>
                </c:pt>
                <c:pt idx="127">
                  <c:v>33.299999999999997</c:v>
                </c:pt>
                <c:pt idx="128">
                  <c:v>34.5</c:v>
                </c:pt>
                <c:pt idx="129">
                  <c:v>27.9</c:v>
                </c:pt>
                <c:pt idx="130">
                  <c:v>29.7</c:v>
                </c:pt>
                <c:pt idx="131">
                  <c:v>33.299999999999997</c:v>
                </c:pt>
                <c:pt idx="132">
                  <c:v>34.5</c:v>
                </c:pt>
                <c:pt idx="133">
                  <c:v>38.299999999999997</c:v>
                </c:pt>
                <c:pt idx="134">
                  <c:v>21.1</c:v>
                </c:pt>
                <c:pt idx="135">
                  <c:v>33.799999999999997</c:v>
                </c:pt>
                <c:pt idx="136">
                  <c:v>30.8</c:v>
                </c:pt>
                <c:pt idx="137">
                  <c:v>28.7</c:v>
                </c:pt>
                <c:pt idx="138">
                  <c:v>31.2</c:v>
                </c:pt>
                <c:pt idx="139">
                  <c:v>36.9</c:v>
                </c:pt>
                <c:pt idx="140">
                  <c:v>21.1</c:v>
                </c:pt>
                <c:pt idx="141">
                  <c:v>39.5</c:v>
                </c:pt>
                <c:pt idx="142">
                  <c:v>32.5</c:v>
                </c:pt>
                <c:pt idx="143">
                  <c:v>32.4</c:v>
                </c:pt>
                <c:pt idx="144">
                  <c:v>32.799999999999997</c:v>
                </c:pt>
                <c:pt idx="145">
                  <c:v>32.299999999999997</c:v>
                </c:pt>
                <c:pt idx="146">
                  <c:v>32.799999999999997</c:v>
                </c:pt>
                <c:pt idx="147">
                  <c:v>30.5</c:v>
                </c:pt>
                <c:pt idx="148">
                  <c:v>33.700000000000003</c:v>
                </c:pt>
                <c:pt idx="149">
                  <c:v>27.3</c:v>
                </c:pt>
                <c:pt idx="150">
                  <c:v>37.4</c:v>
                </c:pt>
                <c:pt idx="151">
                  <c:v>21.9</c:v>
                </c:pt>
                <c:pt idx="152">
                  <c:v>34.299999999999997</c:v>
                </c:pt>
                <c:pt idx="153">
                  <c:v>40.6</c:v>
                </c:pt>
                <c:pt idx="154">
                  <c:v>47.9</c:v>
                </c:pt>
                <c:pt idx="155">
                  <c:v>50</c:v>
                </c:pt>
                <c:pt idx="156">
                  <c:v>24.6</c:v>
                </c:pt>
                <c:pt idx="157">
                  <c:v>25.2</c:v>
                </c:pt>
                <c:pt idx="158">
                  <c:v>29</c:v>
                </c:pt>
                <c:pt idx="159">
                  <c:v>40.9</c:v>
                </c:pt>
                <c:pt idx="160">
                  <c:v>29.7</c:v>
                </c:pt>
                <c:pt idx="161">
                  <c:v>37.200000000000003</c:v>
                </c:pt>
                <c:pt idx="162">
                  <c:v>44.2</c:v>
                </c:pt>
                <c:pt idx="163">
                  <c:v>29.7</c:v>
                </c:pt>
                <c:pt idx="164">
                  <c:v>31.6</c:v>
                </c:pt>
                <c:pt idx="165">
                  <c:v>29.9</c:v>
                </c:pt>
                <c:pt idx="166">
                  <c:v>32.5</c:v>
                </c:pt>
                <c:pt idx="167">
                  <c:v>29.6</c:v>
                </c:pt>
                <c:pt idx="168">
                  <c:v>31.9</c:v>
                </c:pt>
                <c:pt idx="169">
                  <c:v>28.4</c:v>
                </c:pt>
                <c:pt idx="170">
                  <c:v>30.8</c:v>
                </c:pt>
                <c:pt idx="171">
                  <c:v>35.4</c:v>
                </c:pt>
                <c:pt idx="172">
                  <c:v>28.9</c:v>
                </c:pt>
                <c:pt idx="173">
                  <c:v>43.5</c:v>
                </c:pt>
                <c:pt idx="174">
                  <c:v>29.7</c:v>
                </c:pt>
                <c:pt idx="175">
                  <c:v>32.700000000000003</c:v>
                </c:pt>
                <c:pt idx="176">
                  <c:v>31.2</c:v>
                </c:pt>
                <c:pt idx="177">
                  <c:v>67.099999999999994</c:v>
                </c:pt>
                <c:pt idx="178">
                  <c:v>45</c:v>
                </c:pt>
                <c:pt idx="179">
                  <c:v>39.1</c:v>
                </c:pt>
                <c:pt idx="180">
                  <c:v>23.2</c:v>
                </c:pt>
                <c:pt idx="181">
                  <c:v>34.9</c:v>
                </c:pt>
                <c:pt idx="182">
                  <c:v>27.7</c:v>
                </c:pt>
                <c:pt idx="183">
                  <c:v>26.8</c:v>
                </c:pt>
                <c:pt idx="184">
                  <c:v>27.6</c:v>
                </c:pt>
                <c:pt idx="185">
                  <c:v>35.9</c:v>
                </c:pt>
                <c:pt idx="186">
                  <c:v>30.1</c:v>
                </c:pt>
                <c:pt idx="187">
                  <c:v>32</c:v>
                </c:pt>
                <c:pt idx="188">
                  <c:v>27.9</c:v>
                </c:pt>
                <c:pt idx="189">
                  <c:v>31.6</c:v>
                </c:pt>
                <c:pt idx="190">
                  <c:v>22.6</c:v>
                </c:pt>
                <c:pt idx="191">
                  <c:v>33.1</c:v>
                </c:pt>
                <c:pt idx="192">
                  <c:v>30.4</c:v>
                </c:pt>
                <c:pt idx="193">
                  <c:v>52.3</c:v>
                </c:pt>
                <c:pt idx="194">
                  <c:v>24.4</c:v>
                </c:pt>
                <c:pt idx="195">
                  <c:v>39.4</c:v>
                </c:pt>
                <c:pt idx="196">
                  <c:v>24.3</c:v>
                </c:pt>
                <c:pt idx="197">
                  <c:v>22.9</c:v>
                </c:pt>
                <c:pt idx="198">
                  <c:v>34.799999999999997</c:v>
                </c:pt>
                <c:pt idx="199">
                  <c:v>30.9</c:v>
                </c:pt>
                <c:pt idx="200">
                  <c:v>31</c:v>
                </c:pt>
                <c:pt idx="201">
                  <c:v>40.1</c:v>
                </c:pt>
                <c:pt idx="202">
                  <c:v>27.3</c:v>
                </c:pt>
                <c:pt idx="203">
                  <c:v>20.399999999999999</c:v>
                </c:pt>
                <c:pt idx="204">
                  <c:v>37.700000000000003</c:v>
                </c:pt>
                <c:pt idx="205">
                  <c:v>23.9</c:v>
                </c:pt>
                <c:pt idx="206">
                  <c:v>37.5</c:v>
                </c:pt>
                <c:pt idx="207">
                  <c:v>37.700000000000003</c:v>
                </c:pt>
                <c:pt idx="208">
                  <c:v>33.200000000000003</c:v>
                </c:pt>
                <c:pt idx="209">
                  <c:v>35.5</c:v>
                </c:pt>
                <c:pt idx="210">
                  <c:v>27.7</c:v>
                </c:pt>
                <c:pt idx="211">
                  <c:v>42.8</c:v>
                </c:pt>
                <c:pt idx="212">
                  <c:v>34.200000000000003</c:v>
                </c:pt>
                <c:pt idx="213">
                  <c:v>42.6</c:v>
                </c:pt>
                <c:pt idx="214">
                  <c:v>34.200000000000003</c:v>
                </c:pt>
                <c:pt idx="215">
                  <c:v>41.8</c:v>
                </c:pt>
                <c:pt idx="216">
                  <c:v>35.799999999999997</c:v>
                </c:pt>
                <c:pt idx="217">
                  <c:v>30</c:v>
                </c:pt>
                <c:pt idx="218">
                  <c:v>29</c:v>
                </c:pt>
                <c:pt idx="219">
                  <c:v>37.799999999999997</c:v>
                </c:pt>
                <c:pt idx="220">
                  <c:v>34.6</c:v>
                </c:pt>
                <c:pt idx="221">
                  <c:v>31.6</c:v>
                </c:pt>
                <c:pt idx="222">
                  <c:v>25.2</c:v>
                </c:pt>
                <c:pt idx="223">
                  <c:v>28.8</c:v>
                </c:pt>
                <c:pt idx="224">
                  <c:v>23.6</c:v>
                </c:pt>
                <c:pt idx="225">
                  <c:v>34.6</c:v>
                </c:pt>
                <c:pt idx="226">
                  <c:v>35.700000000000003</c:v>
                </c:pt>
                <c:pt idx="227">
                  <c:v>37.200000000000003</c:v>
                </c:pt>
                <c:pt idx="228">
                  <c:v>36.700000000000003</c:v>
                </c:pt>
                <c:pt idx="229">
                  <c:v>45.2</c:v>
                </c:pt>
                <c:pt idx="230">
                  <c:v>44</c:v>
                </c:pt>
                <c:pt idx="231">
                  <c:v>46.2</c:v>
                </c:pt>
                <c:pt idx="232">
                  <c:v>25.4</c:v>
                </c:pt>
                <c:pt idx="233">
                  <c:v>35</c:v>
                </c:pt>
                <c:pt idx="234">
                  <c:v>29.7</c:v>
                </c:pt>
                <c:pt idx="235">
                  <c:v>43.6</c:v>
                </c:pt>
                <c:pt idx="236">
                  <c:v>35.9</c:v>
                </c:pt>
                <c:pt idx="237">
                  <c:v>44.1</c:v>
                </c:pt>
                <c:pt idx="238">
                  <c:v>30.8</c:v>
                </c:pt>
                <c:pt idx="239">
                  <c:v>18.399999999999999</c:v>
                </c:pt>
                <c:pt idx="240">
                  <c:v>29.2</c:v>
                </c:pt>
                <c:pt idx="241">
                  <c:v>33.1</c:v>
                </c:pt>
                <c:pt idx="242">
                  <c:v>25.6</c:v>
                </c:pt>
                <c:pt idx="243">
                  <c:v>27.1</c:v>
                </c:pt>
                <c:pt idx="244">
                  <c:v>38.200000000000003</c:v>
                </c:pt>
                <c:pt idx="245">
                  <c:v>30</c:v>
                </c:pt>
                <c:pt idx="246">
                  <c:v>31.2</c:v>
                </c:pt>
                <c:pt idx="247">
                  <c:v>52.3</c:v>
                </c:pt>
                <c:pt idx="248">
                  <c:v>35.4</c:v>
                </c:pt>
                <c:pt idx="249">
                  <c:v>30.1</c:v>
                </c:pt>
                <c:pt idx="250">
                  <c:v>31.2</c:v>
                </c:pt>
                <c:pt idx="251">
                  <c:v>28</c:v>
                </c:pt>
                <c:pt idx="252">
                  <c:v>24.4</c:v>
                </c:pt>
                <c:pt idx="253">
                  <c:v>35.799999999999997</c:v>
                </c:pt>
                <c:pt idx="254">
                  <c:v>27.6</c:v>
                </c:pt>
                <c:pt idx="255">
                  <c:v>33.6</c:v>
                </c:pt>
                <c:pt idx="256">
                  <c:v>30.1</c:v>
                </c:pt>
                <c:pt idx="257">
                  <c:v>28.7</c:v>
                </c:pt>
                <c:pt idx="258">
                  <c:v>25.9</c:v>
                </c:pt>
                <c:pt idx="259">
                  <c:v>33.299999999999997</c:v>
                </c:pt>
                <c:pt idx="260">
                  <c:v>30.9</c:v>
                </c:pt>
                <c:pt idx="261">
                  <c:v>30</c:v>
                </c:pt>
                <c:pt idx="262">
                  <c:v>32.1</c:v>
                </c:pt>
                <c:pt idx="263">
                  <c:v>32.4</c:v>
                </c:pt>
                <c:pt idx="264">
                  <c:v>32</c:v>
                </c:pt>
                <c:pt idx="265">
                  <c:v>33.6</c:v>
                </c:pt>
                <c:pt idx="266">
                  <c:v>36.299999999999997</c:v>
                </c:pt>
                <c:pt idx="267">
                  <c:v>40</c:v>
                </c:pt>
                <c:pt idx="268">
                  <c:v>25.1</c:v>
                </c:pt>
                <c:pt idx="269">
                  <c:v>27.5</c:v>
                </c:pt>
                <c:pt idx="270">
                  <c:v>45.6</c:v>
                </c:pt>
                <c:pt idx="271">
                  <c:v>25.2</c:v>
                </c:pt>
                <c:pt idx="272">
                  <c:v>23</c:v>
                </c:pt>
                <c:pt idx="273">
                  <c:v>33.200000000000003</c:v>
                </c:pt>
                <c:pt idx="274">
                  <c:v>34.200000000000003</c:v>
                </c:pt>
                <c:pt idx="275">
                  <c:v>40.5</c:v>
                </c:pt>
                <c:pt idx="276">
                  <c:v>26.5</c:v>
                </c:pt>
                <c:pt idx="277">
                  <c:v>27.8</c:v>
                </c:pt>
                <c:pt idx="278">
                  <c:v>24.9</c:v>
                </c:pt>
                <c:pt idx="279">
                  <c:v>25.3</c:v>
                </c:pt>
                <c:pt idx="280">
                  <c:v>37.9</c:v>
                </c:pt>
                <c:pt idx="281">
                  <c:v>35.9</c:v>
                </c:pt>
                <c:pt idx="282">
                  <c:v>32.4</c:v>
                </c:pt>
                <c:pt idx="283">
                  <c:v>30.4</c:v>
                </c:pt>
                <c:pt idx="284">
                  <c:v>27</c:v>
                </c:pt>
                <c:pt idx="285">
                  <c:v>26</c:v>
                </c:pt>
                <c:pt idx="286">
                  <c:v>38.700000000000003</c:v>
                </c:pt>
                <c:pt idx="287">
                  <c:v>45.6</c:v>
                </c:pt>
                <c:pt idx="288">
                  <c:v>20.8</c:v>
                </c:pt>
                <c:pt idx="289">
                  <c:v>36.1</c:v>
                </c:pt>
                <c:pt idx="290">
                  <c:v>36.9</c:v>
                </c:pt>
                <c:pt idx="291">
                  <c:v>36.6</c:v>
                </c:pt>
                <c:pt idx="292">
                  <c:v>43.3</c:v>
                </c:pt>
                <c:pt idx="293">
                  <c:v>40.5</c:v>
                </c:pt>
                <c:pt idx="294">
                  <c:v>21.9</c:v>
                </c:pt>
                <c:pt idx="295">
                  <c:v>35.5</c:v>
                </c:pt>
                <c:pt idx="296">
                  <c:v>28</c:v>
                </c:pt>
                <c:pt idx="297">
                  <c:v>30.7</c:v>
                </c:pt>
                <c:pt idx="298">
                  <c:v>36.6</c:v>
                </c:pt>
                <c:pt idx="299">
                  <c:v>23.6</c:v>
                </c:pt>
                <c:pt idx="300">
                  <c:v>32.299999999999997</c:v>
                </c:pt>
                <c:pt idx="301">
                  <c:v>31.6</c:v>
                </c:pt>
                <c:pt idx="302">
                  <c:v>35.799999999999997</c:v>
                </c:pt>
                <c:pt idx="303">
                  <c:v>52.9</c:v>
                </c:pt>
                <c:pt idx="304">
                  <c:v>21</c:v>
                </c:pt>
                <c:pt idx="305">
                  <c:v>39.700000000000003</c:v>
                </c:pt>
                <c:pt idx="306">
                  <c:v>25.5</c:v>
                </c:pt>
                <c:pt idx="307">
                  <c:v>24.8</c:v>
                </c:pt>
                <c:pt idx="308">
                  <c:v>30.5</c:v>
                </c:pt>
                <c:pt idx="309">
                  <c:v>32.9</c:v>
                </c:pt>
                <c:pt idx="310">
                  <c:v>26.2</c:v>
                </c:pt>
                <c:pt idx="311">
                  <c:v>39.4</c:v>
                </c:pt>
                <c:pt idx="312">
                  <c:v>26.6</c:v>
                </c:pt>
                <c:pt idx="313">
                  <c:v>29.5</c:v>
                </c:pt>
                <c:pt idx="314">
                  <c:v>35.9</c:v>
                </c:pt>
                <c:pt idx="315">
                  <c:v>34.1</c:v>
                </c:pt>
                <c:pt idx="316">
                  <c:v>19.3</c:v>
                </c:pt>
                <c:pt idx="317">
                  <c:v>30.5</c:v>
                </c:pt>
                <c:pt idx="318">
                  <c:v>38.1</c:v>
                </c:pt>
                <c:pt idx="319">
                  <c:v>23.5</c:v>
                </c:pt>
                <c:pt idx="320">
                  <c:v>27.5</c:v>
                </c:pt>
                <c:pt idx="321">
                  <c:v>31.6</c:v>
                </c:pt>
                <c:pt idx="322">
                  <c:v>27.4</c:v>
                </c:pt>
                <c:pt idx="323">
                  <c:v>26.8</c:v>
                </c:pt>
                <c:pt idx="324">
                  <c:v>35.700000000000003</c:v>
                </c:pt>
                <c:pt idx="325">
                  <c:v>25.6</c:v>
                </c:pt>
                <c:pt idx="326">
                  <c:v>35.1</c:v>
                </c:pt>
                <c:pt idx="327">
                  <c:v>35.1</c:v>
                </c:pt>
                <c:pt idx="328">
                  <c:v>45.5</c:v>
                </c:pt>
                <c:pt idx="329">
                  <c:v>30.8</c:v>
                </c:pt>
                <c:pt idx="330">
                  <c:v>23.1</c:v>
                </c:pt>
                <c:pt idx="331">
                  <c:v>32.700000000000003</c:v>
                </c:pt>
                <c:pt idx="332">
                  <c:v>43.3</c:v>
                </c:pt>
                <c:pt idx="333">
                  <c:v>23.6</c:v>
                </c:pt>
                <c:pt idx="334">
                  <c:v>23.9</c:v>
                </c:pt>
                <c:pt idx="335">
                  <c:v>47.9</c:v>
                </c:pt>
                <c:pt idx="336">
                  <c:v>33.799999999999997</c:v>
                </c:pt>
                <c:pt idx="337">
                  <c:v>31.2</c:v>
                </c:pt>
                <c:pt idx="338">
                  <c:v>34.200000000000003</c:v>
                </c:pt>
                <c:pt idx="339">
                  <c:v>39.9</c:v>
                </c:pt>
                <c:pt idx="340">
                  <c:v>25.9</c:v>
                </c:pt>
                <c:pt idx="341">
                  <c:v>25.9</c:v>
                </c:pt>
                <c:pt idx="342">
                  <c:v>32</c:v>
                </c:pt>
                <c:pt idx="343">
                  <c:v>34.700000000000003</c:v>
                </c:pt>
                <c:pt idx="344">
                  <c:v>36.799999999999997</c:v>
                </c:pt>
                <c:pt idx="345">
                  <c:v>38.5</c:v>
                </c:pt>
                <c:pt idx="346">
                  <c:v>28.7</c:v>
                </c:pt>
                <c:pt idx="347">
                  <c:v>23.5</c:v>
                </c:pt>
                <c:pt idx="348">
                  <c:v>21.8</c:v>
                </c:pt>
                <c:pt idx="349">
                  <c:v>41</c:v>
                </c:pt>
                <c:pt idx="350">
                  <c:v>42.2</c:v>
                </c:pt>
                <c:pt idx="351">
                  <c:v>31.2</c:v>
                </c:pt>
                <c:pt idx="352">
                  <c:v>34.4</c:v>
                </c:pt>
                <c:pt idx="353">
                  <c:v>27.2</c:v>
                </c:pt>
                <c:pt idx="354">
                  <c:v>42.7</c:v>
                </c:pt>
                <c:pt idx="355">
                  <c:v>30.4</c:v>
                </c:pt>
                <c:pt idx="356">
                  <c:v>33.299999999999997</c:v>
                </c:pt>
                <c:pt idx="357">
                  <c:v>39.9</c:v>
                </c:pt>
                <c:pt idx="358">
                  <c:v>35.299999999999997</c:v>
                </c:pt>
                <c:pt idx="359">
                  <c:v>36.5</c:v>
                </c:pt>
                <c:pt idx="360">
                  <c:v>31.2</c:v>
                </c:pt>
                <c:pt idx="361">
                  <c:v>29.8</c:v>
                </c:pt>
                <c:pt idx="362">
                  <c:v>39.200000000000003</c:v>
                </c:pt>
                <c:pt idx="363">
                  <c:v>38.5</c:v>
                </c:pt>
                <c:pt idx="364">
                  <c:v>34.9</c:v>
                </c:pt>
                <c:pt idx="365">
                  <c:v>34</c:v>
                </c:pt>
                <c:pt idx="366">
                  <c:v>27.6</c:v>
                </c:pt>
                <c:pt idx="367">
                  <c:v>21</c:v>
                </c:pt>
                <c:pt idx="368">
                  <c:v>27.5</c:v>
                </c:pt>
                <c:pt idx="369">
                  <c:v>32.799999999999997</c:v>
                </c:pt>
                <c:pt idx="370">
                  <c:v>38.4</c:v>
                </c:pt>
                <c:pt idx="371">
                  <c:v>32.299999999999997</c:v>
                </c:pt>
                <c:pt idx="372">
                  <c:v>35.799999999999997</c:v>
                </c:pt>
                <c:pt idx="373">
                  <c:v>34.9</c:v>
                </c:pt>
                <c:pt idx="374">
                  <c:v>36.200000000000003</c:v>
                </c:pt>
                <c:pt idx="375">
                  <c:v>39.200000000000003</c:v>
                </c:pt>
                <c:pt idx="376">
                  <c:v>25.2</c:v>
                </c:pt>
                <c:pt idx="377">
                  <c:v>37.200000000000003</c:v>
                </c:pt>
                <c:pt idx="378">
                  <c:v>48.3</c:v>
                </c:pt>
                <c:pt idx="379">
                  <c:v>43.4</c:v>
                </c:pt>
                <c:pt idx="380">
                  <c:v>30.8</c:v>
                </c:pt>
                <c:pt idx="381">
                  <c:v>20</c:v>
                </c:pt>
                <c:pt idx="382">
                  <c:v>25.4</c:v>
                </c:pt>
                <c:pt idx="383">
                  <c:v>25.1</c:v>
                </c:pt>
                <c:pt idx="384">
                  <c:v>24.3</c:v>
                </c:pt>
                <c:pt idx="385">
                  <c:v>22.3</c:v>
                </c:pt>
                <c:pt idx="386">
                  <c:v>32.299999999999997</c:v>
                </c:pt>
                <c:pt idx="387">
                  <c:v>43.3</c:v>
                </c:pt>
                <c:pt idx="388">
                  <c:v>32</c:v>
                </c:pt>
                <c:pt idx="389">
                  <c:v>31.6</c:v>
                </c:pt>
                <c:pt idx="390">
                  <c:v>32</c:v>
                </c:pt>
                <c:pt idx="391">
                  <c:v>45.7</c:v>
                </c:pt>
                <c:pt idx="392">
                  <c:v>23.7</c:v>
                </c:pt>
                <c:pt idx="393">
                  <c:v>22.1</c:v>
                </c:pt>
                <c:pt idx="394">
                  <c:v>32.9</c:v>
                </c:pt>
                <c:pt idx="395">
                  <c:v>27.7</c:v>
                </c:pt>
                <c:pt idx="396">
                  <c:v>24.7</c:v>
                </c:pt>
                <c:pt idx="397">
                  <c:v>34.299999999999997</c:v>
                </c:pt>
                <c:pt idx="398">
                  <c:v>21.1</c:v>
                </c:pt>
                <c:pt idx="399">
                  <c:v>34.9</c:v>
                </c:pt>
                <c:pt idx="400">
                  <c:v>32</c:v>
                </c:pt>
                <c:pt idx="401">
                  <c:v>24.2</c:v>
                </c:pt>
                <c:pt idx="402">
                  <c:v>35</c:v>
                </c:pt>
                <c:pt idx="403">
                  <c:v>31.6</c:v>
                </c:pt>
                <c:pt idx="404">
                  <c:v>32.9</c:v>
                </c:pt>
                <c:pt idx="405">
                  <c:v>42.1</c:v>
                </c:pt>
                <c:pt idx="406">
                  <c:v>28.9</c:v>
                </c:pt>
                <c:pt idx="407">
                  <c:v>21.9</c:v>
                </c:pt>
                <c:pt idx="408">
                  <c:v>25.9</c:v>
                </c:pt>
                <c:pt idx="409">
                  <c:v>42.4</c:v>
                </c:pt>
                <c:pt idx="410">
                  <c:v>35.700000000000003</c:v>
                </c:pt>
                <c:pt idx="411">
                  <c:v>34.4</c:v>
                </c:pt>
                <c:pt idx="412">
                  <c:v>42.4</c:v>
                </c:pt>
                <c:pt idx="413">
                  <c:v>26.2</c:v>
                </c:pt>
                <c:pt idx="414">
                  <c:v>34.6</c:v>
                </c:pt>
                <c:pt idx="415">
                  <c:v>35.700000000000003</c:v>
                </c:pt>
                <c:pt idx="416">
                  <c:v>27.2</c:v>
                </c:pt>
                <c:pt idx="417">
                  <c:v>38.5</c:v>
                </c:pt>
                <c:pt idx="418">
                  <c:v>18.2</c:v>
                </c:pt>
                <c:pt idx="419">
                  <c:v>26.4</c:v>
                </c:pt>
                <c:pt idx="420">
                  <c:v>45.3</c:v>
                </c:pt>
                <c:pt idx="421">
                  <c:v>26</c:v>
                </c:pt>
                <c:pt idx="422">
                  <c:v>40.6</c:v>
                </c:pt>
                <c:pt idx="423">
                  <c:v>30.8</c:v>
                </c:pt>
                <c:pt idx="424">
                  <c:v>42.9</c:v>
                </c:pt>
                <c:pt idx="425">
                  <c:v>37</c:v>
                </c:pt>
                <c:pt idx="426">
                  <c:v>32.299999999999997</c:v>
                </c:pt>
                <c:pt idx="427">
                  <c:v>34.1</c:v>
                </c:pt>
                <c:pt idx="428">
                  <c:v>40.6</c:v>
                </c:pt>
                <c:pt idx="429">
                  <c:v>35</c:v>
                </c:pt>
                <c:pt idx="430">
                  <c:v>22.2</c:v>
                </c:pt>
                <c:pt idx="431">
                  <c:v>30.4</c:v>
                </c:pt>
                <c:pt idx="432">
                  <c:v>30</c:v>
                </c:pt>
                <c:pt idx="433">
                  <c:v>25.6</c:v>
                </c:pt>
                <c:pt idx="434">
                  <c:v>24.5</c:v>
                </c:pt>
                <c:pt idx="435">
                  <c:v>42.4</c:v>
                </c:pt>
                <c:pt idx="436">
                  <c:v>37.4</c:v>
                </c:pt>
                <c:pt idx="437">
                  <c:v>29.9</c:v>
                </c:pt>
                <c:pt idx="438">
                  <c:v>18.2</c:v>
                </c:pt>
                <c:pt idx="439">
                  <c:v>36.799999999999997</c:v>
                </c:pt>
                <c:pt idx="440">
                  <c:v>34.299999999999997</c:v>
                </c:pt>
                <c:pt idx="441">
                  <c:v>32.200000000000003</c:v>
                </c:pt>
                <c:pt idx="442">
                  <c:v>33.200000000000003</c:v>
                </c:pt>
                <c:pt idx="443">
                  <c:v>30.5</c:v>
                </c:pt>
                <c:pt idx="444">
                  <c:v>29.7</c:v>
                </c:pt>
                <c:pt idx="445">
                  <c:v>59.4</c:v>
                </c:pt>
                <c:pt idx="446">
                  <c:v>25.3</c:v>
                </c:pt>
                <c:pt idx="447">
                  <c:v>36.5</c:v>
                </c:pt>
                <c:pt idx="448">
                  <c:v>33.6</c:v>
                </c:pt>
                <c:pt idx="449">
                  <c:v>30.5</c:v>
                </c:pt>
                <c:pt idx="450">
                  <c:v>21.2</c:v>
                </c:pt>
                <c:pt idx="451">
                  <c:v>28.9</c:v>
                </c:pt>
                <c:pt idx="452">
                  <c:v>39.9</c:v>
                </c:pt>
                <c:pt idx="453">
                  <c:v>19.600000000000001</c:v>
                </c:pt>
                <c:pt idx="454">
                  <c:v>37.799999999999997</c:v>
                </c:pt>
                <c:pt idx="455">
                  <c:v>33.6</c:v>
                </c:pt>
                <c:pt idx="456">
                  <c:v>26.7</c:v>
                </c:pt>
                <c:pt idx="457">
                  <c:v>30.2</c:v>
                </c:pt>
                <c:pt idx="458">
                  <c:v>37.6</c:v>
                </c:pt>
                <c:pt idx="459">
                  <c:v>25.9</c:v>
                </c:pt>
                <c:pt idx="460">
                  <c:v>20.8</c:v>
                </c:pt>
                <c:pt idx="461">
                  <c:v>21.8</c:v>
                </c:pt>
                <c:pt idx="462">
                  <c:v>35.299999999999997</c:v>
                </c:pt>
                <c:pt idx="463">
                  <c:v>27.6</c:v>
                </c:pt>
                <c:pt idx="464">
                  <c:v>24</c:v>
                </c:pt>
                <c:pt idx="465">
                  <c:v>21.8</c:v>
                </c:pt>
                <c:pt idx="466">
                  <c:v>27.8</c:v>
                </c:pt>
                <c:pt idx="467">
                  <c:v>36.799999999999997</c:v>
                </c:pt>
                <c:pt idx="468">
                  <c:v>30</c:v>
                </c:pt>
                <c:pt idx="469">
                  <c:v>46.1</c:v>
                </c:pt>
                <c:pt idx="470">
                  <c:v>41.3</c:v>
                </c:pt>
                <c:pt idx="471">
                  <c:v>33.200000000000003</c:v>
                </c:pt>
                <c:pt idx="472">
                  <c:v>38.799999999999997</c:v>
                </c:pt>
                <c:pt idx="473">
                  <c:v>29.9</c:v>
                </c:pt>
                <c:pt idx="474">
                  <c:v>28.9</c:v>
                </c:pt>
                <c:pt idx="475">
                  <c:v>27.3</c:v>
                </c:pt>
                <c:pt idx="476">
                  <c:v>33.700000000000003</c:v>
                </c:pt>
                <c:pt idx="477">
                  <c:v>23.8</c:v>
                </c:pt>
                <c:pt idx="478">
                  <c:v>25.9</c:v>
                </c:pt>
                <c:pt idx="479">
                  <c:v>28</c:v>
                </c:pt>
                <c:pt idx="480">
                  <c:v>35.5</c:v>
                </c:pt>
                <c:pt idx="481">
                  <c:v>35.200000000000003</c:v>
                </c:pt>
                <c:pt idx="482">
                  <c:v>27.8</c:v>
                </c:pt>
                <c:pt idx="483">
                  <c:v>38.200000000000003</c:v>
                </c:pt>
                <c:pt idx="484">
                  <c:v>44.2</c:v>
                </c:pt>
                <c:pt idx="485">
                  <c:v>42.3</c:v>
                </c:pt>
                <c:pt idx="486">
                  <c:v>40.700000000000003</c:v>
                </c:pt>
                <c:pt idx="487">
                  <c:v>46.5</c:v>
                </c:pt>
                <c:pt idx="488">
                  <c:v>25.6</c:v>
                </c:pt>
                <c:pt idx="489">
                  <c:v>26.1</c:v>
                </c:pt>
                <c:pt idx="490">
                  <c:v>36.799999999999997</c:v>
                </c:pt>
                <c:pt idx="491">
                  <c:v>33.5</c:v>
                </c:pt>
                <c:pt idx="492">
                  <c:v>32.799999999999997</c:v>
                </c:pt>
                <c:pt idx="493">
                  <c:v>28.9</c:v>
                </c:pt>
                <c:pt idx="494">
                  <c:v>32.299999999999997</c:v>
                </c:pt>
                <c:pt idx="495">
                  <c:v>26.6</c:v>
                </c:pt>
                <c:pt idx="496">
                  <c:v>26</c:v>
                </c:pt>
                <c:pt idx="497">
                  <c:v>30.1</c:v>
                </c:pt>
                <c:pt idx="498">
                  <c:v>25.1</c:v>
                </c:pt>
                <c:pt idx="499">
                  <c:v>29.3</c:v>
                </c:pt>
                <c:pt idx="500">
                  <c:v>25.2</c:v>
                </c:pt>
                <c:pt idx="501">
                  <c:v>37.200000000000003</c:v>
                </c:pt>
                <c:pt idx="502">
                  <c:v>39</c:v>
                </c:pt>
                <c:pt idx="503">
                  <c:v>33.299999999999997</c:v>
                </c:pt>
                <c:pt idx="504">
                  <c:v>37.299999999999997</c:v>
                </c:pt>
                <c:pt idx="505">
                  <c:v>33.299999999999997</c:v>
                </c:pt>
                <c:pt idx="506">
                  <c:v>36.5</c:v>
                </c:pt>
                <c:pt idx="507">
                  <c:v>28.6</c:v>
                </c:pt>
                <c:pt idx="508">
                  <c:v>30.4</c:v>
                </c:pt>
                <c:pt idx="509">
                  <c:v>25</c:v>
                </c:pt>
                <c:pt idx="510">
                  <c:v>29.7</c:v>
                </c:pt>
                <c:pt idx="511">
                  <c:v>22.1</c:v>
                </c:pt>
                <c:pt idx="512">
                  <c:v>24.2</c:v>
                </c:pt>
                <c:pt idx="513">
                  <c:v>27.3</c:v>
                </c:pt>
                <c:pt idx="514">
                  <c:v>25.6</c:v>
                </c:pt>
                <c:pt idx="515">
                  <c:v>31.6</c:v>
                </c:pt>
                <c:pt idx="516">
                  <c:v>30.3</c:v>
                </c:pt>
                <c:pt idx="517">
                  <c:v>37.6</c:v>
                </c:pt>
                <c:pt idx="518">
                  <c:v>32.799999999999997</c:v>
                </c:pt>
                <c:pt idx="519">
                  <c:v>19.600000000000001</c:v>
                </c:pt>
                <c:pt idx="520">
                  <c:v>25</c:v>
                </c:pt>
                <c:pt idx="521">
                  <c:v>33.200000000000003</c:v>
                </c:pt>
                <c:pt idx="522">
                  <c:v>32.299999999999997</c:v>
                </c:pt>
                <c:pt idx="523">
                  <c:v>34.200000000000003</c:v>
                </c:pt>
                <c:pt idx="524">
                  <c:v>31.6</c:v>
                </c:pt>
                <c:pt idx="525">
                  <c:v>21.8</c:v>
                </c:pt>
                <c:pt idx="526">
                  <c:v>18.2</c:v>
                </c:pt>
                <c:pt idx="527">
                  <c:v>26.3</c:v>
                </c:pt>
                <c:pt idx="528">
                  <c:v>30.8</c:v>
                </c:pt>
                <c:pt idx="529">
                  <c:v>24.6</c:v>
                </c:pt>
                <c:pt idx="530">
                  <c:v>29.8</c:v>
                </c:pt>
                <c:pt idx="531">
                  <c:v>45.3</c:v>
                </c:pt>
                <c:pt idx="532">
                  <c:v>41.3</c:v>
                </c:pt>
                <c:pt idx="533">
                  <c:v>29.8</c:v>
                </c:pt>
                <c:pt idx="534">
                  <c:v>33.299999999999997</c:v>
                </c:pt>
                <c:pt idx="535">
                  <c:v>32.9</c:v>
                </c:pt>
                <c:pt idx="536">
                  <c:v>29.6</c:v>
                </c:pt>
                <c:pt idx="537">
                  <c:v>21.7</c:v>
                </c:pt>
                <c:pt idx="538">
                  <c:v>36.299999999999997</c:v>
                </c:pt>
                <c:pt idx="539">
                  <c:v>36.4</c:v>
                </c:pt>
                <c:pt idx="540">
                  <c:v>39.4</c:v>
                </c:pt>
                <c:pt idx="541">
                  <c:v>32.4</c:v>
                </c:pt>
                <c:pt idx="542">
                  <c:v>34.9</c:v>
                </c:pt>
                <c:pt idx="543">
                  <c:v>39.5</c:v>
                </c:pt>
                <c:pt idx="544">
                  <c:v>32</c:v>
                </c:pt>
                <c:pt idx="545">
                  <c:v>34.5</c:v>
                </c:pt>
                <c:pt idx="546">
                  <c:v>43.6</c:v>
                </c:pt>
                <c:pt idx="547">
                  <c:v>33.1</c:v>
                </c:pt>
                <c:pt idx="548">
                  <c:v>32.799999999999997</c:v>
                </c:pt>
                <c:pt idx="549">
                  <c:v>28.5</c:v>
                </c:pt>
                <c:pt idx="550">
                  <c:v>27.4</c:v>
                </c:pt>
                <c:pt idx="551">
                  <c:v>31.9</c:v>
                </c:pt>
                <c:pt idx="552">
                  <c:v>27.8</c:v>
                </c:pt>
                <c:pt idx="553">
                  <c:v>29.9</c:v>
                </c:pt>
                <c:pt idx="554">
                  <c:v>36.9</c:v>
                </c:pt>
                <c:pt idx="555">
                  <c:v>25.5</c:v>
                </c:pt>
                <c:pt idx="556">
                  <c:v>38.1</c:v>
                </c:pt>
                <c:pt idx="557">
                  <c:v>27.8</c:v>
                </c:pt>
                <c:pt idx="558">
                  <c:v>46.2</c:v>
                </c:pt>
                <c:pt idx="559">
                  <c:v>30.1</c:v>
                </c:pt>
                <c:pt idx="560">
                  <c:v>33.799999999999997</c:v>
                </c:pt>
                <c:pt idx="561">
                  <c:v>41.3</c:v>
                </c:pt>
                <c:pt idx="562">
                  <c:v>37.6</c:v>
                </c:pt>
                <c:pt idx="563">
                  <c:v>26.9</c:v>
                </c:pt>
                <c:pt idx="564">
                  <c:v>32.4</c:v>
                </c:pt>
                <c:pt idx="565">
                  <c:v>26.1</c:v>
                </c:pt>
                <c:pt idx="566">
                  <c:v>38.6</c:v>
                </c:pt>
                <c:pt idx="567">
                  <c:v>32</c:v>
                </c:pt>
                <c:pt idx="568">
                  <c:v>31.3</c:v>
                </c:pt>
                <c:pt idx="569">
                  <c:v>34.299999999999997</c:v>
                </c:pt>
                <c:pt idx="570">
                  <c:v>32.5</c:v>
                </c:pt>
                <c:pt idx="571">
                  <c:v>22.6</c:v>
                </c:pt>
                <c:pt idx="572">
                  <c:v>29.5</c:v>
                </c:pt>
                <c:pt idx="573">
                  <c:v>34.700000000000003</c:v>
                </c:pt>
                <c:pt idx="574">
                  <c:v>30.1</c:v>
                </c:pt>
                <c:pt idx="575">
                  <c:v>35.5</c:v>
                </c:pt>
                <c:pt idx="576">
                  <c:v>24</c:v>
                </c:pt>
                <c:pt idx="577">
                  <c:v>42.9</c:v>
                </c:pt>
                <c:pt idx="578">
                  <c:v>27</c:v>
                </c:pt>
                <c:pt idx="579">
                  <c:v>34.700000000000003</c:v>
                </c:pt>
                <c:pt idx="580">
                  <c:v>42.1</c:v>
                </c:pt>
                <c:pt idx="581">
                  <c:v>25</c:v>
                </c:pt>
                <c:pt idx="582">
                  <c:v>26.5</c:v>
                </c:pt>
                <c:pt idx="583">
                  <c:v>38.700000000000003</c:v>
                </c:pt>
                <c:pt idx="584">
                  <c:v>28.7</c:v>
                </c:pt>
                <c:pt idx="585">
                  <c:v>22.5</c:v>
                </c:pt>
                <c:pt idx="586">
                  <c:v>34.9</c:v>
                </c:pt>
                <c:pt idx="587">
                  <c:v>24.3</c:v>
                </c:pt>
                <c:pt idx="588">
                  <c:v>33.299999999999997</c:v>
                </c:pt>
                <c:pt idx="589">
                  <c:v>21.1</c:v>
                </c:pt>
                <c:pt idx="590">
                  <c:v>46.8</c:v>
                </c:pt>
                <c:pt idx="591">
                  <c:v>39.4</c:v>
                </c:pt>
                <c:pt idx="592">
                  <c:v>34.4</c:v>
                </c:pt>
                <c:pt idx="593">
                  <c:v>28.5</c:v>
                </c:pt>
                <c:pt idx="594">
                  <c:v>33.6</c:v>
                </c:pt>
                <c:pt idx="595">
                  <c:v>32</c:v>
                </c:pt>
                <c:pt idx="596">
                  <c:v>45.3</c:v>
                </c:pt>
                <c:pt idx="597">
                  <c:v>27.8</c:v>
                </c:pt>
                <c:pt idx="598">
                  <c:v>36.799999999999997</c:v>
                </c:pt>
                <c:pt idx="599">
                  <c:v>23.1</c:v>
                </c:pt>
                <c:pt idx="600">
                  <c:v>27.1</c:v>
                </c:pt>
                <c:pt idx="601">
                  <c:v>23.7</c:v>
                </c:pt>
                <c:pt idx="602">
                  <c:v>27.8</c:v>
                </c:pt>
                <c:pt idx="603">
                  <c:v>35.200000000000003</c:v>
                </c:pt>
                <c:pt idx="604">
                  <c:v>28.4</c:v>
                </c:pt>
                <c:pt idx="605">
                  <c:v>35.799999999999997</c:v>
                </c:pt>
                <c:pt idx="606">
                  <c:v>40</c:v>
                </c:pt>
                <c:pt idx="607">
                  <c:v>19.5</c:v>
                </c:pt>
                <c:pt idx="608">
                  <c:v>41.5</c:v>
                </c:pt>
                <c:pt idx="609">
                  <c:v>24</c:v>
                </c:pt>
                <c:pt idx="610">
                  <c:v>30.9</c:v>
                </c:pt>
                <c:pt idx="611">
                  <c:v>32.9</c:v>
                </c:pt>
                <c:pt idx="612">
                  <c:v>38.200000000000003</c:v>
                </c:pt>
                <c:pt idx="613">
                  <c:v>32.5</c:v>
                </c:pt>
                <c:pt idx="614">
                  <c:v>36.1</c:v>
                </c:pt>
                <c:pt idx="615">
                  <c:v>25.8</c:v>
                </c:pt>
                <c:pt idx="616">
                  <c:v>28.7</c:v>
                </c:pt>
                <c:pt idx="617">
                  <c:v>20.100000000000001</c:v>
                </c:pt>
                <c:pt idx="618">
                  <c:v>28.2</c:v>
                </c:pt>
                <c:pt idx="619">
                  <c:v>32.4</c:v>
                </c:pt>
                <c:pt idx="620">
                  <c:v>38.4</c:v>
                </c:pt>
                <c:pt idx="621">
                  <c:v>24.2</c:v>
                </c:pt>
                <c:pt idx="622">
                  <c:v>40.799999999999997</c:v>
                </c:pt>
                <c:pt idx="623">
                  <c:v>43.5</c:v>
                </c:pt>
                <c:pt idx="624">
                  <c:v>30.8</c:v>
                </c:pt>
                <c:pt idx="625">
                  <c:v>37.700000000000003</c:v>
                </c:pt>
                <c:pt idx="626">
                  <c:v>24.7</c:v>
                </c:pt>
                <c:pt idx="627">
                  <c:v>32.4</c:v>
                </c:pt>
                <c:pt idx="628">
                  <c:v>34.6</c:v>
                </c:pt>
                <c:pt idx="629">
                  <c:v>24.7</c:v>
                </c:pt>
                <c:pt idx="630">
                  <c:v>27.4</c:v>
                </c:pt>
                <c:pt idx="631">
                  <c:v>34.5</c:v>
                </c:pt>
                <c:pt idx="632">
                  <c:v>26.2</c:v>
                </c:pt>
                <c:pt idx="633">
                  <c:v>27.5</c:v>
                </c:pt>
                <c:pt idx="634">
                  <c:v>25.9</c:v>
                </c:pt>
                <c:pt idx="635">
                  <c:v>31.2</c:v>
                </c:pt>
                <c:pt idx="636">
                  <c:v>28.8</c:v>
                </c:pt>
                <c:pt idx="637">
                  <c:v>31.6</c:v>
                </c:pt>
                <c:pt idx="638">
                  <c:v>40.9</c:v>
                </c:pt>
                <c:pt idx="639">
                  <c:v>19.5</c:v>
                </c:pt>
                <c:pt idx="640">
                  <c:v>29.3</c:v>
                </c:pt>
                <c:pt idx="641">
                  <c:v>34.299999999999997</c:v>
                </c:pt>
                <c:pt idx="642">
                  <c:v>29.5</c:v>
                </c:pt>
                <c:pt idx="643">
                  <c:v>28</c:v>
                </c:pt>
                <c:pt idx="644">
                  <c:v>27.6</c:v>
                </c:pt>
                <c:pt idx="645">
                  <c:v>39.4</c:v>
                </c:pt>
                <c:pt idx="646">
                  <c:v>23.4</c:v>
                </c:pt>
                <c:pt idx="647">
                  <c:v>37.799999999999997</c:v>
                </c:pt>
                <c:pt idx="648">
                  <c:v>28.3</c:v>
                </c:pt>
                <c:pt idx="649">
                  <c:v>26.4</c:v>
                </c:pt>
                <c:pt idx="650">
                  <c:v>25.2</c:v>
                </c:pt>
                <c:pt idx="651">
                  <c:v>33.799999999999997</c:v>
                </c:pt>
                <c:pt idx="652">
                  <c:v>34.1</c:v>
                </c:pt>
                <c:pt idx="653">
                  <c:v>26.8</c:v>
                </c:pt>
                <c:pt idx="654">
                  <c:v>34.200000000000003</c:v>
                </c:pt>
                <c:pt idx="655">
                  <c:v>38.700000000000003</c:v>
                </c:pt>
                <c:pt idx="656">
                  <c:v>21.8</c:v>
                </c:pt>
                <c:pt idx="657">
                  <c:v>38.9</c:v>
                </c:pt>
                <c:pt idx="658">
                  <c:v>39</c:v>
                </c:pt>
                <c:pt idx="659">
                  <c:v>34.200000000000003</c:v>
                </c:pt>
                <c:pt idx="660">
                  <c:v>27.7</c:v>
                </c:pt>
                <c:pt idx="661">
                  <c:v>42.9</c:v>
                </c:pt>
                <c:pt idx="662">
                  <c:v>37.6</c:v>
                </c:pt>
                <c:pt idx="663">
                  <c:v>37.9</c:v>
                </c:pt>
                <c:pt idx="664">
                  <c:v>33.700000000000003</c:v>
                </c:pt>
                <c:pt idx="665">
                  <c:v>34.799999999999997</c:v>
                </c:pt>
                <c:pt idx="666">
                  <c:v>32.5</c:v>
                </c:pt>
                <c:pt idx="667">
                  <c:v>27.5</c:v>
                </c:pt>
                <c:pt idx="668">
                  <c:v>34</c:v>
                </c:pt>
                <c:pt idx="669">
                  <c:v>30.9</c:v>
                </c:pt>
                <c:pt idx="670">
                  <c:v>33.6</c:v>
                </c:pt>
                <c:pt idx="671">
                  <c:v>25.4</c:v>
                </c:pt>
                <c:pt idx="672">
                  <c:v>35.5</c:v>
                </c:pt>
                <c:pt idx="673">
                  <c:v>57.3</c:v>
                </c:pt>
                <c:pt idx="674">
                  <c:v>35.6</c:v>
                </c:pt>
                <c:pt idx="675">
                  <c:v>30.9</c:v>
                </c:pt>
                <c:pt idx="676">
                  <c:v>24.8</c:v>
                </c:pt>
                <c:pt idx="677">
                  <c:v>35.299999999999997</c:v>
                </c:pt>
                <c:pt idx="678">
                  <c:v>36</c:v>
                </c:pt>
                <c:pt idx="679">
                  <c:v>24.2</c:v>
                </c:pt>
                <c:pt idx="680">
                  <c:v>24.2</c:v>
                </c:pt>
                <c:pt idx="681">
                  <c:v>49.6</c:v>
                </c:pt>
                <c:pt idx="682">
                  <c:v>44.6</c:v>
                </c:pt>
                <c:pt idx="683">
                  <c:v>32.299999999999997</c:v>
                </c:pt>
                <c:pt idx="684">
                  <c:v>32.299999999999997</c:v>
                </c:pt>
                <c:pt idx="685">
                  <c:v>33.200000000000003</c:v>
                </c:pt>
                <c:pt idx="686">
                  <c:v>23.1</c:v>
                </c:pt>
                <c:pt idx="687">
                  <c:v>28.3</c:v>
                </c:pt>
                <c:pt idx="688">
                  <c:v>24.1</c:v>
                </c:pt>
                <c:pt idx="689">
                  <c:v>46.1</c:v>
                </c:pt>
                <c:pt idx="690">
                  <c:v>24.6</c:v>
                </c:pt>
                <c:pt idx="691">
                  <c:v>42.3</c:v>
                </c:pt>
                <c:pt idx="692">
                  <c:v>39.1</c:v>
                </c:pt>
                <c:pt idx="693">
                  <c:v>38.5</c:v>
                </c:pt>
                <c:pt idx="694">
                  <c:v>23.5</c:v>
                </c:pt>
                <c:pt idx="695">
                  <c:v>30.4</c:v>
                </c:pt>
                <c:pt idx="696">
                  <c:v>29.9</c:v>
                </c:pt>
                <c:pt idx="697">
                  <c:v>25</c:v>
                </c:pt>
                <c:pt idx="698">
                  <c:v>34.5</c:v>
                </c:pt>
                <c:pt idx="699">
                  <c:v>44.5</c:v>
                </c:pt>
                <c:pt idx="700">
                  <c:v>35.9</c:v>
                </c:pt>
                <c:pt idx="701">
                  <c:v>27.6</c:v>
                </c:pt>
                <c:pt idx="702">
                  <c:v>35</c:v>
                </c:pt>
                <c:pt idx="703">
                  <c:v>38.5</c:v>
                </c:pt>
                <c:pt idx="704">
                  <c:v>28.4</c:v>
                </c:pt>
                <c:pt idx="705">
                  <c:v>39.799999999999997</c:v>
                </c:pt>
                <c:pt idx="706">
                  <c:v>32.299999999999997</c:v>
                </c:pt>
                <c:pt idx="707">
                  <c:v>34.4</c:v>
                </c:pt>
                <c:pt idx="708">
                  <c:v>32.799999999999997</c:v>
                </c:pt>
                <c:pt idx="709">
                  <c:v>38</c:v>
                </c:pt>
                <c:pt idx="710">
                  <c:v>31.2</c:v>
                </c:pt>
                <c:pt idx="711">
                  <c:v>29.6</c:v>
                </c:pt>
                <c:pt idx="712">
                  <c:v>41.2</c:v>
                </c:pt>
                <c:pt idx="713">
                  <c:v>26.4</c:v>
                </c:pt>
                <c:pt idx="714">
                  <c:v>29.5</c:v>
                </c:pt>
                <c:pt idx="715">
                  <c:v>33.9</c:v>
                </c:pt>
                <c:pt idx="716">
                  <c:v>33.799999999999997</c:v>
                </c:pt>
                <c:pt idx="717">
                  <c:v>23.1</c:v>
                </c:pt>
                <c:pt idx="718">
                  <c:v>35.5</c:v>
                </c:pt>
                <c:pt idx="719">
                  <c:v>35.6</c:v>
                </c:pt>
                <c:pt idx="720">
                  <c:v>29.3</c:v>
                </c:pt>
                <c:pt idx="721">
                  <c:v>38.1</c:v>
                </c:pt>
                <c:pt idx="722">
                  <c:v>29.3</c:v>
                </c:pt>
                <c:pt idx="723">
                  <c:v>39.1</c:v>
                </c:pt>
                <c:pt idx="724">
                  <c:v>32.799999999999997</c:v>
                </c:pt>
                <c:pt idx="725">
                  <c:v>39.4</c:v>
                </c:pt>
                <c:pt idx="726">
                  <c:v>36.1</c:v>
                </c:pt>
                <c:pt idx="727">
                  <c:v>32.4</c:v>
                </c:pt>
                <c:pt idx="728">
                  <c:v>22.9</c:v>
                </c:pt>
                <c:pt idx="729">
                  <c:v>30.1</c:v>
                </c:pt>
                <c:pt idx="730">
                  <c:v>28.4</c:v>
                </c:pt>
                <c:pt idx="731">
                  <c:v>28.4</c:v>
                </c:pt>
                <c:pt idx="732">
                  <c:v>44.5</c:v>
                </c:pt>
                <c:pt idx="733">
                  <c:v>29</c:v>
                </c:pt>
                <c:pt idx="734">
                  <c:v>23.3</c:v>
                </c:pt>
                <c:pt idx="735">
                  <c:v>35.4</c:v>
                </c:pt>
                <c:pt idx="736">
                  <c:v>27.4</c:v>
                </c:pt>
                <c:pt idx="737">
                  <c:v>32</c:v>
                </c:pt>
                <c:pt idx="738">
                  <c:v>36.6</c:v>
                </c:pt>
                <c:pt idx="739">
                  <c:v>39.5</c:v>
                </c:pt>
                <c:pt idx="740">
                  <c:v>42.3</c:v>
                </c:pt>
                <c:pt idx="741">
                  <c:v>30.8</c:v>
                </c:pt>
                <c:pt idx="742">
                  <c:v>28.5</c:v>
                </c:pt>
                <c:pt idx="743">
                  <c:v>32.700000000000003</c:v>
                </c:pt>
                <c:pt idx="744">
                  <c:v>40.6</c:v>
                </c:pt>
                <c:pt idx="745">
                  <c:v>30</c:v>
                </c:pt>
                <c:pt idx="746">
                  <c:v>49.3</c:v>
                </c:pt>
                <c:pt idx="747">
                  <c:v>46.3</c:v>
                </c:pt>
                <c:pt idx="748">
                  <c:v>36.4</c:v>
                </c:pt>
                <c:pt idx="749">
                  <c:v>24.3</c:v>
                </c:pt>
                <c:pt idx="750">
                  <c:v>31.2</c:v>
                </c:pt>
                <c:pt idx="751">
                  <c:v>39</c:v>
                </c:pt>
                <c:pt idx="752">
                  <c:v>26</c:v>
                </c:pt>
                <c:pt idx="753">
                  <c:v>43.3</c:v>
                </c:pt>
                <c:pt idx="754">
                  <c:v>32.4</c:v>
                </c:pt>
                <c:pt idx="755">
                  <c:v>36.5</c:v>
                </c:pt>
                <c:pt idx="756">
                  <c:v>32</c:v>
                </c:pt>
                <c:pt idx="757">
                  <c:v>36.299999999999997</c:v>
                </c:pt>
                <c:pt idx="758">
                  <c:v>37.5</c:v>
                </c:pt>
                <c:pt idx="759">
                  <c:v>35.5</c:v>
                </c:pt>
                <c:pt idx="760">
                  <c:v>28.4</c:v>
                </c:pt>
                <c:pt idx="761">
                  <c:v>44</c:v>
                </c:pt>
                <c:pt idx="762">
                  <c:v>22.5</c:v>
                </c:pt>
                <c:pt idx="763">
                  <c:v>32.9</c:v>
                </c:pt>
                <c:pt idx="764">
                  <c:v>36.799999999999997</c:v>
                </c:pt>
                <c:pt idx="765">
                  <c:v>26.2</c:v>
                </c:pt>
                <c:pt idx="766">
                  <c:v>30.1</c:v>
                </c:pt>
                <c:pt idx="767">
                  <c:v>30.4</c:v>
                </c:pt>
              </c:numCache>
            </c:numRef>
          </c:yVal>
          <c:smooth val="0"/>
          <c:extLst>
            <c:ext xmlns:c16="http://schemas.microsoft.com/office/drawing/2014/chart" uri="{C3380CC4-5D6E-409C-BE32-E72D297353CC}">
              <c16:uniqueId val="{00000001-51ED-49FE-B1FC-E145CE4CA034}"/>
            </c:ext>
          </c:extLst>
        </c:ser>
        <c:ser>
          <c:idx val="2"/>
          <c:order val="2"/>
          <c:spPr>
            <a:ln w="25400" cap="rnd">
              <a:solidFill>
                <a:schemeClr val="bg1">
                  <a:lumMod val="75000"/>
                </a:schemeClr>
              </a:solidFill>
              <a:round/>
            </a:ln>
            <a:effectLst/>
          </c:spPr>
          <c:marker>
            <c:symbol val="circle"/>
            <c:size val="5"/>
            <c:spPr>
              <a:solidFill>
                <a:schemeClr val="accent3"/>
              </a:solidFill>
              <a:ln w="9525">
                <a:solidFill>
                  <a:schemeClr val="accent3"/>
                </a:solidFill>
              </a:ln>
              <a:effectLst/>
            </c:spPr>
          </c:marker>
          <c:xVal>
            <c:numLit>
              <c:formatCode>General</c:formatCode>
              <c:ptCount val="2"/>
              <c:pt idx="0">
                <c:v>23</c:v>
              </c:pt>
              <c:pt idx="1">
                <c:v>23</c:v>
              </c:pt>
            </c:numLit>
          </c:xVal>
          <c:yVal>
            <c:numLit>
              <c:formatCode>General</c:formatCode>
              <c:ptCount val="2"/>
              <c:pt idx="0">
                <c:v>0</c:v>
              </c:pt>
              <c:pt idx="1">
                <c:v>100</c:v>
              </c:pt>
            </c:numLit>
          </c:yVal>
          <c:smooth val="0"/>
          <c:extLst>
            <c:ext xmlns:c16="http://schemas.microsoft.com/office/drawing/2014/chart" uri="{C3380CC4-5D6E-409C-BE32-E72D297353CC}">
              <c16:uniqueId val="{00000003-002B-4ED0-B436-AFB81A91B0E1}"/>
            </c:ext>
          </c:extLst>
        </c:ser>
        <c:ser>
          <c:idx val="3"/>
          <c:order val="3"/>
          <c:spPr>
            <a:ln w="25400" cap="rnd">
              <a:solidFill>
                <a:schemeClr val="bg1">
                  <a:lumMod val="75000"/>
                </a:schemeClr>
              </a:solidFill>
              <a:round/>
            </a:ln>
            <a:effectLst/>
          </c:spPr>
          <c:marker>
            <c:symbol val="circle"/>
            <c:size val="5"/>
            <c:spPr>
              <a:solidFill>
                <a:schemeClr val="bg1"/>
              </a:solidFill>
              <a:ln w="9525">
                <a:solidFill>
                  <a:schemeClr val="bg1"/>
                </a:solidFill>
              </a:ln>
              <a:effectLst/>
            </c:spPr>
          </c:marker>
          <c:xVal>
            <c:numLit>
              <c:formatCode>General</c:formatCode>
              <c:ptCount val="2"/>
              <c:pt idx="0">
                <c:v>-10</c:v>
              </c:pt>
              <c:pt idx="1">
                <c:v>100</c:v>
              </c:pt>
            </c:numLit>
          </c:xVal>
          <c:yVal>
            <c:numLit>
              <c:formatCode>General</c:formatCode>
              <c:ptCount val="2"/>
              <c:pt idx="0">
                <c:v>25</c:v>
              </c:pt>
              <c:pt idx="1">
                <c:v>25</c:v>
              </c:pt>
            </c:numLit>
          </c:yVal>
          <c:smooth val="0"/>
          <c:extLst>
            <c:ext xmlns:c16="http://schemas.microsoft.com/office/drawing/2014/chart" uri="{C3380CC4-5D6E-409C-BE32-E72D297353CC}">
              <c16:uniqueId val="{00000004-002B-4ED0-B436-AFB81A91B0E1}"/>
            </c:ext>
          </c:extLst>
        </c:ser>
        <c:dLbls>
          <c:showLegendKey val="0"/>
          <c:showVal val="0"/>
          <c:showCatName val="0"/>
          <c:showSerName val="0"/>
          <c:showPercent val="0"/>
          <c:showBubbleSize val="0"/>
        </c:dLbls>
        <c:axId val="982760800"/>
        <c:axId val="982760472"/>
      </c:scatterChart>
      <c:valAx>
        <c:axId val="982760800"/>
        <c:scaling>
          <c:orientation val="minMax"/>
          <c:max val="7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SG" sz="1000" b="0" i="0" baseline="0">
                    <a:effectLst/>
                  </a:rPr>
                  <a:t>Skin Thickness</a:t>
                </a:r>
                <a:endParaRPr lang="en-SG" sz="10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760472"/>
        <c:crosses val="autoZero"/>
        <c:crossBetween val="midCat"/>
      </c:valAx>
      <c:valAx>
        <c:axId val="982760472"/>
        <c:scaling>
          <c:orientation val="minMax"/>
          <c:max val="7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BMI</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760800"/>
        <c:crosses val="autoZero"/>
        <c:crossBetween val="midCat"/>
        <c:majorUnit val="10"/>
      </c:valAx>
      <c:spPr>
        <a:noFill/>
        <a:ln>
          <a:noFill/>
        </a:ln>
        <a:effectLst/>
      </c:spPr>
    </c:plotArea>
    <c:legend>
      <c:legendPos val="r"/>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Glucose vs Insulin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diabetes!$B$2:$B$769</c:f>
              <c:numCache>
                <c:formatCode>General</c:formatCode>
                <c:ptCount val="768"/>
                <c:pt idx="0">
                  <c:v>148</c:v>
                </c:pt>
                <c:pt idx="1">
                  <c:v>85</c:v>
                </c:pt>
                <c:pt idx="2">
                  <c:v>183</c:v>
                </c:pt>
                <c:pt idx="3">
                  <c:v>89</c:v>
                </c:pt>
                <c:pt idx="4">
                  <c:v>137</c:v>
                </c:pt>
                <c:pt idx="5">
                  <c:v>116</c:v>
                </c:pt>
                <c:pt idx="6">
                  <c:v>78</c:v>
                </c:pt>
                <c:pt idx="7">
                  <c:v>115</c:v>
                </c:pt>
                <c:pt idx="8">
                  <c:v>197</c:v>
                </c:pt>
                <c:pt idx="9">
                  <c:v>125</c:v>
                </c:pt>
                <c:pt idx="10">
                  <c:v>110</c:v>
                </c:pt>
                <c:pt idx="11">
                  <c:v>168</c:v>
                </c:pt>
                <c:pt idx="12">
                  <c:v>139</c:v>
                </c:pt>
                <c:pt idx="13">
                  <c:v>189</c:v>
                </c:pt>
                <c:pt idx="14">
                  <c:v>166</c:v>
                </c:pt>
                <c:pt idx="15">
                  <c:v>100</c:v>
                </c:pt>
                <c:pt idx="16">
                  <c:v>118</c:v>
                </c:pt>
                <c:pt idx="17">
                  <c:v>107</c:v>
                </c:pt>
                <c:pt idx="18">
                  <c:v>103</c:v>
                </c:pt>
                <c:pt idx="19">
                  <c:v>115</c:v>
                </c:pt>
                <c:pt idx="20">
                  <c:v>126</c:v>
                </c:pt>
                <c:pt idx="21">
                  <c:v>99</c:v>
                </c:pt>
                <c:pt idx="22">
                  <c:v>196</c:v>
                </c:pt>
                <c:pt idx="23">
                  <c:v>119</c:v>
                </c:pt>
                <c:pt idx="24">
                  <c:v>143</c:v>
                </c:pt>
                <c:pt idx="25">
                  <c:v>125</c:v>
                </c:pt>
                <c:pt idx="26">
                  <c:v>147</c:v>
                </c:pt>
                <c:pt idx="27">
                  <c:v>97</c:v>
                </c:pt>
                <c:pt idx="28">
                  <c:v>145</c:v>
                </c:pt>
                <c:pt idx="29">
                  <c:v>117</c:v>
                </c:pt>
                <c:pt idx="30">
                  <c:v>109</c:v>
                </c:pt>
                <c:pt idx="31">
                  <c:v>158</c:v>
                </c:pt>
                <c:pt idx="32">
                  <c:v>88</c:v>
                </c:pt>
                <c:pt idx="33">
                  <c:v>92</c:v>
                </c:pt>
                <c:pt idx="34">
                  <c:v>122</c:v>
                </c:pt>
                <c:pt idx="35">
                  <c:v>103</c:v>
                </c:pt>
                <c:pt idx="36">
                  <c:v>138</c:v>
                </c:pt>
                <c:pt idx="37">
                  <c:v>102</c:v>
                </c:pt>
                <c:pt idx="38">
                  <c:v>90</c:v>
                </c:pt>
                <c:pt idx="39">
                  <c:v>111</c:v>
                </c:pt>
                <c:pt idx="40">
                  <c:v>180</c:v>
                </c:pt>
                <c:pt idx="41">
                  <c:v>133</c:v>
                </c:pt>
                <c:pt idx="42">
                  <c:v>106</c:v>
                </c:pt>
                <c:pt idx="43">
                  <c:v>171</c:v>
                </c:pt>
                <c:pt idx="44">
                  <c:v>159</c:v>
                </c:pt>
                <c:pt idx="45">
                  <c:v>180</c:v>
                </c:pt>
                <c:pt idx="46">
                  <c:v>146</c:v>
                </c:pt>
                <c:pt idx="47">
                  <c:v>71</c:v>
                </c:pt>
                <c:pt idx="48">
                  <c:v>103</c:v>
                </c:pt>
                <c:pt idx="49">
                  <c:v>105</c:v>
                </c:pt>
                <c:pt idx="50">
                  <c:v>103</c:v>
                </c:pt>
                <c:pt idx="51">
                  <c:v>101</c:v>
                </c:pt>
                <c:pt idx="52">
                  <c:v>88</c:v>
                </c:pt>
                <c:pt idx="53">
                  <c:v>176</c:v>
                </c:pt>
                <c:pt idx="54">
                  <c:v>150</c:v>
                </c:pt>
                <c:pt idx="55">
                  <c:v>73</c:v>
                </c:pt>
                <c:pt idx="56">
                  <c:v>187</c:v>
                </c:pt>
                <c:pt idx="57">
                  <c:v>100</c:v>
                </c:pt>
                <c:pt idx="58">
                  <c:v>146</c:v>
                </c:pt>
                <c:pt idx="59">
                  <c:v>105</c:v>
                </c:pt>
                <c:pt idx="60">
                  <c:v>84</c:v>
                </c:pt>
                <c:pt idx="61">
                  <c:v>133</c:v>
                </c:pt>
                <c:pt idx="62">
                  <c:v>44</c:v>
                </c:pt>
                <c:pt idx="63">
                  <c:v>141</c:v>
                </c:pt>
                <c:pt idx="64">
                  <c:v>114</c:v>
                </c:pt>
                <c:pt idx="65">
                  <c:v>99</c:v>
                </c:pt>
                <c:pt idx="66">
                  <c:v>109</c:v>
                </c:pt>
                <c:pt idx="67">
                  <c:v>109</c:v>
                </c:pt>
                <c:pt idx="68">
                  <c:v>95</c:v>
                </c:pt>
                <c:pt idx="69">
                  <c:v>146</c:v>
                </c:pt>
                <c:pt idx="70">
                  <c:v>100</c:v>
                </c:pt>
                <c:pt idx="71">
                  <c:v>139</c:v>
                </c:pt>
                <c:pt idx="72">
                  <c:v>126</c:v>
                </c:pt>
                <c:pt idx="73">
                  <c:v>129</c:v>
                </c:pt>
                <c:pt idx="74">
                  <c:v>79</c:v>
                </c:pt>
                <c:pt idx="75">
                  <c:v>117</c:v>
                </c:pt>
                <c:pt idx="76">
                  <c:v>62</c:v>
                </c:pt>
                <c:pt idx="77">
                  <c:v>95</c:v>
                </c:pt>
                <c:pt idx="78">
                  <c:v>131</c:v>
                </c:pt>
                <c:pt idx="79">
                  <c:v>112</c:v>
                </c:pt>
                <c:pt idx="80">
                  <c:v>113</c:v>
                </c:pt>
                <c:pt idx="81">
                  <c:v>74</c:v>
                </c:pt>
                <c:pt idx="82">
                  <c:v>83</c:v>
                </c:pt>
                <c:pt idx="83">
                  <c:v>101</c:v>
                </c:pt>
                <c:pt idx="84">
                  <c:v>137</c:v>
                </c:pt>
                <c:pt idx="85">
                  <c:v>110</c:v>
                </c:pt>
                <c:pt idx="86">
                  <c:v>106</c:v>
                </c:pt>
                <c:pt idx="87">
                  <c:v>100</c:v>
                </c:pt>
                <c:pt idx="88">
                  <c:v>136</c:v>
                </c:pt>
                <c:pt idx="89">
                  <c:v>107</c:v>
                </c:pt>
                <c:pt idx="90">
                  <c:v>80</c:v>
                </c:pt>
                <c:pt idx="91">
                  <c:v>123</c:v>
                </c:pt>
                <c:pt idx="92">
                  <c:v>81</c:v>
                </c:pt>
                <c:pt idx="93">
                  <c:v>134</c:v>
                </c:pt>
                <c:pt idx="94">
                  <c:v>142</c:v>
                </c:pt>
                <c:pt idx="95">
                  <c:v>144</c:v>
                </c:pt>
                <c:pt idx="96">
                  <c:v>92</c:v>
                </c:pt>
                <c:pt idx="97">
                  <c:v>71</c:v>
                </c:pt>
                <c:pt idx="98">
                  <c:v>93</c:v>
                </c:pt>
                <c:pt idx="99">
                  <c:v>122</c:v>
                </c:pt>
                <c:pt idx="100">
                  <c:v>163</c:v>
                </c:pt>
                <c:pt idx="101">
                  <c:v>151</c:v>
                </c:pt>
                <c:pt idx="102">
                  <c:v>125</c:v>
                </c:pt>
                <c:pt idx="103">
                  <c:v>81</c:v>
                </c:pt>
                <c:pt idx="104">
                  <c:v>85</c:v>
                </c:pt>
                <c:pt idx="105">
                  <c:v>126</c:v>
                </c:pt>
                <c:pt idx="106">
                  <c:v>96</c:v>
                </c:pt>
                <c:pt idx="107">
                  <c:v>144</c:v>
                </c:pt>
                <c:pt idx="108">
                  <c:v>83</c:v>
                </c:pt>
                <c:pt idx="109">
                  <c:v>95</c:v>
                </c:pt>
                <c:pt idx="110">
                  <c:v>171</c:v>
                </c:pt>
                <c:pt idx="111">
                  <c:v>155</c:v>
                </c:pt>
                <c:pt idx="112">
                  <c:v>89</c:v>
                </c:pt>
                <c:pt idx="113">
                  <c:v>76</c:v>
                </c:pt>
                <c:pt idx="114">
                  <c:v>160</c:v>
                </c:pt>
                <c:pt idx="115">
                  <c:v>146</c:v>
                </c:pt>
                <c:pt idx="116">
                  <c:v>124</c:v>
                </c:pt>
                <c:pt idx="117">
                  <c:v>78</c:v>
                </c:pt>
                <c:pt idx="118">
                  <c:v>97</c:v>
                </c:pt>
                <c:pt idx="119">
                  <c:v>99</c:v>
                </c:pt>
                <c:pt idx="120">
                  <c:v>162</c:v>
                </c:pt>
                <c:pt idx="121">
                  <c:v>111</c:v>
                </c:pt>
                <c:pt idx="122">
                  <c:v>107</c:v>
                </c:pt>
                <c:pt idx="123">
                  <c:v>132</c:v>
                </c:pt>
                <c:pt idx="124">
                  <c:v>113</c:v>
                </c:pt>
                <c:pt idx="125">
                  <c:v>88</c:v>
                </c:pt>
                <c:pt idx="126">
                  <c:v>120</c:v>
                </c:pt>
                <c:pt idx="127">
                  <c:v>118</c:v>
                </c:pt>
                <c:pt idx="128">
                  <c:v>117</c:v>
                </c:pt>
                <c:pt idx="129">
                  <c:v>105</c:v>
                </c:pt>
                <c:pt idx="130">
                  <c:v>173</c:v>
                </c:pt>
                <c:pt idx="131">
                  <c:v>122</c:v>
                </c:pt>
                <c:pt idx="132">
                  <c:v>170</c:v>
                </c:pt>
                <c:pt idx="133">
                  <c:v>84</c:v>
                </c:pt>
                <c:pt idx="134">
                  <c:v>96</c:v>
                </c:pt>
                <c:pt idx="135">
                  <c:v>125</c:v>
                </c:pt>
                <c:pt idx="136">
                  <c:v>100</c:v>
                </c:pt>
                <c:pt idx="137">
                  <c:v>93</c:v>
                </c:pt>
                <c:pt idx="138">
                  <c:v>129</c:v>
                </c:pt>
                <c:pt idx="139">
                  <c:v>105</c:v>
                </c:pt>
                <c:pt idx="140">
                  <c:v>128</c:v>
                </c:pt>
                <c:pt idx="141">
                  <c:v>106</c:v>
                </c:pt>
                <c:pt idx="142">
                  <c:v>108</c:v>
                </c:pt>
                <c:pt idx="143">
                  <c:v>108</c:v>
                </c:pt>
                <c:pt idx="144">
                  <c:v>154</c:v>
                </c:pt>
                <c:pt idx="145">
                  <c:v>102</c:v>
                </c:pt>
                <c:pt idx="146">
                  <c:v>57</c:v>
                </c:pt>
                <c:pt idx="147">
                  <c:v>106</c:v>
                </c:pt>
                <c:pt idx="148">
                  <c:v>147</c:v>
                </c:pt>
                <c:pt idx="149">
                  <c:v>90</c:v>
                </c:pt>
                <c:pt idx="150">
                  <c:v>136</c:v>
                </c:pt>
                <c:pt idx="151">
                  <c:v>114</c:v>
                </c:pt>
                <c:pt idx="152">
                  <c:v>156</c:v>
                </c:pt>
                <c:pt idx="153">
                  <c:v>153</c:v>
                </c:pt>
                <c:pt idx="154">
                  <c:v>188</c:v>
                </c:pt>
                <c:pt idx="155">
                  <c:v>152</c:v>
                </c:pt>
                <c:pt idx="156">
                  <c:v>99</c:v>
                </c:pt>
                <c:pt idx="157">
                  <c:v>109</c:v>
                </c:pt>
                <c:pt idx="158">
                  <c:v>88</c:v>
                </c:pt>
                <c:pt idx="159">
                  <c:v>163</c:v>
                </c:pt>
                <c:pt idx="160">
                  <c:v>151</c:v>
                </c:pt>
                <c:pt idx="161">
                  <c:v>102</c:v>
                </c:pt>
                <c:pt idx="162">
                  <c:v>114</c:v>
                </c:pt>
                <c:pt idx="163">
                  <c:v>100</c:v>
                </c:pt>
                <c:pt idx="164">
                  <c:v>131</c:v>
                </c:pt>
                <c:pt idx="165">
                  <c:v>104</c:v>
                </c:pt>
                <c:pt idx="166">
                  <c:v>148</c:v>
                </c:pt>
                <c:pt idx="167">
                  <c:v>120</c:v>
                </c:pt>
                <c:pt idx="168">
                  <c:v>110</c:v>
                </c:pt>
                <c:pt idx="169">
                  <c:v>111</c:v>
                </c:pt>
                <c:pt idx="170">
                  <c:v>102</c:v>
                </c:pt>
                <c:pt idx="171">
                  <c:v>134</c:v>
                </c:pt>
                <c:pt idx="172">
                  <c:v>87</c:v>
                </c:pt>
                <c:pt idx="173">
                  <c:v>79</c:v>
                </c:pt>
                <c:pt idx="174">
                  <c:v>75</c:v>
                </c:pt>
                <c:pt idx="175">
                  <c:v>179</c:v>
                </c:pt>
                <c:pt idx="176">
                  <c:v>85</c:v>
                </c:pt>
                <c:pt idx="177">
                  <c:v>129</c:v>
                </c:pt>
                <c:pt idx="178">
                  <c:v>143</c:v>
                </c:pt>
                <c:pt idx="179">
                  <c:v>130</c:v>
                </c:pt>
                <c:pt idx="180">
                  <c:v>87</c:v>
                </c:pt>
                <c:pt idx="181">
                  <c:v>119</c:v>
                </c:pt>
                <c:pt idx="182">
                  <c:v>117</c:v>
                </c:pt>
                <c:pt idx="183">
                  <c:v>73</c:v>
                </c:pt>
                <c:pt idx="184">
                  <c:v>141</c:v>
                </c:pt>
                <c:pt idx="185">
                  <c:v>194</c:v>
                </c:pt>
                <c:pt idx="186">
                  <c:v>181</c:v>
                </c:pt>
                <c:pt idx="187">
                  <c:v>128</c:v>
                </c:pt>
                <c:pt idx="188">
                  <c:v>109</c:v>
                </c:pt>
                <c:pt idx="189">
                  <c:v>139</c:v>
                </c:pt>
                <c:pt idx="190">
                  <c:v>111</c:v>
                </c:pt>
                <c:pt idx="191">
                  <c:v>123</c:v>
                </c:pt>
                <c:pt idx="192">
                  <c:v>159</c:v>
                </c:pt>
                <c:pt idx="193">
                  <c:v>135</c:v>
                </c:pt>
                <c:pt idx="194">
                  <c:v>85</c:v>
                </c:pt>
                <c:pt idx="195">
                  <c:v>158</c:v>
                </c:pt>
                <c:pt idx="196">
                  <c:v>105</c:v>
                </c:pt>
                <c:pt idx="197">
                  <c:v>107</c:v>
                </c:pt>
                <c:pt idx="198">
                  <c:v>109</c:v>
                </c:pt>
                <c:pt idx="199">
                  <c:v>148</c:v>
                </c:pt>
                <c:pt idx="200">
                  <c:v>113</c:v>
                </c:pt>
                <c:pt idx="201">
                  <c:v>138</c:v>
                </c:pt>
                <c:pt idx="202">
                  <c:v>108</c:v>
                </c:pt>
                <c:pt idx="203">
                  <c:v>99</c:v>
                </c:pt>
                <c:pt idx="204">
                  <c:v>103</c:v>
                </c:pt>
                <c:pt idx="205">
                  <c:v>111</c:v>
                </c:pt>
                <c:pt idx="206">
                  <c:v>196</c:v>
                </c:pt>
                <c:pt idx="207">
                  <c:v>162</c:v>
                </c:pt>
                <c:pt idx="208">
                  <c:v>96</c:v>
                </c:pt>
                <c:pt idx="209">
                  <c:v>184</c:v>
                </c:pt>
                <c:pt idx="210">
                  <c:v>81</c:v>
                </c:pt>
                <c:pt idx="211">
                  <c:v>147</c:v>
                </c:pt>
                <c:pt idx="212">
                  <c:v>179</c:v>
                </c:pt>
                <c:pt idx="213">
                  <c:v>140</c:v>
                </c:pt>
                <c:pt idx="214">
                  <c:v>112</c:v>
                </c:pt>
                <c:pt idx="215">
                  <c:v>151</c:v>
                </c:pt>
                <c:pt idx="216">
                  <c:v>109</c:v>
                </c:pt>
                <c:pt idx="217">
                  <c:v>125</c:v>
                </c:pt>
                <c:pt idx="218">
                  <c:v>85</c:v>
                </c:pt>
                <c:pt idx="219">
                  <c:v>112</c:v>
                </c:pt>
                <c:pt idx="220">
                  <c:v>177</c:v>
                </c:pt>
                <c:pt idx="221">
                  <c:v>158</c:v>
                </c:pt>
                <c:pt idx="222">
                  <c:v>119</c:v>
                </c:pt>
                <c:pt idx="223">
                  <c:v>142</c:v>
                </c:pt>
                <c:pt idx="224">
                  <c:v>100</c:v>
                </c:pt>
                <c:pt idx="225">
                  <c:v>87</c:v>
                </c:pt>
                <c:pt idx="226">
                  <c:v>101</c:v>
                </c:pt>
                <c:pt idx="227">
                  <c:v>162</c:v>
                </c:pt>
                <c:pt idx="228">
                  <c:v>197</c:v>
                </c:pt>
                <c:pt idx="229">
                  <c:v>117</c:v>
                </c:pt>
                <c:pt idx="230">
                  <c:v>142</c:v>
                </c:pt>
                <c:pt idx="231">
                  <c:v>134</c:v>
                </c:pt>
                <c:pt idx="232">
                  <c:v>79</c:v>
                </c:pt>
                <c:pt idx="233">
                  <c:v>122</c:v>
                </c:pt>
                <c:pt idx="234">
                  <c:v>74</c:v>
                </c:pt>
                <c:pt idx="235">
                  <c:v>171</c:v>
                </c:pt>
                <c:pt idx="236">
                  <c:v>181</c:v>
                </c:pt>
                <c:pt idx="237">
                  <c:v>179</c:v>
                </c:pt>
                <c:pt idx="238">
                  <c:v>164</c:v>
                </c:pt>
                <c:pt idx="239">
                  <c:v>104</c:v>
                </c:pt>
                <c:pt idx="240">
                  <c:v>91</c:v>
                </c:pt>
                <c:pt idx="241">
                  <c:v>91</c:v>
                </c:pt>
                <c:pt idx="242">
                  <c:v>139</c:v>
                </c:pt>
                <c:pt idx="243">
                  <c:v>119</c:v>
                </c:pt>
                <c:pt idx="244">
                  <c:v>146</c:v>
                </c:pt>
                <c:pt idx="245">
                  <c:v>184</c:v>
                </c:pt>
                <c:pt idx="246">
                  <c:v>122</c:v>
                </c:pt>
                <c:pt idx="247">
                  <c:v>165</c:v>
                </c:pt>
                <c:pt idx="248">
                  <c:v>124</c:v>
                </c:pt>
                <c:pt idx="249">
                  <c:v>111</c:v>
                </c:pt>
                <c:pt idx="250">
                  <c:v>106</c:v>
                </c:pt>
                <c:pt idx="251">
                  <c:v>129</c:v>
                </c:pt>
                <c:pt idx="252">
                  <c:v>90</c:v>
                </c:pt>
                <c:pt idx="253">
                  <c:v>86</c:v>
                </c:pt>
                <c:pt idx="254">
                  <c:v>92</c:v>
                </c:pt>
                <c:pt idx="255">
                  <c:v>113</c:v>
                </c:pt>
                <c:pt idx="256">
                  <c:v>111</c:v>
                </c:pt>
                <c:pt idx="257">
                  <c:v>114</c:v>
                </c:pt>
                <c:pt idx="258">
                  <c:v>193</c:v>
                </c:pt>
                <c:pt idx="259">
                  <c:v>155</c:v>
                </c:pt>
                <c:pt idx="260">
                  <c:v>191</c:v>
                </c:pt>
                <c:pt idx="261">
                  <c:v>141</c:v>
                </c:pt>
                <c:pt idx="262">
                  <c:v>95</c:v>
                </c:pt>
                <c:pt idx="263">
                  <c:v>142</c:v>
                </c:pt>
                <c:pt idx="264">
                  <c:v>123</c:v>
                </c:pt>
                <c:pt idx="265">
                  <c:v>96</c:v>
                </c:pt>
                <c:pt idx="266">
                  <c:v>138</c:v>
                </c:pt>
                <c:pt idx="267">
                  <c:v>128</c:v>
                </c:pt>
                <c:pt idx="268">
                  <c:v>102</c:v>
                </c:pt>
                <c:pt idx="269">
                  <c:v>146</c:v>
                </c:pt>
                <c:pt idx="270">
                  <c:v>101</c:v>
                </c:pt>
                <c:pt idx="271">
                  <c:v>108</c:v>
                </c:pt>
                <c:pt idx="272">
                  <c:v>122</c:v>
                </c:pt>
                <c:pt idx="273">
                  <c:v>71</c:v>
                </c:pt>
                <c:pt idx="274">
                  <c:v>106</c:v>
                </c:pt>
                <c:pt idx="275">
                  <c:v>100</c:v>
                </c:pt>
                <c:pt idx="276">
                  <c:v>106</c:v>
                </c:pt>
                <c:pt idx="277">
                  <c:v>104</c:v>
                </c:pt>
                <c:pt idx="278">
                  <c:v>114</c:v>
                </c:pt>
                <c:pt idx="279">
                  <c:v>108</c:v>
                </c:pt>
                <c:pt idx="280">
                  <c:v>146</c:v>
                </c:pt>
                <c:pt idx="281">
                  <c:v>129</c:v>
                </c:pt>
                <c:pt idx="282">
                  <c:v>133</c:v>
                </c:pt>
                <c:pt idx="283">
                  <c:v>161</c:v>
                </c:pt>
                <c:pt idx="284">
                  <c:v>108</c:v>
                </c:pt>
                <c:pt idx="285">
                  <c:v>136</c:v>
                </c:pt>
                <c:pt idx="286">
                  <c:v>155</c:v>
                </c:pt>
                <c:pt idx="287">
                  <c:v>119</c:v>
                </c:pt>
                <c:pt idx="288">
                  <c:v>96</c:v>
                </c:pt>
                <c:pt idx="289">
                  <c:v>108</c:v>
                </c:pt>
                <c:pt idx="290">
                  <c:v>78</c:v>
                </c:pt>
                <c:pt idx="291">
                  <c:v>107</c:v>
                </c:pt>
                <c:pt idx="292">
                  <c:v>128</c:v>
                </c:pt>
                <c:pt idx="293">
                  <c:v>128</c:v>
                </c:pt>
                <c:pt idx="294">
                  <c:v>161</c:v>
                </c:pt>
                <c:pt idx="295">
                  <c:v>151</c:v>
                </c:pt>
                <c:pt idx="296">
                  <c:v>146</c:v>
                </c:pt>
                <c:pt idx="297">
                  <c:v>126</c:v>
                </c:pt>
                <c:pt idx="298">
                  <c:v>100</c:v>
                </c:pt>
                <c:pt idx="299">
                  <c:v>112</c:v>
                </c:pt>
                <c:pt idx="300">
                  <c:v>167</c:v>
                </c:pt>
                <c:pt idx="301">
                  <c:v>144</c:v>
                </c:pt>
                <c:pt idx="302">
                  <c:v>77</c:v>
                </c:pt>
                <c:pt idx="303">
                  <c:v>115</c:v>
                </c:pt>
                <c:pt idx="304">
                  <c:v>150</c:v>
                </c:pt>
                <c:pt idx="305">
                  <c:v>120</c:v>
                </c:pt>
                <c:pt idx="306">
                  <c:v>161</c:v>
                </c:pt>
                <c:pt idx="307">
                  <c:v>137</c:v>
                </c:pt>
                <c:pt idx="308">
                  <c:v>128</c:v>
                </c:pt>
                <c:pt idx="309">
                  <c:v>124</c:v>
                </c:pt>
                <c:pt idx="310">
                  <c:v>80</c:v>
                </c:pt>
                <c:pt idx="311">
                  <c:v>106</c:v>
                </c:pt>
                <c:pt idx="312">
                  <c:v>155</c:v>
                </c:pt>
                <c:pt idx="313">
                  <c:v>113</c:v>
                </c:pt>
                <c:pt idx="314">
                  <c:v>109</c:v>
                </c:pt>
                <c:pt idx="315">
                  <c:v>112</c:v>
                </c:pt>
                <c:pt idx="316">
                  <c:v>99</c:v>
                </c:pt>
                <c:pt idx="317">
                  <c:v>182</c:v>
                </c:pt>
                <c:pt idx="318">
                  <c:v>115</c:v>
                </c:pt>
                <c:pt idx="319">
                  <c:v>194</c:v>
                </c:pt>
                <c:pt idx="320">
                  <c:v>129</c:v>
                </c:pt>
                <c:pt idx="321">
                  <c:v>112</c:v>
                </c:pt>
                <c:pt idx="322">
                  <c:v>124</c:v>
                </c:pt>
                <c:pt idx="323">
                  <c:v>152</c:v>
                </c:pt>
                <c:pt idx="324">
                  <c:v>112</c:v>
                </c:pt>
                <c:pt idx="325">
                  <c:v>157</c:v>
                </c:pt>
                <c:pt idx="326">
                  <c:v>122</c:v>
                </c:pt>
                <c:pt idx="327">
                  <c:v>179</c:v>
                </c:pt>
                <c:pt idx="328">
                  <c:v>102</c:v>
                </c:pt>
                <c:pt idx="329">
                  <c:v>105</c:v>
                </c:pt>
                <c:pt idx="330">
                  <c:v>118</c:v>
                </c:pt>
                <c:pt idx="331">
                  <c:v>87</c:v>
                </c:pt>
                <c:pt idx="332">
                  <c:v>180</c:v>
                </c:pt>
                <c:pt idx="333">
                  <c:v>106</c:v>
                </c:pt>
                <c:pt idx="334">
                  <c:v>95</c:v>
                </c:pt>
                <c:pt idx="335">
                  <c:v>165</c:v>
                </c:pt>
                <c:pt idx="336">
                  <c:v>117</c:v>
                </c:pt>
                <c:pt idx="337">
                  <c:v>115</c:v>
                </c:pt>
                <c:pt idx="338">
                  <c:v>152</c:v>
                </c:pt>
                <c:pt idx="339">
                  <c:v>178</c:v>
                </c:pt>
                <c:pt idx="340">
                  <c:v>130</c:v>
                </c:pt>
                <c:pt idx="341">
                  <c:v>95</c:v>
                </c:pt>
                <c:pt idx="342">
                  <c:v>117</c:v>
                </c:pt>
                <c:pt idx="343">
                  <c:v>122</c:v>
                </c:pt>
                <c:pt idx="344">
                  <c:v>95</c:v>
                </c:pt>
                <c:pt idx="345">
                  <c:v>126</c:v>
                </c:pt>
                <c:pt idx="346">
                  <c:v>139</c:v>
                </c:pt>
                <c:pt idx="347">
                  <c:v>116</c:v>
                </c:pt>
                <c:pt idx="348">
                  <c:v>99</c:v>
                </c:pt>
                <c:pt idx="349">
                  <c:v>117</c:v>
                </c:pt>
                <c:pt idx="350">
                  <c:v>92</c:v>
                </c:pt>
                <c:pt idx="351">
                  <c:v>137</c:v>
                </c:pt>
                <c:pt idx="352">
                  <c:v>61</c:v>
                </c:pt>
                <c:pt idx="353">
                  <c:v>90</c:v>
                </c:pt>
                <c:pt idx="354">
                  <c:v>90</c:v>
                </c:pt>
                <c:pt idx="355">
                  <c:v>165</c:v>
                </c:pt>
                <c:pt idx="356">
                  <c:v>125</c:v>
                </c:pt>
                <c:pt idx="357">
                  <c:v>129</c:v>
                </c:pt>
                <c:pt idx="358">
                  <c:v>88</c:v>
                </c:pt>
                <c:pt idx="359">
                  <c:v>196</c:v>
                </c:pt>
                <c:pt idx="360">
                  <c:v>189</c:v>
                </c:pt>
                <c:pt idx="361">
                  <c:v>158</c:v>
                </c:pt>
                <c:pt idx="362">
                  <c:v>103</c:v>
                </c:pt>
                <c:pt idx="363">
                  <c:v>146</c:v>
                </c:pt>
                <c:pt idx="364">
                  <c:v>147</c:v>
                </c:pt>
                <c:pt idx="365">
                  <c:v>99</c:v>
                </c:pt>
                <c:pt idx="366">
                  <c:v>124</c:v>
                </c:pt>
                <c:pt idx="367">
                  <c:v>101</c:v>
                </c:pt>
                <c:pt idx="368">
                  <c:v>81</c:v>
                </c:pt>
                <c:pt idx="369">
                  <c:v>133</c:v>
                </c:pt>
                <c:pt idx="370">
                  <c:v>173</c:v>
                </c:pt>
                <c:pt idx="371">
                  <c:v>118</c:v>
                </c:pt>
                <c:pt idx="372">
                  <c:v>84</c:v>
                </c:pt>
                <c:pt idx="373">
                  <c:v>105</c:v>
                </c:pt>
                <c:pt idx="374">
                  <c:v>122</c:v>
                </c:pt>
                <c:pt idx="375">
                  <c:v>140</c:v>
                </c:pt>
                <c:pt idx="376">
                  <c:v>98</c:v>
                </c:pt>
                <c:pt idx="377">
                  <c:v>87</c:v>
                </c:pt>
                <c:pt idx="378">
                  <c:v>156</c:v>
                </c:pt>
                <c:pt idx="379">
                  <c:v>93</c:v>
                </c:pt>
                <c:pt idx="380">
                  <c:v>107</c:v>
                </c:pt>
                <c:pt idx="381">
                  <c:v>105</c:v>
                </c:pt>
                <c:pt idx="382">
                  <c:v>109</c:v>
                </c:pt>
                <c:pt idx="383">
                  <c:v>90</c:v>
                </c:pt>
                <c:pt idx="384">
                  <c:v>125</c:v>
                </c:pt>
                <c:pt idx="385">
                  <c:v>119</c:v>
                </c:pt>
                <c:pt idx="386">
                  <c:v>116</c:v>
                </c:pt>
                <c:pt idx="387">
                  <c:v>105</c:v>
                </c:pt>
                <c:pt idx="388">
                  <c:v>144</c:v>
                </c:pt>
                <c:pt idx="389">
                  <c:v>100</c:v>
                </c:pt>
                <c:pt idx="390">
                  <c:v>100</c:v>
                </c:pt>
                <c:pt idx="391">
                  <c:v>166</c:v>
                </c:pt>
                <c:pt idx="392">
                  <c:v>131</c:v>
                </c:pt>
                <c:pt idx="393">
                  <c:v>116</c:v>
                </c:pt>
                <c:pt idx="394">
                  <c:v>158</c:v>
                </c:pt>
                <c:pt idx="395">
                  <c:v>127</c:v>
                </c:pt>
                <c:pt idx="396">
                  <c:v>96</c:v>
                </c:pt>
                <c:pt idx="397">
                  <c:v>131</c:v>
                </c:pt>
                <c:pt idx="398">
                  <c:v>82</c:v>
                </c:pt>
                <c:pt idx="399">
                  <c:v>193</c:v>
                </c:pt>
                <c:pt idx="400">
                  <c:v>95</c:v>
                </c:pt>
                <c:pt idx="401">
                  <c:v>137</c:v>
                </c:pt>
                <c:pt idx="402">
                  <c:v>136</c:v>
                </c:pt>
                <c:pt idx="403">
                  <c:v>72</c:v>
                </c:pt>
                <c:pt idx="404">
                  <c:v>168</c:v>
                </c:pt>
                <c:pt idx="405">
                  <c:v>123</c:v>
                </c:pt>
                <c:pt idx="406">
                  <c:v>115</c:v>
                </c:pt>
                <c:pt idx="407">
                  <c:v>101</c:v>
                </c:pt>
                <c:pt idx="408">
                  <c:v>197</c:v>
                </c:pt>
                <c:pt idx="409">
                  <c:v>172</c:v>
                </c:pt>
                <c:pt idx="410">
                  <c:v>102</c:v>
                </c:pt>
                <c:pt idx="411">
                  <c:v>112</c:v>
                </c:pt>
                <c:pt idx="412">
                  <c:v>143</c:v>
                </c:pt>
                <c:pt idx="413">
                  <c:v>143</c:v>
                </c:pt>
                <c:pt idx="414">
                  <c:v>138</c:v>
                </c:pt>
                <c:pt idx="415">
                  <c:v>173</c:v>
                </c:pt>
                <c:pt idx="416">
                  <c:v>97</c:v>
                </c:pt>
                <c:pt idx="417">
                  <c:v>144</c:v>
                </c:pt>
                <c:pt idx="418">
                  <c:v>83</c:v>
                </c:pt>
                <c:pt idx="419">
                  <c:v>129</c:v>
                </c:pt>
                <c:pt idx="420">
                  <c:v>119</c:v>
                </c:pt>
                <c:pt idx="421">
                  <c:v>94</c:v>
                </c:pt>
                <c:pt idx="422">
                  <c:v>102</c:v>
                </c:pt>
                <c:pt idx="423">
                  <c:v>115</c:v>
                </c:pt>
                <c:pt idx="424">
                  <c:v>151</c:v>
                </c:pt>
                <c:pt idx="425">
                  <c:v>184</c:v>
                </c:pt>
                <c:pt idx="426">
                  <c:v>94</c:v>
                </c:pt>
                <c:pt idx="427">
                  <c:v>181</c:v>
                </c:pt>
                <c:pt idx="428">
                  <c:v>135</c:v>
                </c:pt>
                <c:pt idx="429">
                  <c:v>95</c:v>
                </c:pt>
                <c:pt idx="430">
                  <c:v>99</c:v>
                </c:pt>
                <c:pt idx="431">
                  <c:v>89</c:v>
                </c:pt>
                <c:pt idx="432">
                  <c:v>80</c:v>
                </c:pt>
                <c:pt idx="433">
                  <c:v>139</c:v>
                </c:pt>
                <c:pt idx="434">
                  <c:v>90</c:v>
                </c:pt>
                <c:pt idx="435">
                  <c:v>141</c:v>
                </c:pt>
                <c:pt idx="436">
                  <c:v>140</c:v>
                </c:pt>
                <c:pt idx="437">
                  <c:v>147</c:v>
                </c:pt>
                <c:pt idx="438">
                  <c:v>97</c:v>
                </c:pt>
                <c:pt idx="439">
                  <c:v>107</c:v>
                </c:pt>
                <c:pt idx="440">
                  <c:v>189</c:v>
                </c:pt>
                <c:pt idx="441">
                  <c:v>83</c:v>
                </c:pt>
                <c:pt idx="442">
                  <c:v>117</c:v>
                </c:pt>
                <c:pt idx="443">
                  <c:v>108</c:v>
                </c:pt>
                <c:pt idx="444">
                  <c:v>117</c:v>
                </c:pt>
                <c:pt idx="445">
                  <c:v>180</c:v>
                </c:pt>
                <c:pt idx="446">
                  <c:v>100</c:v>
                </c:pt>
                <c:pt idx="447">
                  <c:v>95</c:v>
                </c:pt>
                <c:pt idx="448">
                  <c:v>104</c:v>
                </c:pt>
                <c:pt idx="449">
                  <c:v>120</c:v>
                </c:pt>
                <c:pt idx="450">
                  <c:v>82</c:v>
                </c:pt>
                <c:pt idx="451">
                  <c:v>134</c:v>
                </c:pt>
                <c:pt idx="452">
                  <c:v>91</c:v>
                </c:pt>
                <c:pt idx="453">
                  <c:v>119</c:v>
                </c:pt>
                <c:pt idx="454">
                  <c:v>100</c:v>
                </c:pt>
                <c:pt idx="455">
                  <c:v>175</c:v>
                </c:pt>
                <c:pt idx="456">
                  <c:v>135</c:v>
                </c:pt>
                <c:pt idx="457">
                  <c:v>86</c:v>
                </c:pt>
                <c:pt idx="458">
                  <c:v>148</c:v>
                </c:pt>
                <c:pt idx="459">
                  <c:v>134</c:v>
                </c:pt>
                <c:pt idx="460">
                  <c:v>120</c:v>
                </c:pt>
                <c:pt idx="461">
                  <c:v>71</c:v>
                </c:pt>
                <c:pt idx="462">
                  <c:v>74</c:v>
                </c:pt>
                <c:pt idx="463">
                  <c:v>88</c:v>
                </c:pt>
                <c:pt idx="464">
                  <c:v>115</c:v>
                </c:pt>
                <c:pt idx="465">
                  <c:v>124</c:v>
                </c:pt>
                <c:pt idx="466">
                  <c:v>74</c:v>
                </c:pt>
                <c:pt idx="467">
                  <c:v>97</c:v>
                </c:pt>
                <c:pt idx="468">
                  <c:v>120</c:v>
                </c:pt>
                <c:pt idx="469">
                  <c:v>154</c:v>
                </c:pt>
                <c:pt idx="470">
                  <c:v>144</c:v>
                </c:pt>
                <c:pt idx="471">
                  <c:v>137</c:v>
                </c:pt>
                <c:pt idx="472">
                  <c:v>119</c:v>
                </c:pt>
                <c:pt idx="473">
                  <c:v>136</c:v>
                </c:pt>
                <c:pt idx="474">
                  <c:v>114</c:v>
                </c:pt>
                <c:pt idx="475">
                  <c:v>137</c:v>
                </c:pt>
                <c:pt idx="476">
                  <c:v>105</c:v>
                </c:pt>
                <c:pt idx="477">
                  <c:v>114</c:v>
                </c:pt>
                <c:pt idx="478">
                  <c:v>126</c:v>
                </c:pt>
                <c:pt idx="479">
                  <c:v>132</c:v>
                </c:pt>
                <c:pt idx="480">
                  <c:v>158</c:v>
                </c:pt>
                <c:pt idx="481">
                  <c:v>123</c:v>
                </c:pt>
                <c:pt idx="482">
                  <c:v>85</c:v>
                </c:pt>
                <c:pt idx="483">
                  <c:v>84</c:v>
                </c:pt>
                <c:pt idx="484">
                  <c:v>145</c:v>
                </c:pt>
                <c:pt idx="485">
                  <c:v>135</c:v>
                </c:pt>
                <c:pt idx="486">
                  <c:v>139</c:v>
                </c:pt>
                <c:pt idx="487">
                  <c:v>173</c:v>
                </c:pt>
                <c:pt idx="488">
                  <c:v>99</c:v>
                </c:pt>
                <c:pt idx="489">
                  <c:v>194</c:v>
                </c:pt>
                <c:pt idx="490">
                  <c:v>83</c:v>
                </c:pt>
                <c:pt idx="491">
                  <c:v>89</c:v>
                </c:pt>
                <c:pt idx="492">
                  <c:v>99</c:v>
                </c:pt>
                <c:pt idx="493">
                  <c:v>125</c:v>
                </c:pt>
                <c:pt idx="494">
                  <c:v>80</c:v>
                </c:pt>
                <c:pt idx="495">
                  <c:v>166</c:v>
                </c:pt>
                <c:pt idx="496">
                  <c:v>110</c:v>
                </c:pt>
                <c:pt idx="497">
                  <c:v>81</c:v>
                </c:pt>
                <c:pt idx="498">
                  <c:v>195</c:v>
                </c:pt>
                <c:pt idx="499">
                  <c:v>154</c:v>
                </c:pt>
                <c:pt idx="500">
                  <c:v>117</c:v>
                </c:pt>
                <c:pt idx="501">
                  <c:v>84</c:v>
                </c:pt>
                <c:pt idx="502">
                  <c:v>117</c:v>
                </c:pt>
                <c:pt idx="503">
                  <c:v>94</c:v>
                </c:pt>
                <c:pt idx="504">
                  <c:v>96</c:v>
                </c:pt>
                <c:pt idx="505">
                  <c:v>75</c:v>
                </c:pt>
                <c:pt idx="506">
                  <c:v>180</c:v>
                </c:pt>
                <c:pt idx="507">
                  <c:v>130</c:v>
                </c:pt>
                <c:pt idx="508">
                  <c:v>84</c:v>
                </c:pt>
                <c:pt idx="509">
                  <c:v>120</c:v>
                </c:pt>
                <c:pt idx="510">
                  <c:v>84</c:v>
                </c:pt>
                <c:pt idx="511">
                  <c:v>139</c:v>
                </c:pt>
                <c:pt idx="512">
                  <c:v>91</c:v>
                </c:pt>
                <c:pt idx="513">
                  <c:v>91</c:v>
                </c:pt>
                <c:pt idx="514">
                  <c:v>99</c:v>
                </c:pt>
                <c:pt idx="515">
                  <c:v>163</c:v>
                </c:pt>
                <c:pt idx="516">
                  <c:v>145</c:v>
                </c:pt>
                <c:pt idx="517">
                  <c:v>125</c:v>
                </c:pt>
                <c:pt idx="518">
                  <c:v>76</c:v>
                </c:pt>
                <c:pt idx="519">
                  <c:v>129</c:v>
                </c:pt>
                <c:pt idx="520">
                  <c:v>68</c:v>
                </c:pt>
                <c:pt idx="521">
                  <c:v>124</c:v>
                </c:pt>
                <c:pt idx="522">
                  <c:v>114</c:v>
                </c:pt>
                <c:pt idx="523">
                  <c:v>130</c:v>
                </c:pt>
                <c:pt idx="524">
                  <c:v>125</c:v>
                </c:pt>
                <c:pt idx="525">
                  <c:v>87</c:v>
                </c:pt>
                <c:pt idx="526">
                  <c:v>97</c:v>
                </c:pt>
                <c:pt idx="527">
                  <c:v>116</c:v>
                </c:pt>
                <c:pt idx="528">
                  <c:v>117</c:v>
                </c:pt>
                <c:pt idx="529">
                  <c:v>111</c:v>
                </c:pt>
                <c:pt idx="530">
                  <c:v>122</c:v>
                </c:pt>
                <c:pt idx="531">
                  <c:v>107</c:v>
                </c:pt>
                <c:pt idx="532">
                  <c:v>86</c:v>
                </c:pt>
                <c:pt idx="533">
                  <c:v>91</c:v>
                </c:pt>
                <c:pt idx="534">
                  <c:v>77</c:v>
                </c:pt>
                <c:pt idx="535">
                  <c:v>132</c:v>
                </c:pt>
                <c:pt idx="536">
                  <c:v>105</c:v>
                </c:pt>
                <c:pt idx="537">
                  <c:v>57</c:v>
                </c:pt>
                <c:pt idx="538">
                  <c:v>127</c:v>
                </c:pt>
                <c:pt idx="539">
                  <c:v>129</c:v>
                </c:pt>
                <c:pt idx="540">
                  <c:v>100</c:v>
                </c:pt>
                <c:pt idx="541">
                  <c:v>128</c:v>
                </c:pt>
                <c:pt idx="542">
                  <c:v>90</c:v>
                </c:pt>
                <c:pt idx="543">
                  <c:v>84</c:v>
                </c:pt>
                <c:pt idx="544">
                  <c:v>88</c:v>
                </c:pt>
                <c:pt idx="545">
                  <c:v>186</c:v>
                </c:pt>
                <c:pt idx="546">
                  <c:v>187</c:v>
                </c:pt>
                <c:pt idx="547">
                  <c:v>131</c:v>
                </c:pt>
                <c:pt idx="548">
                  <c:v>164</c:v>
                </c:pt>
                <c:pt idx="549">
                  <c:v>189</c:v>
                </c:pt>
                <c:pt idx="550">
                  <c:v>116</c:v>
                </c:pt>
                <c:pt idx="551">
                  <c:v>84</c:v>
                </c:pt>
                <c:pt idx="552">
                  <c:v>114</c:v>
                </c:pt>
                <c:pt idx="553">
                  <c:v>88</c:v>
                </c:pt>
                <c:pt idx="554">
                  <c:v>84</c:v>
                </c:pt>
                <c:pt idx="555">
                  <c:v>124</c:v>
                </c:pt>
                <c:pt idx="556">
                  <c:v>97</c:v>
                </c:pt>
                <c:pt idx="557">
                  <c:v>110</c:v>
                </c:pt>
                <c:pt idx="558">
                  <c:v>103</c:v>
                </c:pt>
                <c:pt idx="559">
                  <c:v>85</c:v>
                </c:pt>
                <c:pt idx="560">
                  <c:v>125</c:v>
                </c:pt>
                <c:pt idx="561">
                  <c:v>198</c:v>
                </c:pt>
                <c:pt idx="562">
                  <c:v>87</c:v>
                </c:pt>
                <c:pt idx="563">
                  <c:v>99</c:v>
                </c:pt>
                <c:pt idx="564">
                  <c:v>91</c:v>
                </c:pt>
                <c:pt idx="565">
                  <c:v>95</c:v>
                </c:pt>
                <c:pt idx="566">
                  <c:v>99</c:v>
                </c:pt>
                <c:pt idx="567">
                  <c:v>92</c:v>
                </c:pt>
                <c:pt idx="568">
                  <c:v>154</c:v>
                </c:pt>
                <c:pt idx="569">
                  <c:v>121</c:v>
                </c:pt>
                <c:pt idx="570">
                  <c:v>78</c:v>
                </c:pt>
                <c:pt idx="571">
                  <c:v>130</c:v>
                </c:pt>
                <c:pt idx="572">
                  <c:v>111</c:v>
                </c:pt>
                <c:pt idx="573">
                  <c:v>98</c:v>
                </c:pt>
                <c:pt idx="574">
                  <c:v>143</c:v>
                </c:pt>
                <c:pt idx="575">
                  <c:v>119</c:v>
                </c:pt>
                <c:pt idx="576">
                  <c:v>108</c:v>
                </c:pt>
                <c:pt idx="577">
                  <c:v>118</c:v>
                </c:pt>
                <c:pt idx="578">
                  <c:v>133</c:v>
                </c:pt>
                <c:pt idx="579">
                  <c:v>197</c:v>
                </c:pt>
                <c:pt idx="580">
                  <c:v>151</c:v>
                </c:pt>
                <c:pt idx="581">
                  <c:v>109</c:v>
                </c:pt>
                <c:pt idx="582">
                  <c:v>121</c:v>
                </c:pt>
                <c:pt idx="583">
                  <c:v>100</c:v>
                </c:pt>
                <c:pt idx="584">
                  <c:v>124</c:v>
                </c:pt>
                <c:pt idx="585">
                  <c:v>93</c:v>
                </c:pt>
                <c:pt idx="586">
                  <c:v>143</c:v>
                </c:pt>
                <c:pt idx="587">
                  <c:v>103</c:v>
                </c:pt>
                <c:pt idx="588">
                  <c:v>176</c:v>
                </c:pt>
                <c:pt idx="589">
                  <c:v>73</c:v>
                </c:pt>
                <c:pt idx="590">
                  <c:v>111</c:v>
                </c:pt>
                <c:pt idx="591">
                  <c:v>112</c:v>
                </c:pt>
                <c:pt idx="592">
                  <c:v>132</c:v>
                </c:pt>
                <c:pt idx="593">
                  <c:v>82</c:v>
                </c:pt>
                <c:pt idx="594">
                  <c:v>123</c:v>
                </c:pt>
                <c:pt idx="595">
                  <c:v>188</c:v>
                </c:pt>
                <c:pt idx="596">
                  <c:v>67</c:v>
                </c:pt>
                <c:pt idx="597">
                  <c:v>89</c:v>
                </c:pt>
                <c:pt idx="598">
                  <c:v>173</c:v>
                </c:pt>
                <c:pt idx="599">
                  <c:v>109</c:v>
                </c:pt>
                <c:pt idx="600">
                  <c:v>108</c:v>
                </c:pt>
                <c:pt idx="601">
                  <c:v>96</c:v>
                </c:pt>
                <c:pt idx="602">
                  <c:v>124</c:v>
                </c:pt>
                <c:pt idx="603">
                  <c:v>150</c:v>
                </c:pt>
                <c:pt idx="604">
                  <c:v>183</c:v>
                </c:pt>
                <c:pt idx="605">
                  <c:v>124</c:v>
                </c:pt>
                <c:pt idx="606">
                  <c:v>181</c:v>
                </c:pt>
                <c:pt idx="607">
                  <c:v>92</c:v>
                </c:pt>
                <c:pt idx="608">
                  <c:v>152</c:v>
                </c:pt>
                <c:pt idx="609">
                  <c:v>111</c:v>
                </c:pt>
                <c:pt idx="610">
                  <c:v>106</c:v>
                </c:pt>
                <c:pt idx="611">
                  <c:v>174</c:v>
                </c:pt>
                <c:pt idx="612">
                  <c:v>168</c:v>
                </c:pt>
                <c:pt idx="613">
                  <c:v>105</c:v>
                </c:pt>
                <c:pt idx="614">
                  <c:v>138</c:v>
                </c:pt>
                <c:pt idx="615">
                  <c:v>106</c:v>
                </c:pt>
                <c:pt idx="616">
                  <c:v>117</c:v>
                </c:pt>
                <c:pt idx="617">
                  <c:v>68</c:v>
                </c:pt>
                <c:pt idx="618">
                  <c:v>112</c:v>
                </c:pt>
                <c:pt idx="619">
                  <c:v>119</c:v>
                </c:pt>
                <c:pt idx="620">
                  <c:v>112</c:v>
                </c:pt>
                <c:pt idx="621">
                  <c:v>92</c:v>
                </c:pt>
                <c:pt idx="622">
                  <c:v>183</c:v>
                </c:pt>
                <c:pt idx="623">
                  <c:v>94</c:v>
                </c:pt>
                <c:pt idx="624">
                  <c:v>108</c:v>
                </c:pt>
                <c:pt idx="625">
                  <c:v>90</c:v>
                </c:pt>
                <c:pt idx="626">
                  <c:v>125</c:v>
                </c:pt>
                <c:pt idx="627">
                  <c:v>132</c:v>
                </c:pt>
                <c:pt idx="628">
                  <c:v>128</c:v>
                </c:pt>
                <c:pt idx="629">
                  <c:v>94</c:v>
                </c:pt>
                <c:pt idx="630">
                  <c:v>114</c:v>
                </c:pt>
                <c:pt idx="631">
                  <c:v>102</c:v>
                </c:pt>
                <c:pt idx="632">
                  <c:v>111</c:v>
                </c:pt>
                <c:pt idx="633">
                  <c:v>128</c:v>
                </c:pt>
                <c:pt idx="634">
                  <c:v>92</c:v>
                </c:pt>
                <c:pt idx="635">
                  <c:v>104</c:v>
                </c:pt>
                <c:pt idx="636">
                  <c:v>104</c:v>
                </c:pt>
                <c:pt idx="637">
                  <c:v>94</c:v>
                </c:pt>
                <c:pt idx="638">
                  <c:v>97</c:v>
                </c:pt>
                <c:pt idx="639">
                  <c:v>100</c:v>
                </c:pt>
                <c:pt idx="640">
                  <c:v>102</c:v>
                </c:pt>
                <c:pt idx="641">
                  <c:v>128</c:v>
                </c:pt>
                <c:pt idx="642">
                  <c:v>147</c:v>
                </c:pt>
                <c:pt idx="643">
                  <c:v>90</c:v>
                </c:pt>
                <c:pt idx="644">
                  <c:v>103</c:v>
                </c:pt>
                <c:pt idx="645">
                  <c:v>157</c:v>
                </c:pt>
                <c:pt idx="646">
                  <c:v>167</c:v>
                </c:pt>
                <c:pt idx="647">
                  <c:v>179</c:v>
                </c:pt>
                <c:pt idx="648">
                  <c:v>136</c:v>
                </c:pt>
                <c:pt idx="649">
                  <c:v>107</c:v>
                </c:pt>
                <c:pt idx="650">
                  <c:v>91</c:v>
                </c:pt>
                <c:pt idx="651">
                  <c:v>117</c:v>
                </c:pt>
                <c:pt idx="652">
                  <c:v>123</c:v>
                </c:pt>
                <c:pt idx="653">
                  <c:v>120</c:v>
                </c:pt>
                <c:pt idx="654">
                  <c:v>106</c:v>
                </c:pt>
                <c:pt idx="655">
                  <c:v>155</c:v>
                </c:pt>
                <c:pt idx="656">
                  <c:v>101</c:v>
                </c:pt>
                <c:pt idx="657">
                  <c:v>120</c:v>
                </c:pt>
                <c:pt idx="658">
                  <c:v>127</c:v>
                </c:pt>
                <c:pt idx="659">
                  <c:v>80</c:v>
                </c:pt>
                <c:pt idx="660">
                  <c:v>162</c:v>
                </c:pt>
                <c:pt idx="661">
                  <c:v>199</c:v>
                </c:pt>
                <c:pt idx="662">
                  <c:v>167</c:v>
                </c:pt>
                <c:pt idx="663">
                  <c:v>145</c:v>
                </c:pt>
                <c:pt idx="664">
                  <c:v>115</c:v>
                </c:pt>
                <c:pt idx="665">
                  <c:v>112</c:v>
                </c:pt>
                <c:pt idx="666">
                  <c:v>145</c:v>
                </c:pt>
                <c:pt idx="667">
                  <c:v>111</c:v>
                </c:pt>
                <c:pt idx="668">
                  <c:v>98</c:v>
                </c:pt>
                <c:pt idx="669">
                  <c:v>154</c:v>
                </c:pt>
                <c:pt idx="670">
                  <c:v>165</c:v>
                </c:pt>
                <c:pt idx="671">
                  <c:v>99</c:v>
                </c:pt>
                <c:pt idx="672">
                  <c:v>68</c:v>
                </c:pt>
                <c:pt idx="673">
                  <c:v>123</c:v>
                </c:pt>
                <c:pt idx="674">
                  <c:v>91</c:v>
                </c:pt>
                <c:pt idx="675">
                  <c:v>195</c:v>
                </c:pt>
                <c:pt idx="676">
                  <c:v>156</c:v>
                </c:pt>
                <c:pt idx="677">
                  <c:v>93</c:v>
                </c:pt>
                <c:pt idx="678">
                  <c:v>121</c:v>
                </c:pt>
                <c:pt idx="679">
                  <c:v>101</c:v>
                </c:pt>
                <c:pt idx="680">
                  <c:v>56</c:v>
                </c:pt>
                <c:pt idx="681">
                  <c:v>162</c:v>
                </c:pt>
                <c:pt idx="682">
                  <c:v>95</c:v>
                </c:pt>
                <c:pt idx="683">
                  <c:v>125</c:v>
                </c:pt>
                <c:pt idx="684">
                  <c:v>136</c:v>
                </c:pt>
                <c:pt idx="685">
                  <c:v>129</c:v>
                </c:pt>
                <c:pt idx="686">
                  <c:v>130</c:v>
                </c:pt>
                <c:pt idx="687">
                  <c:v>107</c:v>
                </c:pt>
                <c:pt idx="688">
                  <c:v>140</c:v>
                </c:pt>
                <c:pt idx="689">
                  <c:v>144</c:v>
                </c:pt>
                <c:pt idx="690">
                  <c:v>107</c:v>
                </c:pt>
                <c:pt idx="691">
                  <c:v>158</c:v>
                </c:pt>
                <c:pt idx="692">
                  <c:v>121</c:v>
                </c:pt>
                <c:pt idx="693">
                  <c:v>129</c:v>
                </c:pt>
                <c:pt idx="694">
                  <c:v>90</c:v>
                </c:pt>
                <c:pt idx="695">
                  <c:v>142</c:v>
                </c:pt>
                <c:pt idx="696">
                  <c:v>169</c:v>
                </c:pt>
                <c:pt idx="697">
                  <c:v>99</c:v>
                </c:pt>
                <c:pt idx="698">
                  <c:v>127</c:v>
                </c:pt>
                <c:pt idx="699">
                  <c:v>118</c:v>
                </c:pt>
                <c:pt idx="700">
                  <c:v>122</c:v>
                </c:pt>
                <c:pt idx="701">
                  <c:v>125</c:v>
                </c:pt>
                <c:pt idx="702">
                  <c:v>168</c:v>
                </c:pt>
                <c:pt idx="703">
                  <c:v>129</c:v>
                </c:pt>
                <c:pt idx="704">
                  <c:v>110</c:v>
                </c:pt>
                <c:pt idx="705">
                  <c:v>80</c:v>
                </c:pt>
                <c:pt idx="706">
                  <c:v>115</c:v>
                </c:pt>
                <c:pt idx="707">
                  <c:v>127</c:v>
                </c:pt>
                <c:pt idx="708">
                  <c:v>164</c:v>
                </c:pt>
                <c:pt idx="709">
                  <c:v>93</c:v>
                </c:pt>
                <c:pt idx="710">
                  <c:v>158</c:v>
                </c:pt>
                <c:pt idx="711">
                  <c:v>126</c:v>
                </c:pt>
                <c:pt idx="712">
                  <c:v>129</c:v>
                </c:pt>
                <c:pt idx="713">
                  <c:v>134</c:v>
                </c:pt>
                <c:pt idx="714">
                  <c:v>102</c:v>
                </c:pt>
                <c:pt idx="715">
                  <c:v>187</c:v>
                </c:pt>
                <c:pt idx="716">
                  <c:v>173</c:v>
                </c:pt>
                <c:pt idx="717">
                  <c:v>94</c:v>
                </c:pt>
                <c:pt idx="718">
                  <c:v>108</c:v>
                </c:pt>
                <c:pt idx="719">
                  <c:v>97</c:v>
                </c:pt>
                <c:pt idx="720">
                  <c:v>83</c:v>
                </c:pt>
                <c:pt idx="721">
                  <c:v>114</c:v>
                </c:pt>
                <c:pt idx="722">
                  <c:v>149</c:v>
                </c:pt>
                <c:pt idx="723">
                  <c:v>117</c:v>
                </c:pt>
                <c:pt idx="724">
                  <c:v>111</c:v>
                </c:pt>
                <c:pt idx="725">
                  <c:v>112</c:v>
                </c:pt>
                <c:pt idx="726">
                  <c:v>116</c:v>
                </c:pt>
                <c:pt idx="727">
                  <c:v>141</c:v>
                </c:pt>
                <c:pt idx="728">
                  <c:v>175</c:v>
                </c:pt>
                <c:pt idx="729">
                  <c:v>92</c:v>
                </c:pt>
                <c:pt idx="730">
                  <c:v>130</c:v>
                </c:pt>
                <c:pt idx="731">
                  <c:v>120</c:v>
                </c:pt>
                <c:pt idx="732">
                  <c:v>174</c:v>
                </c:pt>
                <c:pt idx="733">
                  <c:v>106</c:v>
                </c:pt>
                <c:pt idx="734">
                  <c:v>105</c:v>
                </c:pt>
                <c:pt idx="735">
                  <c:v>95</c:v>
                </c:pt>
                <c:pt idx="736">
                  <c:v>126</c:v>
                </c:pt>
                <c:pt idx="737">
                  <c:v>65</c:v>
                </c:pt>
                <c:pt idx="738">
                  <c:v>99</c:v>
                </c:pt>
                <c:pt idx="739">
                  <c:v>102</c:v>
                </c:pt>
                <c:pt idx="740">
                  <c:v>120</c:v>
                </c:pt>
                <c:pt idx="741">
                  <c:v>102</c:v>
                </c:pt>
                <c:pt idx="742">
                  <c:v>109</c:v>
                </c:pt>
                <c:pt idx="743">
                  <c:v>140</c:v>
                </c:pt>
                <c:pt idx="744">
                  <c:v>153</c:v>
                </c:pt>
                <c:pt idx="745">
                  <c:v>100</c:v>
                </c:pt>
                <c:pt idx="746">
                  <c:v>147</c:v>
                </c:pt>
                <c:pt idx="747">
                  <c:v>81</c:v>
                </c:pt>
                <c:pt idx="748">
                  <c:v>187</c:v>
                </c:pt>
                <c:pt idx="749">
                  <c:v>162</c:v>
                </c:pt>
                <c:pt idx="750">
                  <c:v>136</c:v>
                </c:pt>
                <c:pt idx="751">
                  <c:v>121</c:v>
                </c:pt>
                <c:pt idx="752">
                  <c:v>108</c:v>
                </c:pt>
                <c:pt idx="753">
                  <c:v>181</c:v>
                </c:pt>
                <c:pt idx="754">
                  <c:v>154</c:v>
                </c:pt>
                <c:pt idx="755">
                  <c:v>128</c:v>
                </c:pt>
                <c:pt idx="756">
                  <c:v>137</c:v>
                </c:pt>
                <c:pt idx="757">
                  <c:v>123</c:v>
                </c:pt>
                <c:pt idx="758">
                  <c:v>106</c:v>
                </c:pt>
                <c:pt idx="759">
                  <c:v>190</c:v>
                </c:pt>
                <c:pt idx="760">
                  <c:v>88</c:v>
                </c:pt>
                <c:pt idx="761">
                  <c:v>170</c:v>
                </c:pt>
                <c:pt idx="762">
                  <c:v>89</c:v>
                </c:pt>
                <c:pt idx="763">
                  <c:v>101</c:v>
                </c:pt>
                <c:pt idx="764">
                  <c:v>122</c:v>
                </c:pt>
                <c:pt idx="765">
                  <c:v>121</c:v>
                </c:pt>
                <c:pt idx="766">
                  <c:v>126</c:v>
                </c:pt>
                <c:pt idx="767">
                  <c:v>93</c:v>
                </c:pt>
              </c:numCache>
            </c:numRef>
          </c:xVal>
          <c:yVal>
            <c:numRef>
              <c:f>diabetes!$U$2:$U$769</c:f>
              <c:numCache>
                <c:formatCode>General</c:formatCode>
                <c:ptCount val="768"/>
                <c:pt idx="0">
                  <c:v>#N/A</c:v>
                </c:pt>
                <c:pt idx="1">
                  <c:v>125</c:v>
                </c:pt>
                <c:pt idx="2">
                  <c:v>#N/A</c:v>
                </c:pt>
                <c:pt idx="3">
                  <c:v>94</c:v>
                </c:pt>
                <c:pt idx="4">
                  <c:v>#N/A</c:v>
                </c:pt>
                <c:pt idx="5">
                  <c:v>125</c:v>
                </c:pt>
                <c:pt idx="6">
                  <c:v>#N/A</c:v>
                </c:pt>
                <c:pt idx="7">
                  <c:v>125</c:v>
                </c:pt>
                <c:pt idx="8">
                  <c:v>#N/A</c:v>
                </c:pt>
                <c:pt idx="9">
                  <c:v>#N/A</c:v>
                </c:pt>
                <c:pt idx="10">
                  <c:v>125</c:v>
                </c:pt>
                <c:pt idx="11">
                  <c:v>#N/A</c:v>
                </c:pt>
                <c:pt idx="12">
                  <c:v>125</c:v>
                </c:pt>
                <c:pt idx="13">
                  <c:v>#N/A</c:v>
                </c:pt>
                <c:pt idx="14">
                  <c:v>#N/A</c:v>
                </c:pt>
                <c:pt idx="15">
                  <c:v>#N/A</c:v>
                </c:pt>
                <c:pt idx="16">
                  <c:v>#N/A</c:v>
                </c:pt>
                <c:pt idx="17">
                  <c:v>#N/A</c:v>
                </c:pt>
                <c:pt idx="18">
                  <c:v>83</c:v>
                </c:pt>
                <c:pt idx="19">
                  <c:v>#N/A</c:v>
                </c:pt>
                <c:pt idx="20">
                  <c:v>235</c:v>
                </c:pt>
                <c:pt idx="21">
                  <c:v>125</c:v>
                </c:pt>
                <c:pt idx="22">
                  <c:v>#N/A</c:v>
                </c:pt>
                <c:pt idx="23">
                  <c:v>#N/A</c:v>
                </c:pt>
                <c:pt idx="24">
                  <c:v>#N/A</c:v>
                </c:pt>
                <c:pt idx="25">
                  <c:v>#N/A</c:v>
                </c:pt>
                <c:pt idx="26">
                  <c:v>#N/A</c:v>
                </c:pt>
                <c:pt idx="27">
                  <c:v>140</c:v>
                </c:pt>
                <c:pt idx="28">
                  <c:v>110</c:v>
                </c:pt>
                <c:pt idx="29">
                  <c:v>125</c:v>
                </c:pt>
                <c:pt idx="30">
                  <c:v>125</c:v>
                </c:pt>
                <c:pt idx="31">
                  <c:v>#N/A</c:v>
                </c:pt>
                <c:pt idx="32">
                  <c:v>54</c:v>
                </c:pt>
                <c:pt idx="33">
                  <c:v>125</c:v>
                </c:pt>
                <c:pt idx="34">
                  <c:v>125</c:v>
                </c:pt>
                <c:pt idx="35">
                  <c:v>192</c:v>
                </c:pt>
                <c:pt idx="36">
                  <c:v>125</c:v>
                </c:pt>
                <c:pt idx="37">
                  <c:v>#N/A</c:v>
                </c:pt>
                <c:pt idx="38">
                  <c:v>#N/A</c:v>
                </c:pt>
                <c:pt idx="39">
                  <c:v>#N/A</c:v>
                </c:pt>
                <c:pt idx="40">
                  <c:v>70</c:v>
                </c:pt>
                <c:pt idx="41">
                  <c:v>125</c:v>
                </c:pt>
                <c:pt idx="42">
                  <c:v>125</c:v>
                </c:pt>
                <c:pt idx="43">
                  <c:v>#N/A</c:v>
                </c:pt>
                <c:pt idx="44">
                  <c:v>125</c:v>
                </c:pt>
                <c:pt idx="45">
                  <c:v>#N/A</c:v>
                </c:pt>
                <c:pt idx="46">
                  <c:v>125</c:v>
                </c:pt>
                <c:pt idx="47">
                  <c:v>125</c:v>
                </c:pt>
                <c:pt idx="48">
                  <c:v>#N/A</c:v>
                </c:pt>
                <c:pt idx="49">
                  <c:v>125</c:v>
                </c:pt>
                <c:pt idx="50">
                  <c:v>82</c:v>
                </c:pt>
                <c:pt idx="51">
                  <c:v>36</c:v>
                </c:pt>
                <c:pt idx="52">
                  <c:v>23</c:v>
                </c:pt>
                <c:pt idx="53">
                  <c:v>#N/A</c:v>
                </c:pt>
                <c:pt idx="54">
                  <c:v>342</c:v>
                </c:pt>
                <c:pt idx="55">
                  <c:v>125</c:v>
                </c:pt>
                <c:pt idx="56">
                  <c:v>#N/A</c:v>
                </c:pt>
                <c:pt idx="57">
                  <c:v>110</c:v>
                </c:pt>
                <c:pt idx="58">
                  <c:v>125</c:v>
                </c:pt>
                <c:pt idx="59">
                  <c:v>142</c:v>
                </c:pt>
                <c:pt idx="60">
                  <c:v>125</c:v>
                </c:pt>
                <c:pt idx="61">
                  <c:v>#N/A</c:v>
                </c:pt>
                <c:pt idx="62">
                  <c:v>125</c:v>
                </c:pt>
                <c:pt idx="63">
                  <c:v>128</c:v>
                </c:pt>
                <c:pt idx="64">
                  <c:v>#N/A</c:v>
                </c:pt>
                <c:pt idx="65">
                  <c:v>125</c:v>
                </c:pt>
                <c:pt idx="66">
                  <c:v>#N/A</c:v>
                </c:pt>
                <c:pt idx="67">
                  <c:v>125</c:v>
                </c:pt>
                <c:pt idx="68">
                  <c:v>38</c:v>
                </c:pt>
                <c:pt idx="69">
                  <c:v>100</c:v>
                </c:pt>
                <c:pt idx="70">
                  <c:v>#N/A</c:v>
                </c:pt>
                <c:pt idx="71">
                  <c:v>140</c:v>
                </c:pt>
                <c:pt idx="72">
                  <c:v>#N/A</c:v>
                </c:pt>
                <c:pt idx="73">
                  <c:v>270</c:v>
                </c:pt>
                <c:pt idx="74">
                  <c:v>125</c:v>
                </c:pt>
                <c:pt idx="75">
                  <c:v>125</c:v>
                </c:pt>
                <c:pt idx="76">
                  <c:v>125</c:v>
                </c:pt>
                <c:pt idx="77">
                  <c:v>125</c:v>
                </c:pt>
                <c:pt idx="78">
                  <c:v>#N/A</c:v>
                </c:pt>
                <c:pt idx="79">
                  <c:v>125</c:v>
                </c:pt>
                <c:pt idx="80">
                  <c:v>125</c:v>
                </c:pt>
                <c:pt idx="81">
                  <c:v>125</c:v>
                </c:pt>
                <c:pt idx="82">
                  <c:v>71</c:v>
                </c:pt>
                <c:pt idx="83">
                  <c:v>125</c:v>
                </c:pt>
                <c:pt idx="84">
                  <c:v>#N/A</c:v>
                </c:pt>
                <c:pt idx="85">
                  <c:v>125</c:v>
                </c:pt>
                <c:pt idx="86">
                  <c:v>125</c:v>
                </c:pt>
                <c:pt idx="87">
                  <c:v>71</c:v>
                </c:pt>
                <c:pt idx="88">
                  <c:v>#N/A</c:v>
                </c:pt>
                <c:pt idx="89">
                  <c:v>125</c:v>
                </c:pt>
                <c:pt idx="90">
                  <c:v>125</c:v>
                </c:pt>
                <c:pt idx="91">
                  <c:v>176</c:v>
                </c:pt>
                <c:pt idx="92">
                  <c:v>48</c:v>
                </c:pt>
                <c:pt idx="93">
                  <c:v>#N/A</c:v>
                </c:pt>
                <c:pt idx="94">
                  <c:v>64</c:v>
                </c:pt>
                <c:pt idx="95">
                  <c:v>228</c:v>
                </c:pt>
                <c:pt idx="96">
                  <c:v>125</c:v>
                </c:pt>
                <c:pt idx="97">
                  <c:v>76</c:v>
                </c:pt>
                <c:pt idx="98">
                  <c:v>64</c:v>
                </c:pt>
                <c:pt idx="99">
                  <c:v>#N/A</c:v>
                </c:pt>
                <c:pt idx="100">
                  <c:v>#N/A</c:v>
                </c:pt>
                <c:pt idx="101">
                  <c:v>125</c:v>
                </c:pt>
                <c:pt idx="102">
                  <c:v>125</c:v>
                </c:pt>
                <c:pt idx="103">
                  <c:v>40</c:v>
                </c:pt>
                <c:pt idx="104">
                  <c:v>125</c:v>
                </c:pt>
                <c:pt idx="105">
                  <c:v>152</c:v>
                </c:pt>
                <c:pt idx="106">
                  <c:v>125</c:v>
                </c:pt>
                <c:pt idx="107">
                  <c:v>140</c:v>
                </c:pt>
                <c:pt idx="108">
                  <c:v>18</c:v>
                </c:pt>
                <c:pt idx="109">
                  <c:v>#N/A</c:v>
                </c:pt>
                <c:pt idx="110">
                  <c:v>#N/A</c:v>
                </c:pt>
                <c:pt idx="111">
                  <c:v>#N/A</c:v>
                </c:pt>
                <c:pt idx="112">
                  <c:v>37</c:v>
                </c:pt>
                <c:pt idx="113">
                  <c:v>125</c:v>
                </c:pt>
                <c:pt idx="114">
                  <c:v>#N/A</c:v>
                </c:pt>
                <c:pt idx="115">
                  <c:v>#N/A</c:v>
                </c:pt>
                <c:pt idx="116">
                  <c:v>#N/A</c:v>
                </c:pt>
                <c:pt idx="117">
                  <c:v>125</c:v>
                </c:pt>
                <c:pt idx="118">
                  <c:v>125</c:v>
                </c:pt>
                <c:pt idx="119">
                  <c:v>51</c:v>
                </c:pt>
                <c:pt idx="120">
                  <c:v>#N/A</c:v>
                </c:pt>
                <c:pt idx="121">
                  <c:v>125</c:v>
                </c:pt>
                <c:pt idx="122">
                  <c:v>100</c:v>
                </c:pt>
                <c:pt idx="123">
                  <c:v>125</c:v>
                </c:pt>
                <c:pt idx="124">
                  <c:v>#N/A</c:v>
                </c:pt>
                <c:pt idx="125">
                  <c:v>#N/A</c:v>
                </c:pt>
                <c:pt idx="126">
                  <c:v>135</c:v>
                </c:pt>
                <c:pt idx="127">
                  <c:v>94</c:v>
                </c:pt>
                <c:pt idx="128">
                  <c:v>#N/A</c:v>
                </c:pt>
                <c:pt idx="129">
                  <c:v>#N/A</c:v>
                </c:pt>
                <c:pt idx="130">
                  <c:v>#N/A</c:v>
                </c:pt>
                <c:pt idx="131">
                  <c:v>#N/A</c:v>
                </c:pt>
                <c:pt idx="132">
                  <c:v>#N/A</c:v>
                </c:pt>
                <c:pt idx="133">
                  <c:v>125</c:v>
                </c:pt>
                <c:pt idx="134">
                  <c:v>49</c:v>
                </c:pt>
                <c:pt idx="135">
                  <c:v>140</c:v>
                </c:pt>
                <c:pt idx="136">
                  <c:v>50</c:v>
                </c:pt>
                <c:pt idx="137">
                  <c:v>92</c:v>
                </c:pt>
                <c:pt idx="138">
                  <c:v>125</c:v>
                </c:pt>
                <c:pt idx="139">
                  <c:v>325</c:v>
                </c:pt>
                <c:pt idx="140">
                  <c:v>125</c:v>
                </c:pt>
                <c:pt idx="141">
                  <c:v>125</c:v>
                </c:pt>
                <c:pt idx="142">
                  <c:v>63</c:v>
                </c:pt>
                <c:pt idx="143">
                  <c:v>#N/A</c:v>
                </c:pt>
                <c:pt idx="144">
                  <c:v>284</c:v>
                </c:pt>
                <c:pt idx="145">
                  <c:v>125</c:v>
                </c:pt>
                <c:pt idx="146">
                  <c:v>125</c:v>
                </c:pt>
                <c:pt idx="147">
                  <c:v>119</c:v>
                </c:pt>
                <c:pt idx="148">
                  <c:v>125</c:v>
                </c:pt>
                <c:pt idx="149">
                  <c:v>125</c:v>
                </c:pt>
                <c:pt idx="150">
                  <c:v>204</c:v>
                </c:pt>
                <c:pt idx="151">
                  <c:v>125</c:v>
                </c:pt>
                <c:pt idx="152">
                  <c:v>#N/A</c:v>
                </c:pt>
                <c:pt idx="153">
                  <c:v>485</c:v>
                </c:pt>
                <c:pt idx="154">
                  <c:v>#N/A</c:v>
                </c:pt>
                <c:pt idx="155">
                  <c:v>#N/A</c:v>
                </c:pt>
                <c:pt idx="156">
                  <c:v>94</c:v>
                </c:pt>
                <c:pt idx="157">
                  <c:v>135</c:v>
                </c:pt>
                <c:pt idx="158">
                  <c:v>53</c:v>
                </c:pt>
                <c:pt idx="159">
                  <c:v>#N/A</c:v>
                </c:pt>
                <c:pt idx="160">
                  <c:v>125</c:v>
                </c:pt>
                <c:pt idx="161">
                  <c:v>105</c:v>
                </c:pt>
                <c:pt idx="162">
                  <c:v>285</c:v>
                </c:pt>
                <c:pt idx="163">
                  <c:v>125</c:v>
                </c:pt>
                <c:pt idx="164">
                  <c:v>#N/A</c:v>
                </c:pt>
                <c:pt idx="165">
                  <c:v>#N/A</c:v>
                </c:pt>
                <c:pt idx="166">
                  <c:v>125</c:v>
                </c:pt>
                <c:pt idx="167">
                  <c:v>125</c:v>
                </c:pt>
                <c:pt idx="168">
                  <c:v>125</c:v>
                </c:pt>
                <c:pt idx="169">
                  <c:v>78</c:v>
                </c:pt>
                <c:pt idx="170">
                  <c:v>#N/A</c:v>
                </c:pt>
                <c:pt idx="171">
                  <c:v>#N/A</c:v>
                </c:pt>
                <c:pt idx="172">
                  <c:v>125</c:v>
                </c:pt>
                <c:pt idx="173">
                  <c:v>48</c:v>
                </c:pt>
                <c:pt idx="174">
                  <c:v>55</c:v>
                </c:pt>
                <c:pt idx="175">
                  <c:v>#N/A</c:v>
                </c:pt>
                <c:pt idx="176">
                  <c:v>125</c:v>
                </c:pt>
                <c:pt idx="177">
                  <c:v>#N/A</c:v>
                </c:pt>
                <c:pt idx="178">
                  <c:v>125</c:v>
                </c:pt>
                <c:pt idx="179">
                  <c:v>#N/A</c:v>
                </c:pt>
                <c:pt idx="180">
                  <c:v>125</c:v>
                </c:pt>
                <c:pt idx="181">
                  <c:v>92</c:v>
                </c:pt>
                <c:pt idx="182">
                  <c:v>23</c:v>
                </c:pt>
                <c:pt idx="183">
                  <c:v>125</c:v>
                </c:pt>
                <c:pt idx="184">
                  <c:v>125</c:v>
                </c:pt>
                <c:pt idx="185">
                  <c:v>#N/A</c:v>
                </c:pt>
                <c:pt idx="186">
                  <c:v>#N/A</c:v>
                </c:pt>
                <c:pt idx="187">
                  <c:v>#N/A</c:v>
                </c:pt>
                <c:pt idx="188">
                  <c:v>#N/A</c:v>
                </c:pt>
                <c:pt idx="189">
                  <c:v>#N/A</c:v>
                </c:pt>
                <c:pt idx="190">
                  <c:v>125</c:v>
                </c:pt>
                <c:pt idx="191">
                  <c:v>94</c:v>
                </c:pt>
                <c:pt idx="192">
                  <c:v>#N/A</c:v>
                </c:pt>
                <c:pt idx="193">
                  <c:v>#N/A</c:v>
                </c:pt>
                <c:pt idx="194">
                  <c:v>125</c:v>
                </c:pt>
                <c:pt idx="195">
                  <c:v>#N/A</c:v>
                </c:pt>
                <c:pt idx="196">
                  <c:v>125</c:v>
                </c:pt>
                <c:pt idx="197">
                  <c:v>#N/A</c:v>
                </c:pt>
                <c:pt idx="198">
                  <c:v>#N/A</c:v>
                </c:pt>
                <c:pt idx="199">
                  <c:v>#N/A</c:v>
                </c:pt>
                <c:pt idx="200">
                  <c:v>125</c:v>
                </c:pt>
                <c:pt idx="201">
                  <c:v>125</c:v>
                </c:pt>
                <c:pt idx="202">
                  <c:v>125</c:v>
                </c:pt>
                <c:pt idx="203">
                  <c:v>44</c:v>
                </c:pt>
                <c:pt idx="204">
                  <c:v>190</c:v>
                </c:pt>
                <c:pt idx="205">
                  <c:v>125</c:v>
                </c:pt>
                <c:pt idx="206">
                  <c:v>#N/A</c:v>
                </c:pt>
                <c:pt idx="207">
                  <c:v>#N/A</c:v>
                </c:pt>
                <c:pt idx="208">
                  <c:v>87</c:v>
                </c:pt>
                <c:pt idx="209">
                  <c:v>#N/A</c:v>
                </c:pt>
                <c:pt idx="210">
                  <c:v>125</c:v>
                </c:pt>
                <c:pt idx="211">
                  <c:v>125</c:v>
                </c:pt>
                <c:pt idx="212">
                  <c:v>125</c:v>
                </c:pt>
                <c:pt idx="213">
                  <c:v>#N/A</c:v>
                </c:pt>
                <c:pt idx="214">
                  <c:v>#N/A</c:v>
                </c:pt>
                <c:pt idx="215">
                  <c:v>#N/A</c:v>
                </c:pt>
                <c:pt idx="216">
                  <c:v>#N/A</c:v>
                </c:pt>
                <c:pt idx="217">
                  <c:v>120</c:v>
                </c:pt>
                <c:pt idx="218">
                  <c:v>#N/A</c:v>
                </c:pt>
                <c:pt idx="219">
                  <c:v>#N/A</c:v>
                </c:pt>
                <c:pt idx="220">
                  <c:v>#N/A</c:v>
                </c:pt>
                <c:pt idx="221">
                  <c:v>#N/A</c:v>
                </c:pt>
                <c:pt idx="222">
                  <c:v>125</c:v>
                </c:pt>
                <c:pt idx="223">
                  <c:v>190</c:v>
                </c:pt>
                <c:pt idx="224">
                  <c:v>56</c:v>
                </c:pt>
                <c:pt idx="225">
                  <c:v>32</c:v>
                </c:pt>
                <c:pt idx="226">
                  <c:v>125</c:v>
                </c:pt>
                <c:pt idx="227">
                  <c:v>#N/A</c:v>
                </c:pt>
                <c:pt idx="228">
                  <c:v>744</c:v>
                </c:pt>
                <c:pt idx="229">
                  <c:v>53</c:v>
                </c:pt>
                <c:pt idx="230">
                  <c:v>#N/A</c:v>
                </c:pt>
                <c:pt idx="231">
                  <c:v>#N/A</c:v>
                </c:pt>
                <c:pt idx="232">
                  <c:v>37</c:v>
                </c:pt>
                <c:pt idx="233">
                  <c:v>125</c:v>
                </c:pt>
                <c:pt idx="234">
                  <c:v>45</c:v>
                </c:pt>
                <c:pt idx="235">
                  <c:v>#N/A</c:v>
                </c:pt>
                <c:pt idx="236">
                  <c:v>#N/A</c:v>
                </c:pt>
                <c:pt idx="237">
                  <c:v>#N/A</c:v>
                </c:pt>
                <c:pt idx="238">
                  <c:v>#N/A</c:v>
                </c:pt>
                <c:pt idx="239">
                  <c:v>125</c:v>
                </c:pt>
                <c:pt idx="240">
                  <c:v>125</c:v>
                </c:pt>
                <c:pt idx="241">
                  <c:v>88</c:v>
                </c:pt>
                <c:pt idx="242">
                  <c:v>#N/A</c:v>
                </c:pt>
                <c:pt idx="243">
                  <c:v>#N/A</c:v>
                </c:pt>
                <c:pt idx="244">
                  <c:v>194</c:v>
                </c:pt>
                <c:pt idx="245">
                  <c:v>#N/A</c:v>
                </c:pt>
                <c:pt idx="246">
                  <c:v>125</c:v>
                </c:pt>
                <c:pt idx="247">
                  <c:v>680</c:v>
                </c:pt>
                <c:pt idx="248">
                  <c:v>402</c:v>
                </c:pt>
                <c:pt idx="249">
                  <c:v>125</c:v>
                </c:pt>
                <c:pt idx="250">
                  <c:v>125</c:v>
                </c:pt>
                <c:pt idx="251">
                  <c:v>125</c:v>
                </c:pt>
                <c:pt idx="252">
                  <c:v>55</c:v>
                </c:pt>
                <c:pt idx="253">
                  <c:v>125</c:v>
                </c:pt>
                <c:pt idx="254">
                  <c:v>#N/A</c:v>
                </c:pt>
                <c:pt idx="255">
                  <c:v>#N/A</c:v>
                </c:pt>
                <c:pt idx="256">
                  <c:v>125</c:v>
                </c:pt>
                <c:pt idx="257">
                  <c:v>125</c:v>
                </c:pt>
                <c:pt idx="258">
                  <c:v>375</c:v>
                </c:pt>
                <c:pt idx="259">
                  <c:v>#N/A</c:v>
                </c:pt>
                <c:pt idx="260">
                  <c:v>130</c:v>
                </c:pt>
                <c:pt idx="261">
                  <c:v>#N/A</c:v>
                </c:pt>
                <c:pt idx="262">
                  <c:v>125</c:v>
                </c:pt>
                <c:pt idx="263">
                  <c:v>125</c:v>
                </c:pt>
                <c:pt idx="264">
                  <c:v>#N/A</c:v>
                </c:pt>
                <c:pt idx="265">
                  <c:v>67</c:v>
                </c:pt>
                <c:pt idx="266">
                  <c:v>#N/A</c:v>
                </c:pt>
                <c:pt idx="267">
                  <c:v>125</c:v>
                </c:pt>
                <c:pt idx="268">
                  <c:v>125</c:v>
                </c:pt>
                <c:pt idx="269">
                  <c:v>#N/A</c:v>
                </c:pt>
                <c:pt idx="270">
                  <c:v>#N/A</c:v>
                </c:pt>
                <c:pt idx="271">
                  <c:v>56</c:v>
                </c:pt>
                <c:pt idx="272">
                  <c:v>125</c:v>
                </c:pt>
                <c:pt idx="273">
                  <c:v>45</c:v>
                </c:pt>
                <c:pt idx="274">
                  <c:v>125</c:v>
                </c:pt>
                <c:pt idx="275">
                  <c:v>57</c:v>
                </c:pt>
                <c:pt idx="276">
                  <c:v>#N/A</c:v>
                </c:pt>
                <c:pt idx="277">
                  <c:v>116</c:v>
                </c:pt>
                <c:pt idx="278">
                  <c:v>125</c:v>
                </c:pt>
                <c:pt idx="279">
                  <c:v>278</c:v>
                </c:pt>
                <c:pt idx="280">
                  <c:v>#N/A</c:v>
                </c:pt>
                <c:pt idx="281">
                  <c:v>122</c:v>
                </c:pt>
                <c:pt idx="282">
                  <c:v>155</c:v>
                </c:pt>
                <c:pt idx="283">
                  <c:v>#N/A</c:v>
                </c:pt>
                <c:pt idx="284">
                  <c:v>#N/A</c:v>
                </c:pt>
                <c:pt idx="285">
                  <c:v>135</c:v>
                </c:pt>
                <c:pt idx="286">
                  <c:v>545</c:v>
                </c:pt>
                <c:pt idx="287">
                  <c:v>#N/A</c:v>
                </c:pt>
                <c:pt idx="288">
                  <c:v>49</c:v>
                </c:pt>
                <c:pt idx="289">
                  <c:v>75</c:v>
                </c:pt>
                <c:pt idx="290">
                  <c:v>40</c:v>
                </c:pt>
                <c:pt idx="291">
                  <c:v>#N/A</c:v>
                </c:pt>
                <c:pt idx="292">
                  <c:v>#N/A</c:v>
                </c:pt>
                <c:pt idx="293">
                  <c:v>#N/A</c:v>
                </c:pt>
                <c:pt idx="294">
                  <c:v>125</c:v>
                </c:pt>
                <c:pt idx="295">
                  <c:v>120</c:v>
                </c:pt>
                <c:pt idx="296">
                  <c:v>#N/A</c:v>
                </c:pt>
                <c:pt idx="297">
                  <c:v>215</c:v>
                </c:pt>
                <c:pt idx="298">
                  <c:v>#N/A</c:v>
                </c:pt>
                <c:pt idx="299">
                  <c:v>125</c:v>
                </c:pt>
                <c:pt idx="300">
                  <c:v>#N/A</c:v>
                </c:pt>
                <c:pt idx="301">
                  <c:v>#N/A</c:v>
                </c:pt>
                <c:pt idx="302">
                  <c:v>42</c:v>
                </c:pt>
                <c:pt idx="303">
                  <c:v>#N/A</c:v>
                </c:pt>
                <c:pt idx="304">
                  <c:v>125</c:v>
                </c:pt>
                <c:pt idx="305">
                  <c:v>105</c:v>
                </c:pt>
                <c:pt idx="306">
                  <c:v>#N/A</c:v>
                </c:pt>
                <c:pt idx="307">
                  <c:v>148</c:v>
                </c:pt>
                <c:pt idx="308">
                  <c:v>#N/A</c:v>
                </c:pt>
                <c:pt idx="309">
                  <c:v>#N/A</c:v>
                </c:pt>
                <c:pt idx="310">
                  <c:v>125</c:v>
                </c:pt>
                <c:pt idx="311">
                  <c:v>148</c:v>
                </c:pt>
                <c:pt idx="312">
                  <c:v>#N/A</c:v>
                </c:pt>
                <c:pt idx="313">
                  <c:v>85</c:v>
                </c:pt>
                <c:pt idx="314">
                  <c:v>#N/A</c:v>
                </c:pt>
                <c:pt idx="315">
                  <c:v>94</c:v>
                </c:pt>
                <c:pt idx="316">
                  <c:v>64</c:v>
                </c:pt>
                <c:pt idx="317">
                  <c:v>#N/A</c:v>
                </c:pt>
                <c:pt idx="318">
                  <c:v>140</c:v>
                </c:pt>
                <c:pt idx="319">
                  <c:v>#N/A</c:v>
                </c:pt>
                <c:pt idx="320">
                  <c:v>231</c:v>
                </c:pt>
                <c:pt idx="321">
                  <c:v>#N/A</c:v>
                </c:pt>
                <c:pt idx="322">
                  <c:v>#N/A</c:v>
                </c:pt>
                <c:pt idx="323">
                  <c:v>#N/A</c:v>
                </c:pt>
                <c:pt idx="324">
                  <c:v>125</c:v>
                </c:pt>
                <c:pt idx="325">
                  <c:v>168</c:v>
                </c:pt>
                <c:pt idx="326">
                  <c:v>#N/A</c:v>
                </c:pt>
                <c:pt idx="327">
                  <c:v>125</c:v>
                </c:pt>
                <c:pt idx="328">
                  <c:v>#N/A</c:v>
                </c:pt>
                <c:pt idx="329">
                  <c:v>68</c:v>
                </c:pt>
                <c:pt idx="330">
                  <c:v>125</c:v>
                </c:pt>
                <c:pt idx="331">
                  <c:v>52</c:v>
                </c:pt>
                <c:pt idx="332">
                  <c:v>#N/A</c:v>
                </c:pt>
                <c:pt idx="333">
                  <c:v>125</c:v>
                </c:pt>
                <c:pt idx="334">
                  <c:v>58</c:v>
                </c:pt>
                <c:pt idx="335">
                  <c:v>255</c:v>
                </c:pt>
                <c:pt idx="336">
                  <c:v>125</c:v>
                </c:pt>
                <c:pt idx="337">
                  <c:v>#N/A</c:v>
                </c:pt>
                <c:pt idx="338">
                  <c:v>#N/A</c:v>
                </c:pt>
                <c:pt idx="339">
                  <c:v>#N/A</c:v>
                </c:pt>
                <c:pt idx="340">
                  <c:v>105</c:v>
                </c:pt>
                <c:pt idx="341">
                  <c:v>73</c:v>
                </c:pt>
                <c:pt idx="342">
                  <c:v>125</c:v>
                </c:pt>
                <c:pt idx="343">
                  <c:v>125</c:v>
                </c:pt>
                <c:pt idx="344">
                  <c:v>125</c:v>
                </c:pt>
                <c:pt idx="345">
                  <c:v>108</c:v>
                </c:pt>
                <c:pt idx="346">
                  <c:v>83</c:v>
                </c:pt>
                <c:pt idx="347">
                  <c:v>125</c:v>
                </c:pt>
                <c:pt idx="348">
                  <c:v>74</c:v>
                </c:pt>
                <c:pt idx="349">
                  <c:v>#N/A</c:v>
                </c:pt>
                <c:pt idx="350">
                  <c:v>125</c:v>
                </c:pt>
                <c:pt idx="351">
                  <c:v>125</c:v>
                </c:pt>
                <c:pt idx="352">
                  <c:v>125</c:v>
                </c:pt>
                <c:pt idx="353">
                  <c:v>43</c:v>
                </c:pt>
                <c:pt idx="354">
                  <c:v>125</c:v>
                </c:pt>
                <c:pt idx="355">
                  <c:v>#N/A</c:v>
                </c:pt>
                <c:pt idx="356">
                  <c:v>#N/A</c:v>
                </c:pt>
                <c:pt idx="357">
                  <c:v>#N/A</c:v>
                </c:pt>
                <c:pt idx="358">
                  <c:v>54</c:v>
                </c:pt>
                <c:pt idx="359">
                  <c:v>#N/A</c:v>
                </c:pt>
                <c:pt idx="360">
                  <c:v>#N/A</c:v>
                </c:pt>
                <c:pt idx="361">
                  <c:v>125</c:v>
                </c:pt>
                <c:pt idx="362">
                  <c:v>125</c:v>
                </c:pt>
                <c:pt idx="363">
                  <c:v>#N/A</c:v>
                </c:pt>
                <c:pt idx="364">
                  <c:v>293</c:v>
                </c:pt>
                <c:pt idx="365">
                  <c:v>83</c:v>
                </c:pt>
                <c:pt idx="366">
                  <c:v>#N/A</c:v>
                </c:pt>
                <c:pt idx="367">
                  <c:v>125</c:v>
                </c:pt>
                <c:pt idx="368">
                  <c:v>66</c:v>
                </c:pt>
                <c:pt idx="369">
                  <c:v>#N/A</c:v>
                </c:pt>
                <c:pt idx="370">
                  <c:v>#N/A</c:v>
                </c:pt>
                <c:pt idx="371">
                  <c:v>89</c:v>
                </c:pt>
                <c:pt idx="372">
                  <c:v>66</c:v>
                </c:pt>
                <c:pt idx="373">
                  <c:v>94</c:v>
                </c:pt>
                <c:pt idx="374">
                  <c:v>158</c:v>
                </c:pt>
                <c:pt idx="375">
                  <c:v>#N/A</c:v>
                </c:pt>
                <c:pt idx="376">
                  <c:v>84</c:v>
                </c:pt>
                <c:pt idx="377">
                  <c:v>75</c:v>
                </c:pt>
                <c:pt idx="378">
                  <c:v>#N/A</c:v>
                </c:pt>
                <c:pt idx="379">
                  <c:v>72</c:v>
                </c:pt>
                <c:pt idx="380">
                  <c:v>82</c:v>
                </c:pt>
                <c:pt idx="381">
                  <c:v>125</c:v>
                </c:pt>
                <c:pt idx="382">
                  <c:v>182</c:v>
                </c:pt>
                <c:pt idx="383">
                  <c:v>59</c:v>
                </c:pt>
                <c:pt idx="384">
                  <c:v>110</c:v>
                </c:pt>
                <c:pt idx="385">
                  <c:v>50</c:v>
                </c:pt>
                <c:pt idx="386">
                  <c:v>#N/A</c:v>
                </c:pt>
                <c:pt idx="387">
                  <c:v>#N/A</c:v>
                </c:pt>
                <c:pt idx="388">
                  <c:v>#N/A</c:v>
                </c:pt>
                <c:pt idx="389">
                  <c:v>81</c:v>
                </c:pt>
                <c:pt idx="390">
                  <c:v>196</c:v>
                </c:pt>
                <c:pt idx="391">
                  <c:v>#N/A</c:v>
                </c:pt>
                <c:pt idx="392">
                  <c:v>415</c:v>
                </c:pt>
                <c:pt idx="393">
                  <c:v>87</c:v>
                </c:pt>
                <c:pt idx="394">
                  <c:v>#N/A</c:v>
                </c:pt>
                <c:pt idx="395">
                  <c:v>275</c:v>
                </c:pt>
                <c:pt idx="396">
                  <c:v>115</c:v>
                </c:pt>
                <c:pt idx="397">
                  <c:v>#N/A</c:v>
                </c:pt>
                <c:pt idx="398">
                  <c:v>125</c:v>
                </c:pt>
                <c:pt idx="399">
                  <c:v>#N/A</c:v>
                </c:pt>
                <c:pt idx="400">
                  <c:v>#N/A</c:v>
                </c:pt>
                <c:pt idx="401">
                  <c:v>125</c:v>
                </c:pt>
                <c:pt idx="402">
                  <c:v>#N/A</c:v>
                </c:pt>
                <c:pt idx="403">
                  <c:v>125</c:v>
                </c:pt>
                <c:pt idx="404">
                  <c:v>#N/A</c:v>
                </c:pt>
                <c:pt idx="405">
                  <c:v>165</c:v>
                </c:pt>
                <c:pt idx="406">
                  <c:v>#N/A</c:v>
                </c:pt>
                <c:pt idx="407">
                  <c:v>125</c:v>
                </c:pt>
                <c:pt idx="408">
                  <c:v>#N/A</c:v>
                </c:pt>
                <c:pt idx="409">
                  <c:v>#N/A</c:v>
                </c:pt>
                <c:pt idx="410">
                  <c:v>125</c:v>
                </c:pt>
                <c:pt idx="411">
                  <c:v>176</c:v>
                </c:pt>
                <c:pt idx="412">
                  <c:v>310</c:v>
                </c:pt>
                <c:pt idx="413">
                  <c:v>61</c:v>
                </c:pt>
                <c:pt idx="414">
                  <c:v>#N/A</c:v>
                </c:pt>
                <c:pt idx="415">
                  <c:v>#N/A</c:v>
                </c:pt>
                <c:pt idx="416">
                  <c:v>125</c:v>
                </c:pt>
                <c:pt idx="417">
                  <c:v>#N/A</c:v>
                </c:pt>
                <c:pt idx="418">
                  <c:v>125</c:v>
                </c:pt>
                <c:pt idx="419">
                  <c:v>#N/A</c:v>
                </c:pt>
                <c:pt idx="420">
                  <c:v>170</c:v>
                </c:pt>
                <c:pt idx="421">
                  <c:v>76</c:v>
                </c:pt>
                <c:pt idx="422">
                  <c:v>78</c:v>
                </c:pt>
                <c:pt idx="423">
                  <c:v>125</c:v>
                </c:pt>
                <c:pt idx="424">
                  <c:v>#N/A</c:v>
                </c:pt>
                <c:pt idx="425">
                  <c:v>#N/A</c:v>
                </c:pt>
                <c:pt idx="426">
                  <c:v>125</c:v>
                </c:pt>
                <c:pt idx="427">
                  <c:v>#N/A</c:v>
                </c:pt>
                <c:pt idx="428">
                  <c:v>145</c:v>
                </c:pt>
                <c:pt idx="429">
                  <c:v>#N/A</c:v>
                </c:pt>
                <c:pt idx="430">
                  <c:v>125</c:v>
                </c:pt>
                <c:pt idx="431">
                  <c:v>85</c:v>
                </c:pt>
                <c:pt idx="432">
                  <c:v>60</c:v>
                </c:pt>
                <c:pt idx="433">
                  <c:v>125</c:v>
                </c:pt>
                <c:pt idx="434">
                  <c:v>125</c:v>
                </c:pt>
                <c:pt idx="435">
                  <c:v>#N/A</c:v>
                </c:pt>
                <c:pt idx="436">
                  <c:v>125</c:v>
                </c:pt>
                <c:pt idx="437">
                  <c:v>125</c:v>
                </c:pt>
                <c:pt idx="438">
                  <c:v>125</c:v>
                </c:pt>
                <c:pt idx="439">
                  <c:v>125</c:v>
                </c:pt>
                <c:pt idx="440">
                  <c:v>#N/A</c:v>
                </c:pt>
                <c:pt idx="441">
                  <c:v>50</c:v>
                </c:pt>
                <c:pt idx="442">
                  <c:v>120</c:v>
                </c:pt>
                <c:pt idx="443">
                  <c:v>#N/A</c:v>
                </c:pt>
                <c:pt idx="444">
                  <c:v>#N/A</c:v>
                </c:pt>
                <c:pt idx="445">
                  <c:v>#N/A</c:v>
                </c:pt>
                <c:pt idx="446">
                  <c:v>70</c:v>
                </c:pt>
                <c:pt idx="447">
                  <c:v>92</c:v>
                </c:pt>
                <c:pt idx="448">
                  <c:v>#N/A</c:v>
                </c:pt>
                <c:pt idx="449">
                  <c:v>63</c:v>
                </c:pt>
                <c:pt idx="450">
                  <c:v>95</c:v>
                </c:pt>
                <c:pt idx="451">
                  <c:v>#N/A</c:v>
                </c:pt>
                <c:pt idx="452">
                  <c:v>210</c:v>
                </c:pt>
                <c:pt idx="453">
                  <c:v>125</c:v>
                </c:pt>
                <c:pt idx="454">
                  <c:v>105</c:v>
                </c:pt>
                <c:pt idx="455">
                  <c:v>#N/A</c:v>
                </c:pt>
                <c:pt idx="456">
                  <c:v>125</c:v>
                </c:pt>
                <c:pt idx="457">
                  <c:v>71</c:v>
                </c:pt>
                <c:pt idx="458">
                  <c:v>#N/A</c:v>
                </c:pt>
                <c:pt idx="459">
                  <c:v>60</c:v>
                </c:pt>
                <c:pt idx="460">
                  <c:v>56</c:v>
                </c:pt>
                <c:pt idx="461">
                  <c:v>125</c:v>
                </c:pt>
                <c:pt idx="462">
                  <c:v>49</c:v>
                </c:pt>
                <c:pt idx="463">
                  <c:v>125</c:v>
                </c:pt>
                <c:pt idx="464">
                  <c:v>125</c:v>
                </c:pt>
                <c:pt idx="465">
                  <c:v>105</c:v>
                </c:pt>
                <c:pt idx="466">
                  <c:v>36</c:v>
                </c:pt>
                <c:pt idx="467">
                  <c:v>100</c:v>
                </c:pt>
                <c:pt idx="468">
                  <c:v>#N/A</c:v>
                </c:pt>
                <c:pt idx="469">
                  <c:v>140</c:v>
                </c:pt>
                <c:pt idx="470">
                  <c:v>125</c:v>
                </c:pt>
                <c:pt idx="471">
                  <c:v>125</c:v>
                </c:pt>
                <c:pt idx="472">
                  <c:v>125</c:v>
                </c:pt>
                <c:pt idx="473">
                  <c:v>125</c:v>
                </c:pt>
                <c:pt idx="474">
                  <c:v>125</c:v>
                </c:pt>
                <c:pt idx="475">
                  <c:v>125</c:v>
                </c:pt>
                <c:pt idx="476">
                  <c:v>#N/A</c:v>
                </c:pt>
                <c:pt idx="477">
                  <c:v>110</c:v>
                </c:pt>
                <c:pt idx="478">
                  <c:v>75</c:v>
                </c:pt>
                <c:pt idx="479">
                  <c:v>125</c:v>
                </c:pt>
                <c:pt idx="480">
                  <c:v>#N/A</c:v>
                </c:pt>
                <c:pt idx="481">
                  <c:v>125</c:v>
                </c:pt>
                <c:pt idx="482">
                  <c:v>49</c:v>
                </c:pt>
                <c:pt idx="483">
                  <c:v>125</c:v>
                </c:pt>
                <c:pt idx="484">
                  <c:v>#N/A</c:v>
                </c:pt>
                <c:pt idx="485">
                  <c:v>#N/A</c:v>
                </c:pt>
                <c:pt idx="486">
                  <c:v>480</c:v>
                </c:pt>
                <c:pt idx="487">
                  <c:v>265</c:v>
                </c:pt>
                <c:pt idx="488">
                  <c:v>125</c:v>
                </c:pt>
                <c:pt idx="489">
                  <c:v>125</c:v>
                </c:pt>
                <c:pt idx="490">
                  <c:v>66</c:v>
                </c:pt>
                <c:pt idx="491">
                  <c:v>125</c:v>
                </c:pt>
                <c:pt idx="492">
                  <c:v>125</c:v>
                </c:pt>
                <c:pt idx="493">
                  <c:v>#N/A</c:v>
                </c:pt>
                <c:pt idx="494">
                  <c:v>125</c:v>
                </c:pt>
                <c:pt idx="495">
                  <c:v>125</c:v>
                </c:pt>
                <c:pt idx="496">
                  <c:v>125</c:v>
                </c:pt>
                <c:pt idx="497">
                  <c:v>76</c:v>
                </c:pt>
                <c:pt idx="498">
                  <c:v>#N/A</c:v>
                </c:pt>
                <c:pt idx="499">
                  <c:v>193</c:v>
                </c:pt>
                <c:pt idx="500">
                  <c:v>71</c:v>
                </c:pt>
                <c:pt idx="501">
                  <c:v>125</c:v>
                </c:pt>
                <c:pt idx="502">
                  <c:v>#N/A</c:v>
                </c:pt>
                <c:pt idx="503">
                  <c:v>79</c:v>
                </c:pt>
                <c:pt idx="504">
                  <c:v>125</c:v>
                </c:pt>
                <c:pt idx="505">
                  <c:v>125</c:v>
                </c:pt>
                <c:pt idx="506">
                  <c:v>#N/A</c:v>
                </c:pt>
                <c:pt idx="507">
                  <c:v>170</c:v>
                </c:pt>
                <c:pt idx="508">
                  <c:v>76</c:v>
                </c:pt>
                <c:pt idx="509">
                  <c:v>125</c:v>
                </c:pt>
                <c:pt idx="510">
                  <c:v>#N/A</c:v>
                </c:pt>
                <c:pt idx="511">
                  <c:v>210</c:v>
                </c:pt>
                <c:pt idx="512">
                  <c:v>125</c:v>
                </c:pt>
                <c:pt idx="513">
                  <c:v>125</c:v>
                </c:pt>
                <c:pt idx="514">
                  <c:v>86</c:v>
                </c:pt>
                <c:pt idx="515">
                  <c:v>#N/A</c:v>
                </c:pt>
                <c:pt idx="516">
                  <c:v>#N/A</c:v>
                </c:pt>
                <c:pt idx="517">
                  <c:v>125</c:v>
                </c:pt>
                <c:pt idx="518">
                  <c:v>125</c:v>
                </c:pt>
                <c:pt idx="519">
                  <c:v>326</c:v>
                </c:pt>
                <c:pt idx="520">
                  <c:v>66</c:v>
                </c:pt>
                <c:pt idx="521">
                  <c:v>130</c:v>
                </c:pt>
                <c:pt idx="522">
                  <c:v>125</c:v>
                </c:pt>
                <c:pt idx="523">
                  <c:v>#N/A</c:v>
                </c:pt>
                <c:pt idx="524">
                  <c:v>125</c:v>
                </c:pt>
                <c:pt idx="525">
                  <c:v>125</c:v>
                </c:pt>
                <c:pt idx="526">
                  <c:v>82</c:v>
                </c:pt>
                <c:pt idx="527">
                  <c:v>105</c:v>
                </c:pt>
                <c:pt idx="528">
                  <c:v>188</c:v>
                </c:pt>
                <c:pt idx="529">
                  <c:v>125</c:v>
                </c:pt>
                <c:pt idx="530">
                  <c:v>106</c:v>
                </c:pt>
                <c:pt idx="531">
                  <c:v>125</c:v>
                </c:pt>
                <c:pt idx="532">
                  <c:v>65</c:v>
                </c:pt>
                <c:pt idx="533">
                  <c:v>125</c:v>
                </c:pt>
                <c:pt idx="534">
                  <c:v>56</c:v>
                </c:pt>
                <c:pt idx="535">
                  <c:v>#N/A</c:v>
                </c:pt>
                <c:pt idx="536">
                  <c:v>125</c:v>
                </c:pt>
                <c:pt idx="537">
                  <c:v>125</c:v>
                </c:pt>
                <c:pt idx="538">
                  <c:v>210</c:v>
                </c:pt>
                <c:pt idx="539">
                  <c:v>#N/A</c:v>
                </c:pt>
                <c:pt idx="540">
                  <c:v>#N/A</c:v>
                </c:pt>
                <c:pt idx="541">
                  <c:v>#N/A</c:v>
                </c:pt>
                <c:pt idx="542">
                  <c:v>#N/A</c:v>
                </c:pt>
                <c:pt idx="543">
                  <c:v>56</c:v>
                </c:pt>
                <c:pt idx="544">
                  <c:v>76</c:v>
                </c:pt>
                <c:pt idx="545">
                  <c:v>#N/A</c:v>
                </c:pt>
                <c:pt idx="546">
                  <c:v>#N/A</c:v>
                </c:pt>
                <c:pt idx="547">
                  <c:v>166</c:v>
                </c:pt>
                <c:pt idx="548">
                  <c:v>67</c:v>
                </c:pt>
                <c:pt idx="549">
                  <c:v>125</c:v>
                </c:pt>
                <c:pt idx="550">
                  <c:v>125</c:v>
                </c:pt>
                <c:pt idx="551">
                  <c:v>106</c:v>
                </c:pt>
                <c:pt idx="552">
                  <c:v>125</c:v>
                </c:pt>
                <c:pt idx="553">
                  <c:v>44</c:v>
                </c:pt>
                <c:pt idx="554">
                  <c:v>115</c:v>
                </c:pt>
                <c:pt idx="555">
                  <c:v>215</c:v>
                </c:pt>
                <c:pt idx="556">
                  <c:v>125</c:v>
                </c:pt>
                <c:pt idx="557">
                  <c:v>125</c:v>
                </c:pt>
                <c:pt idx="558">
                  <c:v>125</c:v>
                </c:pt>
                <c:pt idx="559">
                  <c:v>125</c:v>
                </c:pt>
                <c:pt idx="560">
                  <c:v>#N/A</c:v>
                </c:pt>
                <c:pt idx="561">
                  <c:v>#N/A</c:v>
                </c:pt>
                <c:pt idx="562">
                  <c:v>77</c:v>
                </c:pt>
                <c:pt idx="563">
                  <c:v>54</c:v>
                </c:pt>
                <c:pt idx="564">
                  <c:v>125</c:v>
                </c:pt>
                <c:pt idx="565">
                  <c:v>88</c:v>
                </c:pt>
                <c:pt idx="566">
                  <c:v>18</c:v>
                </c:pt>
                <c:pt idx="567">
                  <c:v>126</c:v>
                </c:pt>
                <c:pt idx="568">
                  <c:v>126</c:v>
                </c:pt>
                <c:pt idx="569">
                  <c:v>#N/A</c:v>
                </c:pt>
                <c:pt idx="570">
                  <c:v>125</c:v>
                </c:pt>
                <c:pt idx="571">
                  <c:v>125</c:v>
                </c:pt>
                <c:pt idx="572">
                  <c:v>44</c:v>
                </c:pt>
                <c:pt idx="573">
                  <c:v>120</c:v>
                </c:pt>
                <c:pt idx="574">
                  <c:v>330</c:v>
                </c:pt>
                <c:pt idx="575">
                  <c:v>63</c:v>
                </c:pt>
                <c:pt idx="576">
                  <c:v>130</c:v>
                </c:pt>
                <c:pt idx="577">
                  <c:v>#N/A</c:v>
                </c:pt>
                <c:pt idx="578">
                  <c:v>125</c:v>
                </c:pt>
                <c:pt idx="579">
                  <c:v>#N/A</c:v>
                </c:pt>
                <c:pt idx="580">
                  <c:v>#N/A</c:v>
                </c:pt>
                <c:pt idx="581">
                  <c:v>125</c:v>
                </c:pt>
                <c:pt idx="582">
                  <c:v>125</c:v>
                </c:pt>
                <c:pt idx="583">
                  <c:v>125</c:v>
                </c:pt>
                <c:pt idx="584">
                  <c:v>#N/A</c:v>
                </c:pt>
                <c:pt idx="585">
                  <c:v>125</c:v>
                </c:pt>
                <c:pt idx="586">
                  <c:v>#N/A</c:v>
                </c:pt>
                <c:pt idx="587">
                  <c:v>125</c:v>
                </c:pt>
                <c:pt idx="588">
                  <c:v>#N/A</c:v>
                </c:pt>
                <c:pt idx="589">
                  <c:v>125</c:v>
                </c:pt>
                <c:pt idx="590">
                  <c:v>#N/A</c:v>
                </c:pt>
                <c:pt idx="591">
                  <c:v>140</c:v>
                </c:pt>
                <c:pt idx="592">
                  <c:v>#N/A</c:v>
                </c:pt>
                <c:pt idx="593">
                  <c:v>115</c:v>
                </c:pt>
                <c:pt idx="594">
                  <c:v>230</c:v>
                </c:pt>
                <c:pt idx="595">
                  <c:v>#N/A</c:v>
                </c:pt>
                <c:pt idx="596">
                  <c:v>125</c:v>
                </c:pt>
                <c:pt idx="597">
                  <c:v>25</c:v>
                </c:pt>
                <c:pt idx="598">
                  <c:v>#N/A</c:v>
                </c:pt>
                <c:pt idx="599">
                  <c:v>120</c:v>
                </c:pt>
                <c:pt idx="600">
                  <c:v>125</c:v>
                </c:pt>
                <c:pt idx="601">
                  <c:v>125</c:v>
                </c:pt>
                <c:pt idx="602">
                  <c:v>125</c:v>
                </c:pt>
                <c:pt idx="603">
                  <c:v>#N/A</c:v>
                </c:pt>
                <c:pt idx="604">
                  <c:v>#N/A</c:v>
                </c:pt>
                <c:pt idx="605">
                  <c:v>125</c:v>
                </c:pt>
                <c:pt idx="606">
                  <c:v>#N/A</c:v>
                </c:pt>
                <c:pt idx="607">
                  <c:v>41</c:v>
                </c:pt>
                <c:pt idx="608">
                  <c:v>272</c:v>
                </c:pt>
                <c:pt idx="609">
                  <c:v>182</c:v>
                </c:pt>
                <c:pt idx="610">
                  <c:v>158</c:v>
                </c:pt>
                <c:pt idx="611">
                  <c:v>#N/A</c:v>
                </c:pt>
                <c:pt idx="612">
                  <c:v>#N/A</c:v>
                </c:pt>
                <c:pt idx="613">
                  <c:v>125</c:v>
                </c:pt>
                <c:pt idx="614">
                  <c:v>#N/A</c:v>
                </c:pt>
                <c:pt idx="615">
                  <c:v>125</c:v>
                </c:pt>
                <c:pt idx="616">
                  <c:v>125</c:v>
                </c:pt>
                <c:pt idx="617">
                  <c:v>15</c:v>
                </c:pt>
                <c:pt idx="618">
                  <c:v>#N/A</c:v>
                </c:pt>
                <c:pt idx="619">
                  <c:v>#N/A</c:v>
                </c:pt>
                <c:pt idx="620">
                  <c:v>160</c:v>
                </c:pt>
                <c:pt idx="621">
                  <c:v>125</c:v>
                </c:pt>
                <c:pt idx="622">
                  <c:v>125</c:v>
                </c:pt>
                <c:pt idx="623">
                  <c:v>115</c:v>
                </c:pt>
                <c:pt idx="624">
                  <c:v>125</c:v>
                </c:pt>
                <c:pt idx="625">
                  <c:v>54</c:v>
                </c:pt>
                <c:pt idx="626">
                  <c:v>125</c:v>
                </c:pt>
                <c:pt idx="627">
                  <c:v>125</c:v>
                </c:pt>
                <c:pt idx="628">
                  <c:v>125</c:v>
                </c:pt>
                <c:pt idx="629">
                  <c:v>125</c:v>
                </c:pt>
                <c:pt idx="630">
                  <c:v>#N/A</c:v>
                </c:pt>
                <c:pt idx="631">
                  <c:v>90</c:v>
                </c:pt>
                <c:pt idx="632">
                  <c:v>125</c:v>
                </c:pt>
                <c:pt idx="633">
                  <c:v>183</c:v>
                </c:pt>
                <c:pt idx="634">
                  <c:v>125</c:v>
                </c:pt>
                <c:pt idx="635">
                  <c:v>#N/A</c:v>
                </c:pt>
                <c:pt idx="636">
                  <c:v>125</c:v>
                </c:pt>
                <c:pt idx="637">
                  <c:v>66</c:v>
                </c:pt>
                <c:pt idx="638">
                  <c:v>#N/A</c:v>
                </c:pt>
                <c:pt idx="639">
                  <c:v>46</c:v>
                </c:pt>
                <c:pt idx="640">
                  <c:v>105</c:v>
                </c:pt>
                <c:pt idx="641">
                  <c:v>125</c:v>
                </c:pt>
                <c:pt idx="642">
                  <c:v>#N/A</c:v>
                </c:pt>
                <c:pt idx="643">
                  <c:v>125</c:v>
                </c:pt>
                <c:pt idx="644">
                  <c:v>152</c:v>
                </c:pt>
                <c:pt idx="645">
                  <c:v>440</c:v>
                </c:pt>
                <c:pt idx="646">
                  <c:v>#N/A</c:v>
                </c:pt>
                <c:pt idx="647">
                  <c:v>#N/A</c:v>
                </c:pt>
                <c:pt idx="648">
                  <c:v>#N/A</c:v>
                </c:pt>
                <c:pt idx="649">
                  <c:v>125</c:v>
                </c:pt>
                <c:pt idx="650">
                  <c:v>100</c:v>
                </c:pt>
                <c:pt idx="651">
                  <c:v>106</c:v>
                </c:pt>
                <c:pt idx="652">
                  <c:v>77</c:v>
                </c:pt>
                <c:pt idx="653">
                  <c:v>125</c:v>
                </c:pt>
                <c:pt idx="654">
                  <c:v>135</c:v>
                </c:pt>
                <c:pt idx="655">
                  <c:v>#N/A</c:v>
                </c:pt>
                <c:pt idx="656">
                  <c:v>90</c:v>
                </c:pt>
                <c:pt idx="657">
                  <c:v>200</c:v>
                </c:pt>
                <c:pt idx="658">
                  <c:v>125</c:v>
                </c:pt>
                <c:pt idx="659">
                  <c:v>#N/A</c:v>
                </c:pt>
                <c:pt idx="660">
                  <c:v>125</c:v>
                </c:pt>
                <c:pt idx="661">
                  <c:v>#N/A</c:v>
                </c:pt>
                <c:pt idx="662">
                  <c:v>#N/A</c:v>
                </c:pt>
                <c:pt idx="663">
                  <c:v>#N/A</c:v>
                </c:pt>
                <c:pt idx="664">
                  <c:v>#N/A</c:v>
                </c:pt>
                <c:pt idx="665">
                  <c:v>132</c:v>
                </c:pt>
                <c:pt idx="666">
                  <c:v>#N/A</c:v>
                </c:pt>
                <c:pt idx="667">
                  <c:v>#N/A</c:v>
                </c:pt>
                <c:pt idx="668">
                  <c:v>190</c:v>
                </c:pt>
                <c:pt idx="669">
                  <c:v>100</c:v>
                </c:pt>
                <c:pt idx="670">
                  <c:v>168</c:v>
                </c:pt>
                <c:pt idx="671">
                  <c:v>125</c:v>
                </c:pt>
                <c:pt idx="672">
                  <c:v>49</c:v>
                </c:pt>
                <c:pt idx="673">
                  <c:v>240</c:v>
                </c:pt>
                <c:pt idx="674">
                  <c:v>125</c:v>
                </c:pt>
                <c:pt idx="675">
                  <c:v>#N/A</c:v>
                </c:pt>
                <c:pt idx="676">
                  <c:v>#N/A</c:v>
                </c:pt>
                <c:pt idx="677">
                  <c:v>125</c:v>
                </c:pt>
                <c:pt idx="678">
                  <c:v>#N/A</c:v>
                </c:pt>
                <c:pt idx="679">
                  <c:v>265</c:v>
                </c:pt>
                <c:pt idx="680">
                  <c:v>45</c:v>
                </c:pt>
                <c:pt idx="681">
                  <c:v>#N/A</c:v>
                </c:pt>
                <c:pt idx="682">
                  <c:v>105</c:v>
                </c:pt>
                <c:pt idx="683">
                  <c:v>#N/A</c:v>
                </c:pt>
                <c:pt idx="684">
                  <c:v>125</c:v>
                </c:pt>
                <c:pt idx="685">
                  <c:v>205</c:v>
                </c:pt>
                <c:pt idx="686">
                  <c:v>125</c:v>
                </c:pt>
                <c:pt idx="687">
                  <c:v>125</c:v>
                </c:pt>
                <c:pt idx="688">
                  <c:v>180</c:v>
                </c:pt>
                <c:pt idx="689">
                  <c:v>#N/A</c:v>
                </c:pt>
                <c:pt idx="690">
                  <c:v>125</c:v>
                </c:pt>
                <c:pt idx="691">
                  <c:v>#N/A</c:v>
                </c:pt>
                <c:pt idx="692">
                  <c:v>95</c:v>
                </c:pt>
                <c:pt idx="693">
                  <c:v>#N/A</c:v>
                </c:pt>
                <c:pt idx="694">
                  <c:v>125</c:v>
                </c:pt>
                <c:pt idx="695">
                  <c:v>#N/A</c:v>
                </c:pt>
                <c:pt idx="696">
                  <c:v>#N/A</c:v>
                </c:pt>
                <c:pt idx="697">
                  <c:v>125</c:v>
                </c:pt>
                <c:pt idx="698">
                  <c:v>155</c:v>
                </c:pt>
                <c:pt idx="699">
                  <c:v>125</c:v>
                </c:pt>
                <c:pt idx="700">
                  <c:v>200</c:v>
                </c:pt>
                <c:pt idx="701">
                  <c:v>#N/A</c:v>
                </c:pt>
                <c:pt idx="702">
                  <c:v>#N/A</c:v>
                </c:pt>
                <c:pt idx="703">
                  <c:v>125</c:v>
                </c:pt>
                <c:pt idx="704">
                  <c:v>100</c:v>
                </c:pt>
                <c:pt idx="705">
                  <c:v>125</c:v>
                </c:pt>
                <c:pt idx="706">
                  <c:v>#N/A</c:v>
                </c:pt>
                <c:pt idx="707">
                  <c:v>335</c:v>
                </c:pt>
                <c:pt idx="708">
                  <c:v>#N/A</c:v>
                </c:pt>
                <c:pt idx="709">
                  <c:v>#N/A</c:v>
                </c:pt>
                <c:pt idx="710">
                  <c:v>387</c:v>
                </c:pt>
                <c:pt idx="711">
                  <c:v>22</c:v>
                </c:pt>
                <c:pt idx="712">
                  <c:v>#N/A</c:v>
                </c:pt>
                <c:pt idx="713">
                  <c:v>291</c:v>
                </c:pt>
                <c:pt idx="714">
                  <c:v>125</c:v>
                </c:pt>
                <c:pt idx="715">
                  <c:v>#N/A</c:v>
                </c:pt>
                <c:pt idx="716">
                  <c:v>#N/A</c:v>
                </c:pt>
                <c:pt idx="717">
                  <c:v>125</c:v>
                </c:pt>
                <c:pt idx="718">
                  <c:v>178</c:v>
                </c:pt>
                <c:pt idx="719">
                  <c:v>#N/A</c:v>
                </c:pt>
                <c:pt idx="720">
                  <c:v>125</c:v>
                </c:pt>
                <c:pt idx="721">
                  <c:v>200</c:v>
                </c:pt>
                <c:pt idx="722">
                  <c:v>#N/A</c:v>
                </c:pt>
                <c:pt idx="723">
                  <c:v>105</c:v>
                </c:pt>
                <c:pt idx="724">
                  <c:v>125</c:v>
                </c:pt>
                <c:pt idx="725">
                  <c:v>125</c:v>
                </c:pt>
                <c:pt idx="726">
                  <c:v>180</c:v>
                </c:pt>
                <c:pt idx="727">
                  <c:v>125</c:v>
                </c:pt>
                <c:pt idx="728">
                  <c:v>125</c:v>
                </c:pt>
                <c:pt idx="729">
                  <c:v>125</c:v>
                </c:pt>
                <c:pt idx="730">
                  <c:v>#N/A</c:v>
                </c:pt>
                <c:pt idx="731">
                  <c:v>#N/A</c:v>
                </c:pt>
                <c:pt idx="732">
                  <c:v>#N/A</c:v>
                </c:pt>
                <c:pt idx="733">
                  <c:v>165</c:v>
                </c:pt>
                <c:pt idx="734">
                  <c:v>125</c:v>
                </c:pt>
                <c:pt idx="735">
                  <c:v>125</c:v>
                </c:pt>
                <c:pt idx="736">
                  <c:v>120</c:v>
                </c:pt>
                <c:pt idx="737">
                  <c:v>125</c:v>
                </c:pt>
                <c:pt idx="738">
                  <c:v>160</c:v>
                </c:pt>
                <c:pt idx="739">
                  <c:v>#N/A</c:v>
                </c:pt>
                <c:pt idx="740">
                  <c:v>#N/A</c:v>
                </c:pt>
                <c:pt idx="741">
                  <c:v>94</c:v>
                </c:pt>
                <c:pt idx="742">
                  <c:v>116</c:v>
                </c:pt>
                <c:pt idx="743">
                  <c:v>#N/A</c:v>
                </c:pt>
                <c:pt idx="744">
                  <c:v>140</c:v>
                </c:pt>
                <c:pt idx="745">
                  <c:v>105</c:v>
                </c:pt>
                <c:pt idx="746">
                  <c:v>#N/A</c:v>
                </c:pt>
                <c:pt idx="747">
                  <c:v>57</c:v>
                </c:pt>
                <c:pt idx="748">
                  <c:v>#N/A</c:v>
                </c:pt>
                <c:pt idx="749">
                  <c:v>#N/A</c:v>
                </c:pt>
                <c:pt idx="750">
                  <c:v>#N/A</c:v>
                </c:pt>
                <c:pt idx="751">
                  <c:v>74</c:v>
                </c:pt>
                <c:pt idx="752">
                  <c:v>125</c:v>
                </c:pt>
                <c:pt idx="753">
                  <c:v>#N/A</c:v>
                </c:pt>
                <c:pt idx="754">
                  <c:v>#N/A</c:v>
                </c:pt>
                <c:pt idx="755">
                  <c:v>#N/A</c:v>
                </c:pt>
                <c:pt idx="756">
                  <c:v>125</c:v>
                </c:pt>
                <c:pt idx="757">
                  <c:v>#N/A</c:v>
                </c:pt>
                <c:pt idx="758">
                  <c:v>125</c:v>
                </c:pt>
                <c:pt idx="759">
                  <c:v>#N/A</c:v>
                </c:pt>
                <c:pt idx="760">
                  <c:v>16</c:v>
                </c:pt>
                <c:pt idx="761">
                  <c:v>#N/A</c:v>
                </c:pt>
                <c:pt idx="762">
                  <c:v>125</c:v>
                </c:pt>
                <c:pt idx="763">
                  <c:v>180</c:v>
                </c:pt>
                <c:pt idx="764">
                  <c:v>125</c:v>
                </c:pt>
                <c:pt idx="765">
                  <c:v>112</c:v>
                </c:pt>
                <c:pt idx="766">
                  <c:v>#N/A</c:v>
                </c:pt>
                <c:pt idx="767">
                  <c:v>125</c:v>
                </c:pt>
              </c:numCache>
            </c:numRef>
          </c:yVal>
          <c:smooth val="0"/>
          <c:extLst>
            <c:ext xmlns:c16="http://schemas.microsoft.com/office/drawing/2014/chart" uri="{C3380CC4-5D6E-409C-BE32-E72D297353CC}">
              <c16:uniqueId val="{00000000-6627-4002-8986-E332DB8C00B9}"/>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diabetes!$B$2:$B$769</c:f>
              <c:numCache>
                <c:formatCode>General</c:formatCode>
                <c:ptCount val="768"/>
                <c:pt idx="0">
                  <c:v>148</c:v>
                </c:pt>
                <c:pt idx="1">
                  <c:v>85</c:v>
                </c:pt>
                <c:pt idx="2">
                  <c:v>183</c:v>
                </c:pt>
                <c:pt idx="3">
                  <c:v>89</c:v>
                </c:pt>
                <c:pt idx="4">
                  <c:v>137</c:v>
                </c:pt>
                <c:pt idx="5">
                  <c:v>116</c:v>
                </c:pt>
                <c:pt idx="6">
                  <c:v>78</c:v>
                </c:pt>
                <c:pt idx="7">
                  <c:v>115</c:v>
                </c:pt>
                <c:pt idx="8">
                  <c:v>197</c:v>
                </c:pt>
                <c:pt idx="9">
                  <c:v>125</c:v>
                </c:pt>
                <c:pt idx="10">
                  <c:v>110</c:v>
                </c:pt>
                <c:pt idx="11">
                  <c:v>168</c:v>
                </c:pt>
                <c:pt idx="12">
                  <c:v>139</c:v>
                </c:pt>
                <c:pt idx="13">
                  <c:v>189</c:v>
                </c:pt>
                <c:pt idx="14">
                  <c:v>166</c:v>
                </c:pt>
                <c:pt idx="15">
                  <c:v>100</c:v>
                </c:pt>
                <c:pt idx="16">
                  <c:v>118</c:v>
                </c:pt>
                <c:pt idx="17">
                  <c:v>107</c:v>
                </c:pt>
                <c:pt idx="18">
                  <c:v>103</c:v>
                </c:pt>
                <c:pt idx="19">
                  <c:v>115</c:v>
                </c:pt>
                <c:pt idx="20">
                  <c:v>126</c:v>
                </c:pt>
                <c:pt idx="21">
                  <c:v>99</c:v>
                </c:pt>
                <c:pt idx="22">
                  <c:v>196</c:v>
                </c:pt>
                <c:pt idx="23">
                  <c:v>119</c:v>
                </c:pt>
                <c:pt idx="24">
                  <c:v>143</c:v>
                </c:pt>
                <c:pt idx="25">
                  <c:v>125</c:v>
                </c:pt>
                <c:pt idx="26">
                  <c:v>147</c:v>
                </c:pt>
                <c:pt idx="27">
                  <c:v>97</c:v>
                </c:pt>
                <c:pt idx="28">
                  <c:v>145</c:v>
                </c:pt>
                <c:pt idx="29">
                  <c:v>117</c:v>
                </c:pt>
                <c:pt idx="30">
                  <c:v>109</c:v>
                </c:pt>
                <c:pt idx="31">
                  <c:v>158</c:v>
                </c:pt>
                <c:pt idx="32">
                  <c:v>88</c:v>
                </c:pt>
                <c:pt idx="33">
                  <c:v>92</c:v>
                </c:pt>
                <c:pt idx="34">
                  <c:v>122</c:v>
                </c:pt>
                <c:pt idx="35">
                  <c:v>103</c:v>
                </c:pt>
                <c:pt idx="36">
                  <c:v>138</c:v>
                </c:pt>
                <c:pt idx="37">
                  <c:v>102</c:v>
                </c:pt>
                <c:pt idx="38">
                  <c:v>90</c:v>
                </c:pt>
                <c:pt idx="39">
                  <c:v>111</c:v>
                </c:pt>
                <c:pt idx="40">
                  <c:v>180</c:v>
                </c:pt>
                <c:pt idx="41">
                  <c:v>133</c:v>
                </c:pt>
                <c:pt idx="42">
                  <c:v>106</c:v>
                </c:pt>
                <c:pt idx="43">
                  <c:v>171</c:v>
                </c:pt>
                <c:pt idx="44">
                  <c:v>159</c:v>
                </c:pt>
                <c:pt idx="45">
                  <c:v>180</c:v>
                </c:pt>
                <c:pt idx="46">
                  <c:v>146</c:v>
                </c:pt>
                <c:pt idx="47">
                  <c:v>71</c:v>
                </c:pt>
                <c:pt idx="48">
                  <c:v>103</c:v>
                </c:pt>
                <c:pt idx="49">
                  <c:v>105</c:v>
                </c:pt>
                <c:pt idx="50">
                  <c:v>103</c:v>
                </c:pt>
                <c:pt idx="51">
                  <c:v>101</c:v>
                </c:pt>
                <c:pt idx="52">
                  <c:v>88</c:v>
                </c:pt>
                <c:pt idx="53">
                  <c:v>176</c:v>
                </c:pt>
                <c:pt idx="54">
                  <c:v>150</c:v>
                </c:pt>
                <c:pt idx="55">
                  <c:v>73</c:v>
                </c:pt>
                <c:pt idx="56">
                  <c:v>187</c:v>
                </c:pt>
                <c:pt idx="57">
                  <c:v>100</c:v>
                </c:pt>
                <c:pt idx="58">
                  <c:v>146</c:v>
                </c:pt>
                <c:pt idx="59">
                  <c:v>105</c:v>
                </c:pt>
                <c:pt idx="60">
                  <c:v>84</c:v>
                </c:pt>
                <c:pt idx="61">
                  <c:v>133</c:v>
                </c:pt>
                <c:pt idx="62">
                  <c:v>44</c:v>
                </c:pt>
                <c:pt idx="63">
                  <c:v>141</c:v>
                </c:pt>
                <c:pt idx="64">
                  <c:v>114</c:v>
                </c:pt>
                <c:pt idx="65">
                  <c:v>99</c:v>
                </c:pt>
                <c:pt idx="66">
                  <c:v>109</c:v>
                </c:pt>
                <c:pt idx="67">
                  <c:v>109</c:v>
                </c:pt>
                <c:pt idx="68">
                  <c:v>95</c:v>
                </c:pt>
                <c:pt idx="69">
                  <c:v>146</c:v>
                </c:pt>
                <c:pt idx="70">
                  <c:v>100</c:v>
                </c:pt>
                <c:pt idx="71">
                  <c:v>139</c:v>
                </c:pt>
                <c:pt idx="72">
                  <c:v>126</c:v>
                </c:pt>
                <c:pt idx="73">
                  <c:v>129</c:v>
                </c:pt>
                <c:pt idx="74">
                  <c:v>79</c:v>
                </c:pt>
                <c:pt idx="75">
                  <c:v>117</c:v>
                </c:pt>
                <c:pt idx="76">
                  <c:v>62</c:v>
                </c:pt>
                <c:pt idx="77">
                  <c:v>95</c:v>
                </c:pt>
                <c:pt idx="78">
                  <c:v>131</c:v>
                </c:pt>
                <c:pt idx="79">
                  <c:v>112</c:v>
                </c:pt>
                <c:pt idx="80">
                  <c:v>113</c:v>
                </c:pt>
                <c:pt idx="81">
                  <c:v>74</c:v>
                </c:pt>
                <c:pt idx="82">
                  <c:v>83</c:v>
                </c:pt>
                <c:pt idx="83">
                  <c:v>101</c:v>
                </c:pt>
                <c:pt idx="84">
                  <c:v>137</c:v>
                </c:pt>
                <c:pt idx="85">
                  <c:v>110</c:v>
                </c:pt>
                <c:pt idx="86">
                  <c:v>106</c:v>
                </c:pt>
                <c:pt idx="87">
                  <c:v>100</c:v>
                </c:pt>
                <c:pt idx="88">
                  <c:v>136</c:v>
                </c:pt>
                <c:pt idx="89">
                  <c:v>107</c:v>
                </c:pt>
                <c:pt idx="90">
                  <c:v>80</c:v>
                </c:pt>
                <c:pt idx="91">
                  <c:v>123</c:v>
                </c:pt>
                <c:pt idx="92">
                  <c:v>81</c:v>
                </c:pt>
                <c:pt idx="93">
                  <c:v>134</c:v>
                </c:pt>
                <c:pt idx="94">
                  <c:v>142</c:v>
                </c:pt>
                <c:pt idx="95">
                  <c:v>144</c:v>
                </c:pt>
                <c:pt idx="96">
                  <c:v>92</c:v>
                </c:pt>
                <c:pt idx="97">
                  <c:v>71</c:v>
                </c:pt>
                <c:pt idx="98">
                  <c:v>93</c:v>
                </c:pt>
                <c:pt idx="99">
                  <c:v>122</c:v>
                </c:pt>
                <c:pt idx="100">
                  <c:v>163</c:v>
                </c:pt>
                <c:pt idx="101">
                  <c:v>151</c:v>
                </c:pt>
                <c:pt idx="102">
                  <c:v>125</c:v>
                </c:pt>
                <c:pt idx="103">
                  <c:v>81</c:v>
                </c:pt>
                <c:pt idx="104">
                  <c:v>85</c:v>
                </c:pt>
                <c:pt idx="105">
                  <c:v>126</c:v>
                </c:pt>
                <c:pt idx="106">
                  <c:v>96</c:v>
                </c:pt>
                <c:pt idx="107">
                  <c:v>144</c:v>
                </c:pt>
                <c:pt idx="108">
                  <c:v>83</c:v>
                </c:pt>
                <c:pt idx="109">
                  <c:v>95</c:v>
                </c:pt>
                <c:pt idx="110">
                  <c:v>171</c:v>
                </c:pt>
                <c:pt idx="111">
                  <c:v>155</c:v>
                </c:pt>
                <c:pt idx="112">
                  <c:v>89</c:v>
                </c:pt>
                <c:pt idx="113">
                  <c:v>76</c:v>
                </c:pt>
                <c:pt idx="114">
                  <c:v>160</c:v>
                </c:pt>
                <c:pt idx="115">
                  <c:v>146</c:v>
                </c:pt>
                <c:pt idx="116">
                  <c:v>124</c:v>
                </c:pt>
                <c:pt idx="117">
                  <c:v>78</c:v>
                </c:pt>
                <c:pt idx="118">
                  <c:v>97</c:v>
                </c:pt>
                <c:pt idx="119">
                  <c:v>99</c:v>
                </c:pt>
                <c:pt idx="120">
                  <c:v>162</c:v>
                </c:pt>
                <c:pt idx="121">
                  <c:v>111</c:v>
                </c:pt>
                <c:pt idx="122">
                  <c:v>107</c:v>
                </c:pt>
                <c:pt idx="123">
                  <c:v>132</c:v>
                </c:pt>
                <c:pt idx="124">
                  <c:v>113</c:v>
                </c:pt>
                <c:pt idx="125">
                  <c:v>88</c:v>
                </c:pt>
                <c:pt idx="126">
                  <c:v>120</c:v>
                </c:pt>
                <c:pt idx="127">
                  <c:v>118</c:v>
                </c:pt>
                <c:pt idx="128">
                  <c:v>117</c:v>
                </c:pt>
                <c:pt idx="129">
                  <c:v>105</c:v>
                </c:pt>
                <c:pt idx="130">
                  <c:v>173</c:v>
                </c:pt>
                <c:pt idx="131">
                  <c:v>122</c:v>
                </c:pt>
                <c:pt idx="132">
                  <c:v>170</c:v>
                </c:pt>
                <c:pt idx="133">
                  <c:v>84</c:v>
                </c:pt>
                <c:pt idx="134">
                  <c:v>96</c:v>
                </c:pt>
                <c:pt idx="135">
                  <c:v>125</c:v>
                </c:pt>
                <c:pt idx="136">
                  <c:v>100</c:v>
                </c:pt>
                <c:pt idx="137">
                  <c:v>93</c:v>
                </c:pt>
                <c:pt idx="138">
                  <c:v>129</c:v>
                </c:pt>
                <c:pt idx="139">
                  <c:v>105</c:v>
                </c:pt>
                <c:pt idx="140">
                  <c:v>128</c:v>
                </c:pt>
                <c:pt idx="141">
                  <c:v>106</c:v>
                </c:pt>
                <c:pt idx="142">
                  <c:v>108</c:v>
                </c:pt>
                <c:pt idx="143">
                  <c:v>108</c:v>
                </c:pt>
                <c:pt idx="144">
                  <c:v>154</c:v>
                </c:pt>
                <c:pt idx="145">
                  <c:v>102</c:v>
                </c:pt>
                <c:pt idx="146">
                  <c:v>57</c:v>
                </c:pt>
                <c:pt idx="147">
                  <c:v>106</c:v>
                </c:pt>
                <c:pt idx="148">
                  <c:v>147</c:v>
                </c:pt>
                <c:pt idx="149">
                  <c:v>90</c:v>
                </c:pt>
                <c:pt idx="150">
                  <c:v>136</c:v>
                </c:pt>
                <c:pt idx="151">
                  <c:v>114</c:v>
                </c:pt>
                <c:pt idx="152">
                  <c:v>156</c:v>
                </c:pt>
                <c:pt idx="153">
                  <c:v>153</c:v>
                </c:pt>
                <c:pt idx="154">
                  <c:v>188</c:v>
                </c:pt>
                <c:pt idx="155">
                  <c:v>152</c:v>
                </c:pt>
                <c:pt idx="156">
                  <c:v>99</c:v>
                </c:pt>
                <c:pt idx="157">
                  <c:v>109</c:v>
                </c:pt>
                <c:pt idx="158">
                  <c:v>88</c:v>
                </c:pt>
                <c:pt idx="159">
                  <c:v>163</c:v>
                </c:pt>
                <c:pt idx="160">
                  <c:v>151</c:v>
                </c:pt>
                <c:pt idx="161">
                  <c:v>102</c:v>
                </c:pt>
                <c:pt idx="162">
                  <c:v>114</c:v>
                </c:pt>
                <c:pt idx="163">
                  <c:v>100</c:v>
                </c:pt>
                <c:pt idx="164">
                  <c:v>131</c:v>
                </c:pt>
                <c:pt idx="165">
                  <c:v>104</c:v>
                </c:pt>
                <c:pt idx="166">
                  <c:v>148</c:v>
                </c:pt>
                <c:pt idx="167">
                  <c:v>120</c:v>
                </c:pt>
                <c:pt idx="168">
                  <c:v>110</c:v>
                </c:pt>
                <c:pt idx="169">
                  <c:v>111</c:v>
                </c:pt>
                <c:pt idx="170">
                  <c:v>102</c:v>
                </c:pt>
                <c:pt idx="171">
                  <c:v>134</c:v>
                </c:pt>
                <c:pt idx="172">
                  <c:v>87</c:v>
                </c:pt>
                <c:pt idx="173">
                  <c:v>79</c:v>
                </c:pt>
                <c:pt idx="174">
                  <c:v>75</c:v>
                </c:pt>
                <c:pt idx="175">
                  <c:v>179</c:v>
                </c:pt>
                <c:pt idx="176">
                  <c:v>85</c:v>
                </c:pt>
                <c:pt idx="177">
                  <c:v>129</c:v>
                </c:pt>
                <c:pt idx="178">
                  <c:v>143</c:v>
                </c:pt>
                <c:pt idx="179">
                  <c:v>130</c:v>
                </c:pt>
                <c:pt idx="180">
                  <c:v>87</c:v>
                </c:pt>
                <c:pt idx="181">
                  <c:v>119</c:v>
                </c:pt>
                <c:pt idx="182">
                  <c:v>117</c:v>
                </c:pt>
                <c:pt idx="183">
                  <c:v>73</c:v>
                </c:pt>
                <c:pt idx="184">
                  <c:v>141</c:v>
                </c:pt>
                <c:pt idx="185">
                  <c:v>194</c:v>
                </c:pt>
                <c:pt idx="186">
                  <c:v>181</c:v>
                </c:pt>
                <c:pt idx="187">
                  <c:v>128</c:v>
                </c:pt>
                <c:pt idx="188">
                  <c:v>109</c:v>
                </c:pt>
                <c:pt idx="189">
                  <c:v>139</c:v>
                </c:pt>
                <c:pt idx="190">
                  <c:v>111</c:v>
                </c:pt>
                <c:pt idx="191">
                  <c:v>123</c:v>
                </c:pt>
                <c:pt idx="192">
                  <c:v>159</c:v>
                </c:pt>
                <c:pt idx="193">
                  <c:v>135</c:v>
                </c:pt>
                <c:pt idx="194">
                  <c:v>85</c:v>
                </c:pt>
                <c:pt idx="195">
                  <c:v>158</c:v>
                </c:pt>
                <c:pt idx="196">
                  <c:v>105</c:v>
                </c:pt>
                <c:pt idx="197">
                  <c:v>107</c:v>
                </c:pt>
                <c:pt idx="198">
                  <c:v>109</c:v>
                </c:pt>
                <c:pt idx="199">
                  <c:v>148</c:v>
                </c:pt>
                <c:pt idx="200">
                  <c:v>113</c:v>
                </c:pt>
                <c:pt idx="201">
                  <c:v>138</c:v>
                </c:pt>
                <c:pt idx="202">
                  <c:v>108</c:v>
                </c:pt>
                <c:pt idx="203">
                  <c:v>99</c:v>
                </c:pt>
                <c:pt idx="204">
                  <c:v>103</c:v>
                </c:pt>
                <c:pt idx="205">
                  <c:v>111</c:v>
                </c:pt>
                <c:pt idx="206">
                  <c:v>196</c:v>
                </c:pt>
                <c:pt idx="207">
                  <c:v>162</c:v>
                </c:pt>
                <c:pt idx="208">
                  <c:v>96</c:v>
                </c:pt>
                <c:pt idx="209">
                  <c:v>184</c:v>
                </c:pt>
                <c:pt idx="210">
                  <c:v>81</c:v>
                </c:pt>
                <c:pt idx="211">
                  <c:v>147</c:v>
                </c:pt>
                <c:pt idx="212">
                  <c:v>179</c:v>
                </c:pt>
                <c:pt idx="213">
                  <c:v>140</c:v>
                </c:pt>
                <c:pt idx="214">
                  <c:v>112</c:v>
                </c:pt>
                <c:pt idx="215">
                  <c:v>151</c:v>
                </c:pt>
                <c:pt idx="216">
                  <c:v>109</c:v>
                </c:pt>
                <c:pt idx="217">
                  <c:v>125</c:v>
                </c:pt>
                <c:pt idx="218">
                  <c:v>85</c:v>
                </c:pt>
                <c:pt idx="219">
                  <c:v>112</c:v>
                </c:pt>
                <c:pt idx="220">
                  <c:v>177</c:v>
                </c:pt>
                <c:pt idx="221">
                  <c:v>158</c:v>
                </c:pt>
                <c:pt idx="222">
                  <c:v>119</c:v>
                </c:pt>
                <c:pt idx="223">
                  <c:v>142</c:v>
                </c:pt>
                <c:pt idx="224">
                  <c:v>100</c:v>
                </c:pt>
                <c:pt idx="225">
                  <c:v>87</c:v>
                </c:pt>
                <c:pt idx="226">
                  <c:v>101</c:v>
                </c:pt>
                <c:pt idx="227">
                  <c:v>162</c:v>
                </c:pt>
                <c:pt idx="228">
                  <c:v>197</c:v>
                </c:pt>
                <c:pt idx="229">
                  <c:v>117</c:v>
                </c:pt>
                <c:pt idx="230">
                  <c:v>142</c:v>
                </c:pt>
                <c:pt idx="231">
                  <c:v>134</c:v>
                </c:pt>
                <c:pt idx="232">
                  <c:v>79</c:v>
                </c:pt>
                <c:pt idx="233">
                  <c:v>122</c:v>
                </c:pt>
                <c:pt idx="234">
                  <c:v>74</c:v>
                </c:pt>
                <c:pt idx="235">
                  <c:v>171</c:v>
                </c:pt>
                <c:pt idx="236">
                  <c:v>181</c:v>
                </c:pt>
                <c:pt idx="237">
                  <c:v>179</c:v>
                </c:pt>
                <c:pt idx="238">
                  <c:v>164</c:v>
                </c:pt>
                <c:pt idx="239">
                  <c:v>104</c:v>
                </c:pt>
                <c:pt idx="240">
                  <c:v>91</c:v>
                </c:pt>
                <c:pt idx="241">
                  <c:v>91</c:v>
                </c:pt>
                <c:pt idx="242">
                  <c:v>139</c:v>
                </c:pt>
                <c:pt idx="243">
                  <c:v>119</c:v>
                </c:pt>
                <c:pt idx="244">
                  <c:v>146</c:v>
                </c:pt>
                <c:pt idx="245">
                  <c:v>184</c:v>
                </c:pt>
                <c:pt idx="246">
                  <c:v>122</c:v>
                </c:pt>
                <c:pt idx="247">
                  <c:v>165</c:v>
                </c:pt>
                <c:pt idx="248">
                  <c:v>124</c:v>
                </c:pt>
                <c:pt idx="249">
                  <c:v>111</c:v>
                </c:pt>
                <c:pt idx="250">
                  <c:v>106</c:v>
                </c:pt>
                <c:pt idx="251">
                  <c:v>129</c:v>
                </c:pt>
                <c:pt idx="252">
                  <c:v>90</c:v>
                </c:pt>
                <c:pt idx="253">
                  <c:v>86</c:v>
                </c:pt>
                <c:pt idx="254">
                  <c:v>92</c:v>
                </c:pt>
                <c:pt idx="255">
                  <c:v>113</c:v>
                </c:pt>
                <c:pt idx="256">
                  <c:v>111</c:v>
                </c:pt>
                <c:pt idx="257">
                  <c:v>114</c:v>
                </c:pt>
                <c:pt idx="258">
                  <c:v>193</c:v>
                </c:pt>
                <c:pt idx="259">
                  <c:v>155</c:v>
                </c:pt>
                <c:pt idx="260">
                  <c:v>191</c:v>
                </c:pt>
                <c:pt idx="261">
                  <c:v>141</c:v>
                </c:pt>
                <c:pt idx="262">
                  <c:v>95</c:v>
                </c:pt>
                <c:pt idx="263">
                  <c:v>142</c:v>
                </c:pt>
                <c:pt idx="264">
                  <c:v>123</c:v>
                </c:pt>
                <c:pt idx="265">
                  <c:v>96</c:v>
                </c:pt>
                <c:pt idx="266">
                  <c:v>138</c:v>
                </c:pt>
                <c:pt idx="267">
                  <c:v>128</c:v>
                </c:pt>
                <c:pt idx="268">
                  <c:v>102</c:v>
                </c:pt>
                <c:pt idx="269">
                  <c:v>146</c:v>
                </c:pt>
                <c:pt idx="270">
                  <c:v>101</c:v>
                </c:pt>
                <c:pt idx="271">
                  <c:v>108</c:v>
                </c:pt>
                <c:pt idx="272">
                  <c:v>122</c:v>
                </c:pt>
                <c:pt idx="273">
                  <c:v>71</c:v>
                </c:pt>
                <c:pt idx="274">
                  <c:v>106</c:v>
                </c:pt>
                <c:pt idx="275">
                  <c:v>100</c:v>
                </c:pt>
                <c:pt idx="276">
                  <c:v>106</c:v>
                </c:pt>
                <c:pt idx="277">
                  <c:v>104</c:v>
                </c:pt>
                <c:pt idx="278">
                  <c:v>114</c:v>
                </c:pt>
                <c:pt idx="279">
                  <c:v>108</c:v>
                </c:pt>
                <c:pt idx="280">
                  <c:v>146</c:v>
                </c:pt>
                <c:pt idx="281">
                  <c:v>129</c:v>
                </c:pt>
                <c:pt idx="282">
                  <c:v>133</c:v>
                </c:pt>
                <c:pt idx="283">
                  <c:v>161</c:v>
                </c:pt>
                <c:pt idx="284">
                  <c:v>108</c:v>
                </c:pt>
                <c:pt idx="285">
                  <c:v>136</c:v>
                </c:pt>
                <c:pt idx="286">
                  <c:v>155</c:v>
                </c:pt>
                <c:pt idx="287">
                  <c:v>119</c:v>
                </c:pt>
                <c:pt idx="288">
                  <c:v>96</c:v>
                </c:pt>
                <c:pt idx="289">
                  <c:v>108</c:v>
                </c:pt>
                <c:pt idx="290">
                  <c:v>78</c:v>
                </c:pt>
                <c:pt idx="291">
                  <c:v>107</c:v>
                </c:pt>
                <c:pt idx="292">
                  <c:v>128</c:v>
                </c:pt>
                <c:pt idx="293">
                  <c:v>128</c:v>
                </c:pt>
                <c:pt idx="294">
                  <c:v>161</c:v>
                </c:pt>
                <c:pt idx="295">
                  <c:v>151</c:v>
                </c:pt>
                <c:pt idx="296">
                  <c:v>146</c:v>
                </c:pt>
                <c:pt idx="297">
                  <c:v>126</c:v>
                </c:pt>
                <c:pt idx="298">
                  <c:v>100</c:v>
                </c:pt>
                <c:pt idx="299">
                  <c:v>112</c:v>
                </c:pt>
                <c:pt idx="300">
                  <c:v>167</c:v>
                </c:pt>
                <c:pt idx="301">
                  <c:v>144</c:v>
                </c:pt>
                <c:pt idx="302">
                  <c:v>77</c:v>
                </c:pt>
                <c:pt idx="303">
                  <c:v>115</c:v>
                </c:pt>
                <c:pt idx="304">
                  <c:v>150</c:v>
                </c:pt>
                <c:pt idx="305">
                  <c:v>120</c:v>
                </c:pt>
                <c:pt idx="306">
                  <c:v>161</c:v>
                </c:pt>
                <c:pt idx="307">
                  <c:v>137</c:v>
                </c:pt>
                <c:pt idx="308">
                  <c:v>128</c:v>
                </c:pt>
                <c:pt idx="309">
                  <c:v>124</c:v>
                </c:pt>
                <c:pt idx="310">
                  <c:v>80</c:v>
                </c:pt>
                <c:pt idx="311">
                  <c:v>106</c:v>
                </c:pt>
                <c:pt idx="312">
                  <c:v>155</c:v>
                </c:pt>
                <c:pt idx="313">
                  <c:v>113</c:v>
                </c:pt>
                <c:pt idx="314">
                  <c:v>109</c:v>
                </c:pt>
                <c:pt idx="315">
                  <c:v>112</c:v>
                </c:pt>
                <c:pt idx="316">
                  <c:v>99</c:v>
                </c:pt>
                <c:pt idx="317">
                  <c:v>182</c:v>
                </c:pt>
                <c:pt idx="318">
                  <c:v>115</c:v>
                </c:pt>
                <c:pt idx="319">
                  <c:v>194</c:v>
                </c:pt>
                <c:pt idx="320">
                  <c:v>129</c:v>
                </c:pt>
                <c:pt idx="321">
                  <c:v>112</c:v>
                </c:pt>
                <c:pt idx="322">
                  <c:v>124</c:v>
                </c:pt>
                <c:pt idx="323">
                  <c:v>152</c:v>
                </c:pt>
                <c:pt idx="324">
                  <c:v>112</c:v>
                </c:pt>
                <c:pt idx="325">
                  <c:v>157</c:v>
                </c:pt>
                <c:pt idx="326">
                  <c:v>122</c:v>
                </c:pt>
                <c:pt idx="327">
                  <c:v>179</c:v>
                </c:pt>
                <c:pt idx="328">
                  <c:v>102</c:v>
                </c:pt>
                <c:pt idx="329">
                  <c:v>105</c:v>
                </c:pt>
                <c:pt idx="330">
                  <c:v>118</c:v>
                </c:pt>
                <c:pt idx="331">
                  <c:v>87</c:v>
                </c:pt>
                <c:pt idx="332">
                  <c:v>180</c:v>
                </c:pt>
                <c:pt idx="333">
                  <c:v>106</c:v>
                </c:pt>
                <c:pt idx="334">
                  <c:v>95</c:v>
                </c:pt>
                <c:pt idx="335">
                  <c:v>165</c:v>
                </c:pt>
                <c:pt idx="336">
                  <c:v>117</c:v>
                </c:pt>
                <c:pt idx="337">
                  <c:v>115</c:v>
                </c:pt>
                <c:pt idx="338">
                  <c:v>152</c:v>
                </c:pt>
                <c:pt idx="339">
                  <c:v>178</c:v>
                </c:pt>
                <c:pt idx="340">
                  <c:v>130</c:v>
                </c:pt>
                <c:pt idx="341">
                  <c:v>95</c:v>
                </c:pt>
                <c:pt idx="342">
                  <c:v>117</c:v>
                </c:pt>
                <c:pt idx="343">
                  <c:v>122</c:v>
                </c:pt>
                <c:pt idx="344">
                  <c:v>95</c:v>
                </c:pt>
                <c:pt idx="345">
                  <c:v>126</c:v>
                </c:pt>
                <c:pt idx="346">
                  <c:v>139</c:v>
                </c:pt>
                <c:pt idx="347">
                  <c:v>116</c:v>
                </c:pt>
                <c:pt idx="348">
                  <c:v>99</c:v>
                </c:pt>
                <c:pt idx="349">
                  <c:v>117</c:v>
                </c:pt>
                <c:pt idx="350">
                  <c:v>92</c:v>
                </c:pt>
                <c:pt idx="351">
                  <c:v>137</c:v>
                </c:pt>
                <c:pt idx="352">
                  <c:v>61</c:v>
                </c:pt>
                <c:pt idx="353">
                  <c:v>90</c:v>
                </c:pt>
                <c:pt idx="354">
                  <c:v>90</c:v>
                </c:pt>
                <c:pt idx="355">
                  <c:v>165</c:v>
                </c:pt>
                <c:pt idx="356">
                  <c:v>125</c:v>
                </c:pt>
                <c:pt idx="357">
                  <c:v>129</c:v>
                </c:pt>
                <c:pt idx="358">
                  <c:v>88</c:v>
                </c:pt>
                <c:pt idx="359">
                  <c:v>196</c:v>
                </c:pt>
                <c:pt idx="360">
                  <c:v>189</c:v>
                </c:pt>
                <c:pt idx="361">
                  <c:v>158</c:v>
                </c:pt>
                <c:pt idx="362">
                  <c:v>103</c:v>
                </c:pt>
                <c:pt idx="363">
                  <c:v>146</c:v>
                </c:pt>
                <c:pt idx="364">
                  <c:v>147</c:v>
                </c:pt>
                <c:pt idx="365">
                  <c:v>99</c:v>
                </c:pt>
                <c:pt idx="366">
                  <c:v>124</c:v>
                </c:pt>
                <c:pt idx="367">
                  <c:v>101</c:v>
                </c:pt>
                <c:pt idx="368">
                  <c:v>81</c:v>
                </c:pt>
                <c:pt idx="369">
                  <c:v>133</c:v>
                </c:pt>
                <c:pt idx="370">
                  <c:v>173</c:v>
                </c:pt>
                <c:pt idx="371">
                  <c:v>118</c:v>
                </c:pt>
                <c:pt idx="372">
                  <c:v>84</c:v>
                </c:pt>
                <c:pt idx="373">
                  <c:v>105</c:v>
                </c:pt>
                <c:pt idx="374">
                  <c:v>122</c:v>
                </c:pt>
                <c:pt idx="375">
                  <c:v>140</c:v>
                </c:pt>
                <c:pt idx="376">
                  <c:v>98</c:v>
                </c:pt>
                <c:pt idx="377">
                  <c:v>87</c:v>
                </c:pt>
                <c:pt idx="378">
                  <c:v>156</c:v>
                </c:pt>
                <c:pt idx="379">
                  <c:v>93</c:v>
                </c:pt>
                <c:pt idx="380">
                  <c:v>107</c:v>
                </c:pt>
                <c:pt idx="381">
                  <c:v>105</c:v>
                </c:pt>
                <c:pt idx="382">
                  <c:v>109</c:v>
                </c:pt>
                <c:pt idx="383">
                  <c:v>90</c:v>
                </c:pt>
                <c:pt idx="384">
                  <c:v>125</c:v>
                </c:pt>
                <c:pt idx="385">
                  <c:v>119</c:v>
                </c:pt>
                <c:pt idx="386">
                  <c:v>116</c:v>
                </c:pt>
                <c:pt idx="387">
                  <c:v>105</c:v>
                </c:pt>
                <c:pt idx="388">
                  <c:v>144</c:v>
                </c:pt>
                <c:pt idx="389">
                  <c:v>100</c:v>
                </c:pt>
                <c:pt idx="390">
                  <c:v>100</c:v>
                </c:pt>
                <c:pt idx="391">
                  <c:v>166</c:v>
                </c:pt>
                <c:pt idx="392">
                  <c:v>131</c:v>
                </c:pt>
                <c:pt idx="393">
                  <c:v>116</c:v>
                </c:pt>
                <c:pt idx="394">
                  <c:v>158</c:v>
                </c:pt>
                <c:pt idx="395">
                  <c:v>127</c:v>
                </c:pt>
                <c:pt idx="396">
                  <c:v>96</c:v>
                </c:pt>
                <c:pt idx="397">
                  <c:v>131</c:v>
                </c:pt>
                <c:pt idx="398">
                  <c:v>82</c:v>
                </c:pt>
                <c:pt idx="399">
                  <c:v>193</c:v>
                </c:pt>
                <c:pt idx="400">
                  <c:v>95</c:v>
                </c:pt>
                <c:pt idx="401">
                  <c:v>137</c:v>
                </c:pt>
                <c:pt idx="402">
                  <c:v>136</c:v>
                </c:pt>
                <c:pt idx="403">
                  <c:v>72</c:v>
                </c:pt>
                <c:pt idx="404">
                  <c:v>168</c:v>
                </c:pt>
                <c:pt idx="405">
                  <c:v>123</c:v>
                </c:pt>
                <c:pt idx="406">
                  <c:v>115</c:v>
                </c:pt>
                <c:pt idx="407">
                  <c:v>101</c:v>
                </c:pt>
                <c:pt idx="408">
                  <c:v>197</c:v>
                </c:pt>
                <c:pt idx="409">
                  <c:v>172</c:v>
                </c:pt>
                <c:pt idx="410">
                  <c:v>102</c:v>
                </c:pt>
                <c:pt idx="411">
                  <c:v>112</c:v>
                </c:pt>
                <c:pt idx="412">
                  <c:v>143</c:v>
                </c:pt>
                <c:pt idx="413">
                  <c:v>143</c:v>
                </c:pt>
                <c:pt idx="414">
                  <c:v>138</c:v>
                </c:pt>
                <c:pt idx="415">
                  <c:v>173</c:v>
                </c:pt>
                <c:pt idx="416">
                  <c:v>97</c:v>
                </c:pt>
                <c:pt idx="417">
                  <c:v>144</c:v>
                </c:pt>
                <c:pt idx="418">
                  <c:v>83</c:v>
                </c:pt>
                <c:pt idx="419">
                  <c:v>129</c:v>
                </c:pt>
                <c:pt idx="420">
                  <c:v>119</c:v>
                </c:pt>
                <c:pt idx="421">
                  <c:v>94</c:v>
                </c:pt>
                <c:pt idx="422">
                  <c:v>102</c:v>
                </c:pt>
                <c:pt idx="423">
                  <c:v>115</c:v>
                </c:pt>
                <c:pt idx="424">
                  <c:v>151</c:v>
                </c:pt>
                <c:pt idx="425">
                  <c:v>184</c:v>
                </c:pt>
                <c:pt idx="426">
                  <c:v>94</c:v>
                </c:pt>
                <c:pt idx="427">
                  <c:v>181</c:v>
                </c:pt>
                <c:pt idx="428">
                  <c:v>135</c:v>
                </c:pt>
                <c:pt idx="429">
                  <c:v>95</c:v>
                </c:pt>
                <c:pt idx="430">
                  <c:v>99</c:v>
                </c:pt>
                <c:pt idx="431">
                  <c:v>89</c:v>
                </c:pt>
                <c:pt idx="432">
                  <c:v>80</c:v>
                </c:pt>
                <c:pt idx="433">
                  <c:v>139</c:v>
                </c:pt>
                <c:pt idx="434">
                  <c:v>90</c:v>
                </c:pt>
                <c:pt idx="435">
                  <c:v>141</c:v>
                </c:pt>
                <c:pt idx="436">
                  <c:v>140</c:v>
                </c:pt>
                <c:pt idx="437">
                  <c:v>147</c:v>
                </c:pt>
                <c:pt idx="438">
                  <c:v>97</c:v>
                </c:pt>
                <c:pt idx="439">
                  <c:v>107</c:v>
                </c:pt>
                <c:pt idx="440">
                  <c:v>189</c:v>
                </c:pt>
                <c:pt idx="441">
                  <c:v>83</c:v>
                </c:pt>
                <c:pt idx="442">
                  <c:v>117</c:v>
                </c:pt>
                <c:pt idx="443">
                  <c:v>108</c:v>
                </c:pt>
                <c:pt idx="444">
                  <c:v>117</c:v>
                </c:pt>
                <c:pt idx="445">
                  <c:v>180</c:v>
                </c:pt>
                <c:pt idx="446">
                  <c:v>100</c:v>
                </c:pt>
                <c:pt idx="447">
                  <c:v>95</c:v>
                </c:pt>
                <c:pt idx="448">
                  <c:v>104</c:v>
                </c:pt>
                <c:pt idx="449">
                  <c:v>120</c:v>
                </c:pt>
                <c:pt idx="450">
                  <c:v>82</c:v>
                </c:pt>
                <c:pt idx="451">
                  <c:v>134</c:v>
                </c:pt>
                <c:pt idx="452">
                  <c:v>91</c:v>
                </c:pt>
                <c:pt idx="453">
                  <c:v>119</c:v>
                </c:pt>
                <c:pt idx="454">
                  <c:v>100</c:v>
                </c:pt>
                <c:pt idx="455">
                  <c:v>175</c:v>
                </c:pt>
                <c:pt idx="456">
                  <c:v>135</c:v>
                </c:pt>
                <c:pt idx="457">
                  <c:v>86</c:v>
                </c:pt>
                <c:pt idx="458">
                  <c:v>148</c:v>
                </c:pt>
                <c:pt idx="459">
                  <c:v>134</c:v>
                </c:pt>
                <c:pt idx="460">
                  <c:v>120</c:v>
                </c:pt>
                <c:pt idx="461">
                  <c:v>71</c:v>
                </c:pt>
                <c:pt idx="462">
                  <c:v>74</c:v>
                </c:pt>
                <c:pt idx="463">
                  <c:v>88</c:v>
                </c:pt>
                <c:pt idx="464">
                  <c:v>115</c:v>
                </c:pt>
                <c:pt idx="465">
                  <c:v>124</c:v>
                </c:pt>
                <c:pt idx="466">
                  <c:v>74</c:v>
                </c:pt>
                <c:pt idx="467">
                  <c:v>97</c:v>
                </c:pt>
                <c:pt idx="468">
                  <c:v>120</c:v>
                </c:pt>
                <c:pt idx="469">
                  <c:v>154</c:v>
                </c:pt>
                <c:pt idx="470">
                  <c:v>144</c:v>
                </c:pt>
                <c:pt idx="471">
                  <c:v>137</c:v>
                </c:pt>
                <c:pt idx="472">
                  <c:v>119</c:v>
                </c:pt>
                <c:pt idx="473">
                  <c:v>136</c:v>
                </c:pt>
                <c:pt idx="474">
                  <c:v>114</c:v>
                </c:pt>
                <c:pt idx="475">
                  <c:v>137</c:v>
                </c:pt>
                <c:pt idx="476">
                  <c:v>105</c:v>
                </c:pt>
                <c:pt idx="477">
                  <c:v>114</c:v>
                </c:pt>
                <c:pt idx="478">
                  <c:v>126</c:v>
                </c:pt>
                <c:pt idx="479">
                  <c:v>132</c:v>
                </c:pt>
                <c:pt idx="480">
                  <c:v>158</c:v>
                </c:pt>
                <c:pt idx="481">
                  <c:v>123</c:v>
                </c:pt>
                <c:pt idx="482">
                  <c:v>85</c:v>
                </c:pt>
                <c:pt idx="483">
                  <c:v>84</c:v>
                </c:pt>
                <c:pt idx="484">
                  <c:v>145</c:v>
                </c:pt>
                <c:pt idx="485">
                  <c:v>135</c:v>
                </c:pt>
                <c:pt idx="486">
                  <c:v>139</c:v>
                </c:pt>
                <c:pt idx="487">
                  <c:v>173</c:v>
                </c:pt>
                <c:pt idx="488">
                  <c:v>99</c:v>
                </c:pt>
                <c:pt idx="489">
                  <c:v>194</c:v>
                </c:pt>
                <c:pt idx="490">
                  <c:v>83</c:v>
                </c:pt>
                <c:pt idx="491">
                  <c:v>89</c:v>
                </c:pt>
                <c:pt idx="492">
                  <c:v>99</c:v>
                </c:pt>
                <c:pt idx="493">
                  <c:v>125</c:v>
                </c:pt>
                <c:pt idx="494">
                  <c:v>80</c:v>
                </c:pt>
                <c:pt idx="495">
                  <c:v>166</c:v>
                </c:pt>
                <c:pt idx="496">
                  <c:v>110</c:v>
                </c:pt>
                <c:pt idx="497">
                  <c:v>81</c:v>
                </c:pt>
                <c:pt idx="498">
                  <c:v>195</c:v>
                </c:pt>
                <c:pt idx="499">
                  <c:v>154</c:v>
                </c:pt>
                <c:pt idx="500">
                  <c:v>117</c:v>
                </c:pt>
                <c:pt idx="501">
                  <c:v>84</c:v>
                </c:pt>
                <c:pt idx="502">
                  <c:v>117</c:v>
                </c:pt>
                <c:pt idx="503">
                  <c:v>94</c:v>
                </c:pt>
                <c:pt idx="504">
                  <c:v>96</c:v>
                </c:pt>
                <c:pt idx="505">
                  <c:v>75</c:v>
                </c:pt>
                <c:pt idx="506">
                  <c:v>180</c:v>
                </c:pt>
                <c:pt idx="507">
                  <c:v>130</c:v>
                </c:pt>
                <c:pt idx="508">
                  <c:v>84</c:v>
                </c:pt>
                <c:pt idx="509">
                  <c:v>120</c:v>
                </c:pt>
                <c:pt idx="510">
                  <c:v>84</c:v>
                </c:pt>
                <c:pt idx="511">
                  <c:v>139</c:v>
                </c:pt>
                <c:pt idx="512">
                  <c:v>91</c:v>
                </c:pt>
                <c:pt idx="513">
                  <c:v>91</c:v>
                </c:pt>
                <c:pt idx="514">
                  <c:v>99</c:v>
                </c:pt>
                <c:pt idx="515">
                  <c:v>163</c:v>
                </c:pt>
                <c:pt idx="516">
                  <c:v>145</c:v>
                </c:pt>
                <c:pt idx="517">
                  <c:v>125</c:v>
                </c:pt>
                <c:pt idx="518">
                  <c:v>76</c:v>
                </c:pt>
                <c:pt idx="519">
                  <c:v>129</c:v>
                </c:pt>
                <c:pt idx="520">
                  <c:v>68</c:v>
                </c:pt>
                <c:pt idx="521">
                  <c:v>124</c:v>
                </c:pt>
                <c:pt idx="522">
                  <c:v>114</c:v>
                </c:pt>
                <c:pt idx="523">
                  <c:v>130</c:v>
                </c:pt>
                <c:pt idx="524">
                  <c:v>125</c:v>
                </c:pt>
                <c:pt idx="525">
                  <c:v>87</c:v>
                </c:pt>
                <c:pt idx="526">
                  <c:v>97</c:v>
                </c:pt>
                <c:pt idx="527">
                  <c:v>116</c:v>
                </c:pt>
                <c:pt idx="528">
                  <c:v>117</c:v>
                </c:pt>
                <c:pt idx="529">
                  <c:v>111</c:v>
                </c:pt>
                <c:pt idx="530">
                  <c:v>122</c:v>
                </c:pt>
                <c:pt idx="531">
                  <c:v>107</c:v>
                </c:pt>
                <c:pt idx="532">
                  <c:v>86</c:v>
                </c:pt>
                <c:pt idx="533">
                  <c:v>91</c:v>
                </c:pt>
                <c:pt idx="534">
                  <c:v>77</c:v>
                </c:pt>
                <c:pt idx="535">
                  <c:v>132</c:v>
                </c:pt>
                <c:pt idx="536">
                  <c:v>105</c:v>
                </c:pt>
                <c:pt idx="537">
                  <c:v>57</c:v>
                </c:pt>
                <c:pt idx="538">
                  <c:v>127</c:v>
                </c:pt>
                <c:pt idx="539">
                  <c:v>129</c:v>
                </c:pt>
                <c:pt idx="540">
                  <c:v>100</c:v>
                </c:pt>
                <c:pt idx="541">
                  <c:v>128</c:v>
                </c:pt>
                <c:pt idx="542">
                  <c:v>90</c:v>
                </c:pt>
                <c:pt idx="543">
                  <c:v>84</c:v>
                </c:pt>
                <c:pt idx="544">
                  <c:v>88</c:v>
                </c:pt>
                <c:pt idx="545">
                  <c:v>186</c:v>
                </c:pt>
                <c:pt idx="546">
                  <c:v>187</c:v>
                </c:pt>
                <c:pt idx="547">
                  <c:v>131</c:v>
                </c:pt>
                <c:pt idx="548">
                  <c:v>164</c:v>
                </c:pt>
                <c:pt idx="549">
                  <c:v>189</c:v>
                </c:pt>
                <c:pt idx="550">
                  <c:v>116</c:v>
                </c:pt>
                <c:pt idx="551">
                  <c:v>84</c:v>
                </c:pt>
                <c:pt idx="552">
                  <c:v>114</c:v>
                </c:pt>
                <c:pt idx="553">
                  <c:v>88</c:v>
                </c:pt>
                <c:pt idx="554">
                  <c:v>84</c:v>
                </c:pt>
                <c:pt idx="555">
                  <c:v>124</c:v>
                </c:pt>
                <c:pt idx="556">
                  <c:v>97</c:v>
                </c:pt>
                <c:pt idx="557">
                  <c:v>110</c:v>
                </c:pt>
                <c:pt idx="558">
                  <c:v>103</c:v>
                </c:pt>
                <c:pt idx="559">
                  <c:v>85</c:v>
                </c:pt>
                <c:pt idx="560">
                  <c:v>125</c:v>
                </c:pt>
                <c:pt idx="561">
                  <c:v>198</c:v>
                </c:pt>
                <c:pt idx="562">
                  <c:v>87</c:v>
                </c:pt>
                <c:pt idx="563">
                  <c:v>99</c:v>
                </c:pt>
                <c:pt idx="564">
                  <c:v>91</c:v>
                </c:pt>
                <c:pt idx="565">
                  <c:v>95</c:v>
                </c:pt>
                <c:pt idx="566">
                  <c:v>99</c:v>
                </c:pt>
                <c:pt idx="567">
                  <c:v>92</c:v>
                </c:pt>
                <c:pt idx="568">
                  <c:v>154</c:v>
                </c:pt>
                <c:pt idx="569">
                  <c:v>121</c:v>
                </c:pt>
                <c:pt idx="570">
                  <c:v>78</c:v>
                </c:pt>
                <c:pt idx="571">
                  <c:v>130</c:v>
                </c:pt>
                <c:pt idx="572">
                  <c:v>111</c:v>
                </c:pt>
                <c:pt idx="573">
                  <c:v>98</c:v>
                </c:pt>
                <c:pt idx="574">
                  <c:v>143</c:v>
                </c:pt>
                <c:pt idx="575">
                  <c:v>119</c:v>
                </c:pt>
                <c:pt idx="576">
                  <c:v>108</c:v>
                </c:pt>
                <c:pt idx="577">
                  <c:v>118</c:v>
                </c:pt>
                <c:pt idx="578">
                  <c:v>133</c:v>
                </c:pt>
                <c:pt idx="579">
                  <c:v>197</c:v>
                </c:pt>
                <c:pt idx="580">
                  <c:v>151</c:v>
                </c:pt>
                <c:pt idx="581">
                  <c:v>109</c:v>
                </c:pt>
                <c:pt idx="582">
                  <c:v>121</c:v>
                </c:pt>
                <c:pt idx="583">
                  <c:v>100</c:v>
                </c:pt>
                <c:pt idx="584">
                  <c:v>124</c:v>
                </c:pt>
                <c:pt idx="585">
                  <c:v>93</c:v>
                </c:pt>
                <c:pt idx="586">
                  <c:v>143</c:v>
                </c:pt>
                <c:pt idx="587">
                  <c:v>103</c:v>
                </c:pt>
                <c:pt idx="588">
                  <c:v>176</c:v>
                </c:pt>
                <c:pt idx="589">
                  <c:v>73</c:v>
                </c:pt>
                <c:pt idx="590">
                  <c:v>111</c:v>
                </c:pt>
                <c:pt idx="591">
                  <c:v>112</c:v>
                </c:pt>
                <c:pt idx="592">
                  <c:v>132</c:v>
                </c:pt>
                <c:pt idx="593">
                  <c:v>82</c:v>
                </c:pt>
                <c:pt idx="594">
                  <c:v>123</c:v>
                </c:pt>
                <c:pt idx="595">
                  <c:v>188</c:v>
                </c:pt>
                <c:pt idx="596">
                  <c:v>67</c:v>
                </c:pt>
                <c:pt idx="597">
                  <c:v>89</c:v>
                </c:pt>
                <c:pt idx="598">
                  <c:v>173</c:v>
                </c:pt>
                <c:pt idx="599">
                  <c:v>109</c:v>
                </c:pt>
                <c:pt idx="600">
                  <c:v>108</c:v>
                </c:pt>
                <c:pt idx="601">
                  <c:v>96</c:v>
                </c:pt>
                <c:pt idx="602">
                  <c:v>124</c:v>
                </c:pt>
                <c:pt idx="603">
                  <c:v>150</c:v>
                </c:pt>
                <c:pt idx="604">
                  <c:v>183</c:v>
                </c:pt>
                <c:pt idx="605">
                  <c:v>124</c:v>
                </c:pt>
                <c:pt idx="606">
                  <c:v>181</c:v>
                </c:pt>
                <c:pt idx="607">
                  <c:v>92</c:v>
                </c:pt>
                <c:pt idx="608">
                  <c:v>152</c:v>
                </c:pt>
                <c:pt idx="609">
                  <c:v>111</c:v>
                </c:pt>
                <c:pt idx="610">
                  <c:v>106</c:v>
                </c:pt>
                <c:pt idx="611">
                  <c:v>174</c:v>
                </c:pt>
                <c:pt idx="612">
                  <c:v>168</c:v>
                </c:pt>
                <c:pt idx="613">
                  <c:v>105</c:v>
                </c:pt>
                <c:pt idx="614">
                  <c:v>138</c:v>
                </c:pt>
                <c:pt idx="615">
                  <c:v>106</c:v>
                </c:pt>
                <c:pt idx="616">
                  <c:v>117</c:v>
                </c:pt>
                <c:pt idx="617">
                  <c:v>68</c:v>
                </c:pt>
                <c:pt idx="618">
                  <c:v>112</c:v>
                </c:pt>
                <c:pt idx="619">
                  <c:v>119</c:v>
                </c:pt>
                <c:pt idx="620">
                  <c:v>112</c:v>
                </c:pt>
                <c:pt idx="621">
                  <c:v>92</c:v>
                </c:pt>
                <c:pt idx="622">
                  <c:v>183</c:v>
                </c:pt>
                <c:pt idx="623">
                  <c:v>94</c:v>
                </c:pt>
                <c:pt idx="624">
                  <c:v>108</c:v>
                </c:pt>
                <c:pt idx="625">
                  <c:v>90</c:v>
                </c:pt>
                <c:pt idx="626">
                  <c:v>125</c:v>
                </c:pt>
                <c:pt idx="627">
                  <c:v>132</c:v>
                </c:pt>
                <c:pt idx="628">
                  <c:v>128</c:v>
                </c:pt>
                <c:pt idx="629">
                  <c:v>94</c:v>
                </c:pt>
                <c:pt idx="630">
                  <c:v>114</c:v>
                </c:pt>
                <c:pt idx="631">
                  <c:v>102</c:v>
                </c:pt>
                <c:pt idx="632">
                  <c:v>111</c:v>
                </c:pt>
                <c:pt idx="633">
                  <c:v>128</c:v>
                </c:pt>
                <c:pt idx="634">
                  <c:v>92</c:v>
                </c:pt>
                <c:pt idx="635">
                  <c:v>104</c:v>
                </c:pt>
                <c:pt idx="636">
                  <c:v>104</c:v>
                </c:pt>
                <c:pt idx="637">
                  <c:v>94</c:v>
                </c:pt>
                <c:pt idx="638">
                  <c:v>97</c:v>
                </c:pt>
                <c:pt idx="639">
                  <c:v>100</c:v>
                </c:pt>
                <c:pt idx="640">
                  <c:v>102</c:v>
                </c:pt>
                <c:pt idx="641">
                  <c:v>128</c:v>
                </c:pt>
                <c:pt idx="642">
                  <c:v>147</c:v>
                </c:pt>
                <c:pt idx="643">
                  <c:v>90</c:v>
                </c:pt>
                <c:pt idx="644">
                  <c:v>103</c:v>
                </c:pt>
                <c:pt idx="645">
                  <c:v>157</c:v>
                </c:pt>
                <c:pt idx="646">
                  <c:v>167</c:v>
                </c:pt>
                <c:pt idx="647">
                  <c:v>179</c:v>
                </c:pt>
                <c:pt idx="648">
                  <c:v>136</c:v>
                </c:pt>
                <c:pt idx="649">
                  <c:v>107</c:v>
                </c:pt>
                <c:pt idx="650">
                  <c:v>91</c:v>
                </c:pt>
                <c:pt idx="651">
                  <c:v>117</c:v>
                </c:pt>
                <c:pt idx="652">
                  <c:v>123</c:v>
                </c:pt>
                <c:pt idx="653">
                  <c:v>120</c:v>
                </c:pt>
                <c:pt idx="654">
                  <c:v>106</c:v>
                </c:pt>
                <c:pt idx="655">
                  <c:v>155</c:v>
                </c:pt>
                <c:pt idx="656">
                  <c:v>101</c:v>
                </c:pt>
                <c:pt idx="657">
                  <c:v>120</c:v>
                </c:pt>
                <c:pt idx="658">
                  <c:v>127</c:v>
                </c:pt>
                <c:pt idx="659">
                  <c:v>80</c:v>
                </c:pt>
                <c:pt idx="660">
                  <c:v>162</c:v>
                </c:pt>
                <c:pt idx="661">
                  <c:v>199</c:v>
                </c:pt>
                <c:pt idx="662">
                  <c:v>167</c:v>
                </c:pt>
                <c:pt idx="663">
                  <c:v>145</c:v>
                </c:pt>
                <c:pt idx="664">
                  <c:v>115</c:v>
                </c:pt>
                <c:pt idx="665">
                  <c:v>112</c:v>
                </c:pt>
                <c:pt idx="666">
                  <c:v>145</c:v>
                </c:pt>
                <c:pt idx="667">
                  <c:v>111</c:v>
                </c:pt>
                <c:pt idx="668">
                  <c:v>98</c:v>
                </c:pt>
                <c:pt idx="669">
                  <c:v>154</c:v>
                </c:pt>
                <c:pt idx="670">
                  <c:v>165</c:v>
                </c:pt>
                <c:pt idx="671">
                  <c:v>99</c:v>
                </c:pt>
                <c:pt idx="672">
                  <c:v>68</c:v>
                </c:pt>
                <c:pt idx="673">
                  <c:v>123</c:v>
                </c:pt>
                <c:pt idx="674">
                  <c:v>91</c:v>
                </c:pt>
                <c:pt idx="675">
                  <c:v>195</c:v>
                </c:pt>
                <c:pt idx="676">
                  <c:v>156</c:v>
                </c:pt>
                <c:pt idx="677">
                  <c:v>93</c:v>
                </c:pt>
                <c:pt idx="678">
                  <c:v>121</c:v>
                </c:pt>
                <c:pt idx="679">
                  <c:v>101</c:v>
                </c:pt>
                <c:pt idx="680">
                  <c:v>56</c:v>
                </c:pt>
                <c:pt idx="681">
                  <c:v>162</c:v>
                </c:pt>
                <c:pt idx="682">
                  <c:v>95</c:v>
                </c:pt>
                <c:pt idx="683">
                  <c:v>125</c:v>
                </c:pt>
                <c:pt idx="684">
                  <c:v>136</c:v>
                </c:pt>
                <c:pt idx="685">
                  <c:v>129</c:v>
                </c:pt>
                <c:pt idx="686">
                  <c:v>130</c:v>
                </c:pt>
                <c:pt idx="687">
                  <c:v>107</c:v>
                </c:pt>
                <c:pt idx="688">
                  <c:v>140</c:v>
                </c:pt>
                <c:pt idx="689">
                  <c:v>144</c:v>
                </c:pt>
                <c:pt idx="690">
                  <c:v>107</c:v>
                </c:pt>
                <c:pt idx="691">
                  <c:v>158</c:v>
                </c:pt>
                <c:pt idx="692">
                  <c:v>121</c:v>
                </c:pt>
                <c:pt idx="693">
                  <c:v>129</c:v>
                </c:pt>
                <c:pt idx="694">
                  <c:v>90</c:v>
                </c:pt>
                <c:pt idx="695">
                  <c:v>142</c:v>
                </c:pt>
                <c:pt idx="696">
                  <c:v>169</c:v>
                </c:pt>
                <c:pt idx="697">
                  <c:v>99</c:v>
                </c:pt>
                <c:pt idx="698">
                  <c:v>127</c:v>
                </c:pt>
                <c:pt idx="699">
                  <c:v>118</c:v>
                </c:pt>
                <c:pt idx="700">
                  <c:v>122</c:v>
                </c:pt>
                <c:pt idx="701">
                  <c:v>125</c:v>
                </c:pt>
                <c:pt idx="702">
                  <c:v>168</c:v>
                </c:pt>
                <c:pt idx="703">
                  <c:v>129</c:v>
                </c:pt>
                <c:pt idx="704">
                  <c:v>110</c:v>
                </c:pt>
                <c:pt idx="705">
                  <c:v>80</c:v>
                </c:pt>
                <c:pt idx="706">
                  <c:v>115</c:v>
                </c:pt>
                <c:pt idx="707">
                  <c:v>127</c:v>
                </c:pt>
                <c:pt idx="708">
                  <c:v>164</c:v>
                </c:pt>
                <c:pt idx="709">
                  <c:v>93</c:v>
                </c:pt>
                <c:pt idx="710">
                  <c:v>158</c:v>
                </c:pt>
                <c:pt idx="711">
                  <c:v>126</c:v>
                </c:pt>
                <c:pt idx="712">
                  <c:v>129</c:v>
                </c:pt>
                <c:pt idx="713">
                  <c:v>134</c:v>
                </c:pt>
                <c:pt idx="714">
                  <c:v>102</c:v>
                </c:pt>
                <c:pt idx="715">
                  <c:v>187</c:v>
                </c:pt>
                <c:pt idx="716">
                  <c:v>173</c:v>
                </c:pt>
                <c:pt idx="717">
                  <c:v>94</c:v>
                </c:pt>
                <c:pt idx="718">
                  <c:v>108</c:v>
                </c:pt>
                <c:pt idx="719">
                  <c:v>97</c:v>
                </c:pt>
                <c:pt idx="720">
                  <c:v>83</c:v>
                </c:pt>
                <c:pt idx="721">
                  <c:v>114</c:v>
                </c:pt>
                <c:pt idx="722">
                  <c:v>149</c:v>
                </c:pt>
                <c:pt idx="723">
                  <c:v>117</c:v>
                </c:pt>
                <c:pt idx="724">
                  <c:v>111</c:v>
                </c:pt>
                <c:pt idx="725">
                  <c:v>112</c:v>
                </c:pt>
                <c:pt idx="726">
                  <c:v>116</c:v>
                </c:pt>
                <c:pt idx="727">
                  <c:v>141</c:v>
                </c:pt>
                <c:pt idx="728">
                  <c:v>175</c:v>
                </c:pt>
                <c:pt idx="729">
                  <c:v>92</c:v>
                </c:pt>
                <c:pt idx="730">
                  <c:v>130</c:v>
                </c:pt>
                <c:pt idx="731">
                  <c:v>120</c:v>
                </c:pt>
                <c:pt idx="732">
                  <c:v>174</c:v>
                </c:pt>
                <c:pt idx="733">
                  <c:v>106</c:v>
                </c:pt>
                <c:pt idx="734">
                  <c:v>105</c:v>
                </c:pt>
                <c:pt idx="735">
                  <c:v>95</c:v>
                </c:pt>
                <c:pt idx="736">
                  <c:v>126</c:v>
                </c:pt>
                <c:pt idx="737">
                  <c:v>65</c:v>
                </c:pt>
                <c:pt idx="738">
                  <c:v>99</c:v>
                </c:pt>
                <c:pt idx="739">
                  <c:v>102</c:v>
                </c:pt>
                <c:pt idx="740">
                  <c:v>120</c:v>
                </c:pt>
                <c:pt idx="741">
                  <c:v>102</c:v>
                </c:pt>
                <c:pt idx="742">
                  <c:v>109</c:v>
                </c:pt>
                <c:pt idx="743">
                  <c:v>140</c:v>
                </c:pt>
                <c:pt idx="744">
                  <c:v>153</c:v>
                </c:pt>
                <c:pt idx="745">
                  <c:v>100</c:v>
                </c:pt>
                <c:pt idx="746">
                  <c:v>147</c:v>
                </c:pt>
                <c:pt idx="747">
                  <c:v>81</c:v>
                </c:pt>
                <c:pt idx="748">
                  <c:v>187</c:v>
                </c:pt>
                <c:pt idx="749">
                  <c:v>162</c:v>
                </c:pt>
                <c:pt idx="750">
                  <c:v>136</c:v>
                </c:pt>
                <c:pt idx="751">
                  <c:v>121</c:v>
                </c:pt>
                <c:pt idx="752">
                  <c:v>108</c:v>
                </c:pt>
                <c:pt idx="753">
                  <c:v>181</c:v>
                </c:pt>
                <c:pt idx="754">
                  <c:v>154</c:v>
                </c:pt>
                <c:pt idx="755">
                  <c:v>128</c:v>
                </c:pt>
                <c:pt idx="756">
                  <c:v>137</c:v>
                </c:pt>
                <c:pt idx="757">
                  <c:v>123</c:v>
                </c:pt>
                <c:pt idx="758">
                  <c:v>106</c:v>
                </c:pt>
                <c:pt idx="759">
                  <c:v>190</c:v>
                </c:pt>
                <c:pt idx="760">
                  <c:v>88</c:v>
                </c:pt>
                <c:pt idx="761">
                  <c:v>170</c:v>
                </c:pt>
                <c:pt idx="762">
                  <c:v>89</c:v>
                </c:pt>
                <c:pt idx="763">
                  <c:v>101</c:v>
                </c:pt>
                <c:pt idx="764">
                  <c:v>122</c:v>
                </c:pt>
                <c:pt idx="765">
                  <c:v>121</c:v>
                </c:pt>
                <c:pt idx="766">
                  <c:v>126</c:v>
                </c:pt>
                <c:pt idx="767">
                  <c:v>93</c:v>
                </c:pt>
              </c:numCache>
            </c:numRef>
          </c:xVal>
          <c:yVal>
            <c:numRef>
              <c:f>diabetes!$V$2:$V$769</c:f>
              <c:numCache>
                <c:formatCode>General</c:formatCode>
                <c:ptCount val="768"/>
                <c:pt idx="0">
                  <c:v>125</c:v>
                </c:pt>
                <c:pt idx="1">
                  <c:v>#N/A</c:v>
                </c:pt>
                <c:pt idx="2">
                  <c:v>125</c:v>
                </c:pt>
                <c:pt idx="3">
                  <c:v>#N/A</c:v>
                </c:pt>
                <c:pt idx="4">
                  <c:v>168</c:v>
                </c:pt>
                <c:pt idx="5">
                  <c:v>#N/A</c:v>
                </c:pt>
                <c:pt idx="6">
                  <c:v>88</c:v>
                </c:pt>
                <c:pt idx="7">
                  <c:v>#N/A</c:v>
                </c:pt>
                <c:pt idx="8">
                  <c:v>543</c:v>
                </c:pt>
                <c:pt idx="9">
                  <c:v>125</c:v>
                </c:pt>
                <c:pt idx="10">
                  <c:v>#N/A</c:v>
                </c:pt>
                <c:pt idx="11">
                  <c:v>125</c:v>
                </c:pt>
                <c:pt idx="12">
                  <c:v>#N/A</c:v>
                </c:pt>
                <c:pt idx="13">
                  <c:v>846</c:v>
                </c:pt>
                <c:pt idx="14">
                  <c:v>175</c:v>
                </c:pt>
                <c:pt idx="15">
                  <c:v>125</c:v>
                </c:pt>
                <c:pt idx="16">
                  <c:v>230</c:v>
                </c:pt>
                <c:pt idx="17">
                  <c:v>125</c:v>
                </c:pt>
                <c:pt idx="18">
                  <c:v>#N/A</c:v>
                </c:pt>
                <c:pt idx="19">
                  <c:v>96</c:v>
                </c:pt>
                <c:pt idx="20">
                  <c:v>#N/A</c:v>
                </c:pt>
                <c:pt idx="21">
                  <c:v>#N/A</c:v>
                </c:pt>
                <c:pt idx="22">
                  <c:v>125</c:v>
                </c:pt>
                <c:pt idx="23">
                  <c:v>125</c:v>
                </c:pt>
                <c:pt idx="24">
                  <c:v>146</c:v>
                </c:pt>
                <c:pt idx="25">
                  <c:v>115</c:v>
                </c:pt>
                <c:pt idx="26">
                  <c:v>125</c:v>
                </c:pt>
                <c:pt idx="27">
                  <c:v>#N/A</c:v>
                </c:pt>
                <c:pt idx="28">
                  <c:v>#N/A</c:v>
                </c:pt>
                <c:pt idx="29">
                  <c:v>#N/A</c:v>
                </c:pt>
                <c:pt idx="30">
                  <c:v>#N/A</c:v>
                </c:pt>
                <c:pt idx="31">
                  <c:v>245</c:v>
                </c:pt>
                <c:pt idx="32">
                  <c:v>#N/A</c:v>
                </c:pt>
                <c:pt idx="33">
                  <c:v>#N/A</c:v>
                </c:pt>
                <c:pt idx="34">
                  <c:v>#N/A</c:v>
                </c:pt>
                <c:pt idx="35">
                  <c:v>#N/A</c:v>
                </c:pt>
                <c:pt idx="36">
                  <c:v>#N/A</c:v>
                </c:pt>
                <c:pt idx="37">
                  <c:v>125</c:v>
                </c:pt>
                <c:pt idx="38">
                  <c:v>125</c:v>
                </c:pt>
                <c:pt idx="39">
                  <c:v>207</c:v>
                </c:pt>
                <c:pt idx="40">
                  <c:v>#N/A</c:v>
                </c:pt>
                <c:pt idx="41">
                  <c:v>#N/A</c:v>
                </c:pt>
                <c:pt idx="42">
                  <c:v>#N/A</c:v>
                </c:pt>
                <c:pt idx="43">
                  <c:v>240</c:v>
                </c:pt>
                <c:pt idx="44">
                  <c:v>#N/A</c:v>
                </c:pt>
                <c:pt idx="45">
                  <c:v>125</c:v>
                </c:pt>
                <c:pt idx="46">
                  <c:v>#N/A</c:v>
                </c:pt>
                <c:pt idx="47">
                  <c:v>#N/A</c:v>
                </c:pt>
                <c:pt idx="48">
                  <c:v>125</c:v>
                </c:pt>
                <c:pt idx="49">
                  <c:v>#N/A</c:v>
                </c:pt>
                <c:pt idx="50">
                  <c:v>#N/A</c:v>
                </c:pt>
                <c:pt idx="51">
                  <c:v>#N/A</c:v>
                </c:pt>
                <c:pt idx="52">
                  <c:v>#N/A</c:v>
                </c:pt>
                <c:pt idx="53">
                  <c:v>300</c:v>
                </c:pt>
                <c:pt idx="54">
                  <c:v>#N/A</c:v>
                </c:pt>
                <c:pt idx="55">
                  <c:v>#N/A</c:v>
                </c:pt>
                <c:pt idx="56">
                  <c:v>304</c:v>
                </c:pt>
                <c:pt idx="57">
                  <c:v>#N/A</c:v>
                </c:pt>
                <c:pt idx="58">
                  <c:v>#N/A</c:v>
                </c:pt>
                <c:pt idx="59">
                  <c:v>#N/A</c:v>
                </c:pt>
                <c:pt idx="60">
                  <c:v>#N/A</c:v>
                </c:pt>
                <c:pt idx="61">
                  <c:v>125</c:v>
                </c:pt>
                <c:pt idx="62">
                  <c:v>#N/A</c:v>
                </c:pt>
                <c:pt idx="63">
                  <c:v>#N/A</c:v>
                </c:pt>
                <c:pt idx="64">
                  <c:v>125</c:v>
                </c:pt>
                <c:pt idx="65">
                  <c:v>#N/A</c:v>
                </c:pt>
                <c:pt idx="66">
                  <c:v>125</c:v>
                </c:pt>
                <c:pt idx="67">
                  <c:v>#N/A</c:v>
                </c:pt>
                <c:pt idx="68">
                  <c:v>#N/A</c:v>
                </c:pt>
                <c:pt idx="69">
                  <c:v>#N/A</c:v>
                </c:pt>
                <c:pt idx="70">
                  <c:v>90</c:v>
                </c:pt>
                <c:pt idx="71">
                  <c:v>#N/A</c:v>
                </c:pt>
                <c:pt idx="72">
                  <c:v>125</c:v>
                </c:pt>
                <c:pt idx="73">
                  <c:v>#N/A</c:v>
                </c:pt>
                <c:pt idx="74">
                  <c:v>#N/A</c:v>
                </c:pt>
                <c:pt idx="75">
                  <c:v>#N/A</c:v>
                </c:pt>
                <c:pt idx="76">
                  <c:v>#N/A</c:v>
                </c:pt>
                <c:pt idx="77">
                  <c:v>#N/A</c:v>
                </c:pt>
                <c:pt idx="78">
                  <c:v>125</c:v>
                </c:pt>
                <c:pt idx="79">
                  <c:v>#N/A</c:v>
                </c:pt>
                <c:pt idx="80">
                  <c:v>#N/A</c:v>
                </c:pt>
                <c:pt idx="81">
                  <c:v>#N/A</c:v>
                </c:pt>
                <c:pt idx="82">
                  <c:v>#N/A</c:v>
                </c:pt>
                <c:pt idx="83">
                  <c:v>#N/A</c:v>
                </c:pt>
                <c:pt idx="84">
                  <c:v>125</c:v>
                </c:pt>
                <c:pt idx="85">
                  <c:v>#N/A</c:v>
                </c:pt>
                <c:pt idx="86">
                  <c:v>#N/A</c:v>
                </c:pt>
                <c:pt idx="87">
                  <c:v>#N/A</c:v>
                </c:pt>
                <c:pt idx="88">
                  <c:v>110</c:v>
                </c:pt>
                <c:pt idx="89">
                  <c:v>#N/A</c:v>
                </c:pt>
                <c:pt idx="90">
                  <c:v>#N/A</c:v>
                </c:pt>
                <c:pt idx="91">
                  <c:v>#N/A</c:v>
                </c:pt>
                <c:pt idx="92">
                  <c:v>#N/A</c:v>
                </c:pt>
                <c:pt idx="93">
                  <c:v>125</c:v>
                </c:pt>
                <c:pt idx="94">
                  <c:v>#N/A</c:v>
                </c:pt>
                <c:pt idx="95">
                  <c:v>#N/A</c:v>
                </c:pt>
                <c:pt idx="96">
                  <c:v>#N/A</c:v>
                </c:pt>
                <c:pt idx="97">
                  <c:v>#N/A</c:v>
                </c:pt>
                <c:pt idx="98">
                  <c:v>#N/A</c:v>
                </c:pt>
                <c:pt idx="99">
                  <c:v>220</c:v>
                </c:pt>
                <c:pt idx="100">
                  <c:v>125</c:v>
                </c:pt>
                <c:pt idx="101">
                  <c:v>#N/A</c:v>
                </c:pt>
                <c:pt idx="102">
                  <c:v>#N/A</c:v>
                </c:pt>
                <c:pt idx="103">
                  <c:v>#N/A</c:v>
                </c:pt>
                <c:pt idx="104">
                  <c:v>#N/A</c:v>
                </c:pt>
                <c:pt idx="105">
                  <c:v>#N/A</c:v>
                </c:pt>
                <c:pt idx="106">
                  <c:v>#N/A</c:v>
                </c:pt>
                <c:pt idx="107">
                  <c:v>#N/A</c:v>
                </c:pt>
                <c:pt idx="108">
                  <c:v>#N/A</c:v>
                </c:pt>
                <c:pt idx="109">
                  <c:v>36</c:v>
                </c:pt>
                <c:pt idx="110">
                  <c:v>135</c:v>
                </c:pt>
                <c:pt idx="111">
                  <c:v>495</c:v>
                </c:pt>
                <c:pt idx="112">
                  <c:v>#N/A</c:v>
                </c:pt>
                <c:pt idx="113">
                  <c:v>#N/A</c:v>
                </c:pt>
                <c:pt idx="114">
                  <c:v>175</c:v>
                </c:pt>
                <c:pt idx="115">
                  <c:v>125</c:v>
                </c:pt>
                <c:pt idx="116">
                  <c:v>125</c:v>
                </c:pt>
                <c:pt idx="117">
                  <c:v>#N/A</c:v>
                </c:pt>
                <c:pt idx="118">
                  <c:v>#N/A</c:v>
                </c:pt>
                <c:pt idx="119">
                  <c:v>#N/A</c:v>
                </c:pt>
                <c:pt idx="120">
                  <c:v>100</c:v>
                </c:pt>
                <c:pt idx="121">
                  <c:v>#N/A</c:v>
                </c:pt>
                <c:pt idx="122">
                  <c:v>#N/A</c:v>
                </c:pt>
                <c:pt idx="123">
                  <c:v>#N/A</c:v>
                </c:pt>
                <c:pt idx="124">
                  <c:v>125</c:v>
                </c:pt>
                <c:pt idx="125">
                  <c:v>99</c:v>
                </c:pt>
                <c:pt idx="126">
                  <c:v>#N/A</c:v>
                </c:pt>
                <c:pt idx="127">
                  <c:v>#N/A</c:v>
                </c:pt>
                <c:pt idx="128">
                  <c:v>145</c:v>
                </c:pt>
                <c:pt idx="129">
                  <c:v>125</c:v>
                </c:pt>
                <c:pt idx="130">
                  <c:v>168</c:v>
                </c:pt>
                <c:pt idx="131">
                  <c:v>125</c:v>
                </c:pt>
                <c:pt idx="132">
                  <c:v>225</c:v>
                </c:pt>
                <c:pt idx="133">
                  <c:v>#N/A</c:v>
                </c:pt>
                <c:pt idx="134">
                  <c:v>#N/A</c:v>
                </c:pt>
                <c:pt idx="135">
                  <c:v>#N/A</c:v>
                </c:pt>
                <c:pt idx="136">
                  <c:v>#N/A</c:v>
                </c:pt>
                <c:pt idx="137">
                  <c:v>#N/A</c:v>
                </c:pt>
                <c:pt idx="138">
                  <c:v>#N/A</c:v>
                </c:pt>
                <c:pt idx="139">
                  <c:v>#N/A</c:v>
                </c:pt>
                <c:pt idx="140">
                  <c:v>#N/A</c:v>
                </c:pt>
                <c:pt idx="141">
                  <c:v>#N/A</c:v>
                </c:pt>
                <c:pt idx="142">
                  <c:v>#N/A</c:v>
                </c:pt>
                <c:pt idx="143">
                  <c:v>125</c:v>
                </c:pt>
                <c:pt idx="144">
                  <c:v>#N/A</c:v>
                </c:pt>
                <c:pt idx="145">
                  <c:v>#N/A</c:v>
                </c:pt>
                <c:pt idx="146">
                  <c:v>#N/A</c:v>
                </c:pt>
                <c:pt idx="147">
                  <c:v>#N/A</c:v>
                </c:pt>
                <c:pt idx="148">
                  <c:v>#N/A</c:v>
                </c:pt>
                <c:pt idx="149">
                  <c:v>#N/A</c:v>
                </c:pt>
                <c:pt idx="150">
                  <c:v>#N/A</c:v>
                </c:pt>
                <c:pt idx="151">
                  <c:v>#N/A</c:v>
                </c:pt>
                <c:pt idx="152">
                  <c:v>155</c:v>
                </c:pt>
                <c:pt idx="153">
                  <c:v>#N/A</c:v>
                </c:pt>
                <c:pt idx="154">
                  <c:v>125</c:v>
                </c:pt>
                <c:pt idx="155">
                  <c:v>125</c:v>
                </c:pt>
                <c:pt idx="156">
                  <c:v>#N/A</c:v>
                </c:pt>
                <c:pt idx="157">
                  <c:v>#N/A</c:v>
                </c:pt>
                <c:pt idx="158">
                  <c:v>#N/A</c:v>
                </c:pt>
                <c:pt idx="159">
                  <c:v>114</c:v>
                </c:pt>
                <c:pt idx="160">
                  <c:v>#N/A</c:v>
                </c:pt>
                <c:pt idx="161">
                  <c:v>#N/A</c:v>
                </c:pt>
                <c:pt idx="162">
                  <c:v>#N/A</c:v>
                </c:pt>
                <c:pt idx="163">
                  <c:v>#N/A</c:v>
                </c:pt>
                <c:pt idx="164">
                  <c:v>125</c:v>
                </c:pt>
                <c:pt idx="165">
                  <c:v>156</c:v>
                </c:pt>
                <c:pt idx="166">
                  <c:v>#N/A</c:v>
                </c:pt>
                <c:pt idx="167">
                  <c:v>#N/A</c:v>
                </c:pt>
                <c:pt idx="168">
                  <c:v>#N/A</c:v>
                </c:pt>
                <c:pt idx="169">
                  <c:v>#N/A</c:v>
                </c:pt>
                <c:pt idx="170">
                  <c:v>125</c:v>
                </c:pt>
                <c:pt idx="171">
                  <c:v>130</c:v>
                </c:pt>
                <c:pt idx="172">
                  <c:v>#N/A</c:v>
                </c:pt>
                <c:pt idx="173">
                  <c:v>#N/A</c:v>
                </c:pt>
                <c:pt idx="174">
                  <c:v>#N/A</c:v>
                </c:pt>
                <c:pt idx="175">
                  <c:v>130</c:v>
                </c:pt>
                <c:pt idx="176">
                  <c:v>#N/A</c:v>
                </c:pt>
                <c:pt idx="177">
                  <c:v>130</c:v>
                </c:pt>
                <c:pt idx="178">
                  <c:v>#N/A</c:v>
                </c:pt>
                <c:pt idx="179">
                  <c:v>125</c:v>
                </c:pt>
                <c:pt idx="180">
                  <c:v>#N/A</c:v>
                </c:pt>
                <c:pt idx="181">
                  <c:v>#N/A</c:v>
                </c:pt>
                <c:pt idx="182">
                  <c:v>#N/A</c:v>
                </c:pt>
                <c:pt idx="183">
                  <c:v>#N/A</c:v>
                </c:pt>
                <c:pt idx="184">
                  <c:v>#N/A</c:v>
                </c:pt>
                <c:pt idx="185">
                  <c:v>125</c:v>
                </c:pt>
                <c:pt idx="186">
                  <c:v>495</c:v>
                </c:pt>
                <c:pt idx="187">
                  <c:v>58</c:v>
                </c:pt>
                <c:pt idx="188">
                  <c:v>114</c:v>
                </c:pt>
                <c:pt idx="189">
                  <c:v>160</c:v>
                </c:pt>
                <c:pt idx="190">
                  <c:v>#N/A</c:v>
                </c:pt>
                <c:pt idx="191">
                  <c:v>#N/A</c:v>
                </c:pt>
                <c:pt idx="192">
                  <c:v>125</c:v>
                </c:pt>
                <c:pt idx="193">
                  <c:v>125</c:v>
                </c:pt>
                <c:pt idx="194">
                  <c:v>#N/A</c:v>
                </c:pt>
                <c:pt idx="195">
                  <c:v>210</c:v>
                </c:pt>
                <c:pt idx="196">
                  <c:v>#N/A</c:v>
                </c:pt>
                <c:pt idx="197">
                  <c:v>48</c:v>
                </c:pt>
                <c:pt idx="198">
                  <c:v>99</c:v>
                </c:pt>
                <c:pt idx="199">
                  <c:v>318</c:v>
                </c:pt>
                <c:pt idx="200">
                  <c:v>#N/A</c:v>
                </c:pt>
                <c:pt idx="201">
                  <c:v>#N/A</c:v>
                </c:pt>
                <c:pt idx="202">
                  <c:v>#N/A</c:v>
                </c:pt>
                <c:pt idx="203">
                  <c:v>#N/A</c:v>
                </c:pt>
                <c:pt idx="204">
                  <c:v>#N/A</c:v>
                </c:pt>
                <c:pt idx="205">
                  <c:v>#N/A</c:v>
                </c:pt>
                <c:pt idx="206">
                  <c:v>280</c:v>
                </c:pt>
                <c:pt idx="207">
                  <c:v>125</c:v>
                </c:pt>
                <c:pt idx="208">
                  <c:v>#N/A</c:v>
                </c:pt>
                <c:pt idx="209">
                  <c:v>125</c:v>
                </c:pt>
                <c:pt idx="210">
                  <c:v>#N/A</c:v>
                </c:pt>
                <c:pt idx="211">
                  <c:v>#N/A</c:v>
                </c:pt>
                <c:pt idx="212">
                  <c:v>#N/A</c:v>
                </c:pt>
                <c:pt idx="213">
                  <c:v>130</c:v>
                </c:pt>
                <c:pt idx="214">
                  <c:v>175</c:v>
                </c:pt>
                <c:pt idx="215">
                  <c:v>271</c:v>
                </c:pt>
                <c:pt idx="216">
                  <c:v>129</c:v>
                </c:pt>
                <c:pt idx="217">
                  <c:v>#N/A</c:v>
                </c:pt>
                <c:pt idx="218">
                  <c:v>125</c:v>
                </c:pt>
                <c:pt idx="219">
                  <c:v>125</c:v>
                </c:pt>
                <c:pt idx="220">
                  <c:v>478</c:v>
                </c:pt>
                <c:pt idx="221">
                  <c:v>125</c:v>
                </c:pt>
                <c:pt idx="222">
                  <c:v>#N/A</c:v>
                </c:pt>
                <c:pt idx="223">
                  <c:v>#N/A</c:v>
                </c:pt>
                <c:pt idx="224">
                  <c:v>#N/A</c:v>
                </c:pt>
                <c:pt idx="225">
                  <c:v>#N/A</c:v>
                </c:pt>
                <c:pt idx="226">
                  <c:v>#N/A</c:v>
                </c:pt>
                <c:pt idx="227">
                  <c:v>125</c:v>
                </c:pt>
                <c:pt idx="228">
                  <c:v>#N/A</c:v>
                </c:pt>
                <c:pt idx="229">
                  <c:v>#N/A</c:v>
                </c:pt>
                <c:pt idx="230">
                  <c:v>125</c:v>
                </c:pt>
                <c:pt idx="231">
                  <c:v>370</c:v>
                </c:pt>
                <c:pt idx="232">
                  <c:v>#N/A</c:v>
                </c:pt>
                <c:pt idx="233">
                  <c:v>#N/A</c:v>
                </c:pt>
                <c:pt idx="234">
                  <c:v>#N/A</c:v>
                </c:pt>
                <c:pt idx="235">
                  <c:v>125</c:v>
                </c:pt>
                <c:pt idx="236">
                  <c:v>192</c:v>
                </c:pt>
                <c:pt idx="237">
                  <c:v>125</c:v>
                </c:pt>
                <c:pt idx="238">
                  <c:v>125</c:v>
                </c:pt>
                <c:pt idx="239">
                  <c:v>#N/A</c:v>
                </c:pt>
                <c:pt idx="240">
                  <c:v>#N/A</c:v>
                </c:pt>
                <c:pt idx="241">
                  <c:v>#N/A</c:v>
                </c:pt>
                <c:pt idx="242">
                  <c:v>125</c:v>
                </c:pt>
                <c:pt idx="243">
                  <c:v>176</c:v>
                </c:pt>
                <c:pt idx="244">
                  <c:v>#N/A</c:v>
                </c:pt>
                <c:pt idx="245">
                  <c:v>125</c:v>
                </c:pt>
                <c:pt idx="246">
                  <c:v>#N/A</c:v>
                </c:pt>
                <c:pt idx="247">
                  <c:v>#N/A</c:v>
                </c:pt>
                <c:pt idx="248">
                  <c:v>#N/A</c:v>
                </c:pt>
                <c:pt idx="249">
                  <c:v>#N/A</c:v>
                </c:pt>
                <c:pt idx="250">
                  <c:v>#N/A</c:v>
                </c:pt>
                <c:pt idx="251">
                  <c:v>#N/A</c:v>
                </c:pt>
                <c:pt idx="252">
                  <c:v>#N/A</c:v>
                </c:pt>
                <c:pt idx="253">
                  <c:v>#N/A</c:v>
                </c:pt>
                <c:pt idx="254">
                  <c:v>258</c:v>
                </c:pt>
                <c:pt idx="255">
                  <c:v>125</c:v>
                </c:pt>
                <c:pt idx="256">
                  <c:v>#N/A</c:v>
                </c:pt>
                <c:pt idx="257">
                  <c:v>#N/A</c:v>
                </c:pt>
                <c:pt idx="258">
                  <c:v>#N/A</c:v>
                </c:pt>
                <c:pt idx="259">
                  <c:v>150</c:v>
                </c:pt>
                <c:pt idx="260">
                  <c:v>#N/A</c:v>
                </c:pt>
                <c:pt idx="261">
                  <c:v>125</c:v>
                </c:pt>
                <c:pt idx="262">
                  <c:v>#N/A</c:v>
                </c:pt>
                <c:pt idx="263">
                  <c:v>#N/A</c:v>
                </c:pt>
                <c:pt idx="264">
                  <c:v>125</c:v>
                </c:pt>
                <c:pt idx="265">
                  <c:v>#N/A</c:v>
                </c:pt>
                <c:pt idx="266">
                  <c:v>125</c:v>
                </c:pt>
                <c:pt idx="267">
                  <c:v>#N/A</c:v>
                </c:pt>
                <c:pt idx="268">
                  <c:v>#N/A</c:v>
                </c:pt>
                <c:pt idx="269">
                  <c:v>125</c:v>
                </c:pt>
                <c:pt idx="270">
                  <c:v>125</c:v>
                </c:pt>
                <c:pt idx="271">
                  <c:v>#N/A</c:v>
                </c:pt>
                <c:pt idx="272">
                  <c:v>#N/A</c:v>
                </c:pt>
                <c:pt idx="273">
                  <c:v>#N/A</c:v>
                </c:pt>
                <c:pt idx="274">
                  <c:v>#N/A</c:v>
                </c:pt>
                <c:pt idx="275">
                  <c:v>#N/A</c:v>
                </c:pt>
                <c:pt idx="276">
                  <c:v>125</c:v>
                </c:pt>
                <c:pt idx="277">
                  <c:v>#N/A</c:v>
                </c:pt>
                <c:pt idx="278">
                  <c:v>#N/A</c:v>
                </c:pt>
                <c:pt idx="279">
                  <c:v>#N/A</c:v>
                </c:pt>
                <c:pt idx="280">
                  <c:v>125</c:v>
                </c:pt>
                <c:pt idx="281">
                  <c:v>#N/A</c:v>
                </c:pt>
                <c:pt idx="282">
                  <c:v>#N/A</c:v>
                </c:pt>
                <c:pt idx="283">
                  <c:v>125</c:v>
                </c:pt>
                <c:pt idx="284">
                  <c:v>125</c:v>
                </c:pt>
                <c:pt idx="285">
                  <c:v>#N/A</c:v>
                </c:pt>
                <c:pt idx="286">
                  <c:v>#N/A</c:v>
                </c:pt>
                <c:pt idx="287">
                  <c:v>220</c:v>
                </c:pt>
                <c:pt idx="288">
                  <c:v>#N/A</c:v>
                </c:pt>
                <c:pt idx="289">
                  <c:v>#N/A</c:v>
                </c:pt>
                <c:pt idx="290">
                  <c:v>#N/A</c:v>
                </c:pt>
                <c:pt idx="291">
                  <c:v>74</c:v>
                </c:pt>
                <c:pt idx="292">
                  <c:v>182</c:v>
                </c:pt>
                <c:pt idx="293">
                  <c:v>194</c:v>
                </c:pt>
                <c:pt idx="294">
                  <c:v>#N/A</c:v>
                </c:pt>
                <c:pt idx="295">
                  <c:v>#N/A</c:v>
                </c:pt>
                <c:pt idx="296">
                  <c:v>360</c:v>
                </c:pt>
                <c:pt idx="297">
                  <c:v>#N/A</c:v>
                </c:pt>
                <c:pt idx="298">
                  <c:v>184</c:v>
                </c:pt>
                <c:pt idx="299">
                  <c:v>#N/A</c:v>
                </c:pt>
                <c:pt idx="300">
                  <c:v>125</c:v>
                </c:pt>
                <c:pt idx="301">
                  <c:v>135</c:v>
                </c:pt>
                <c:pt idx="302">
                  <c:v>#N/A</c:v>
                </c:pt>
                <c:pt idx="303">
                  <c:v>125</c:v>
                </c:pt>
                <c:pt idx="304">
                  <c:v>#N/A</c:v>
                </c:pt>
                <c:pt idx="305">
                  <c:v>#N/A</c:v>
                </c:pt>
                <c:pt idx="306">
                  <c:v>132</c:v>
                </c:pt>
                <c:pt idx="307">
                  <c:v>#N/A</c:v>
                </c:pt>
                <c:pt idx="308">
                  <c:v>180</c:v>
                </c:pt>
                <c:pt idx="309">
                  <c:v>205</c:v>
                </c:pt>
                <c:pt idx="310">
                  <c:v>#N/A</c:v>
                </c:pt>
                <c:pt idx="311">
                  <c:v>#N/A</c:v>
                </c:pt>
                <c:pt idx="312">
                  <c:v>96</c:v>
                </c:pt>
                <c:pt idx="313">
                  <c:v>#N/A</c:v>
                </c:pt>
                <c:pt idx="314">
                  <c:v>125</c:v>
                </c:pt>
                <c:pt idx="315">
                  <c:v>#N/A</c:v>
                </c:pt>
                <c:pt idx="316">
                  <c:v>#N/A</c:v>
                </c:pt>
                <c:pt idx="317">
                  <c:v>125</c:v>
                </c:pt>
                <c:pt idx="318">
                  <c:v>#N/A</c:v>
                </c:pt>
                <c:pt idx="319">
                  <c:v>125</c:v>
                </c:pt>
                <c:pt idx="320">
                  <c:v>#N/A</c:v>
                </c:pt>
                <c:pt idx="321">
                  <c:v>125</c:v>
                </c:pt>
                <c:pt idx="322">
                  <c:v>125</c:v>
                </c:pt>
                <c:pt idx="323">
                  <c:v>29</c:v>
                </c:pt>
                <c:pt idx="324">
                  <c:v>#N/A</c:v>
                </c:pt>
                <c:pt idx="325">
                  <c:v>#N/A</c:v>
                </c:pt>
                <c:pt idx="326">
                  <c:v>156</c:v>
                </c:pt>
                <c:pt idx="327">
                  <c:v>#N/A</c:v>
                </c:pt>
                <c:pt idx="328">
                  <c:v>120</c:v>
                </c:pt>
                <c:pt idx="329">
                  <c:v>#N/A</c:v>
                </c:pt>
                <c:pt idx="330">
                  <c:v>#N/A</c:v>
                </c:pt>
                <c:pt idx="331">
                  <c:v>#N/A</c:v>
                </c:pt>
                <c:pt idx="332">
                  <c:v>125</c:v>
                </c:pt>
                <c:pt idx="333">
                  <c:v>#N/A</c:v>
                </c:pt>
                <c:pt idx="334">
                  <c:v>#N/A</c:v>
                </c:pt>
                <c:pt idx="335">
                  <c:v>#N/A</c:v>
                </c:pt>
                <c:pt idx="336">
                  <c:v>#N/A</c:v>
                </c:pt>
                <c:pt idx="337">
                  <c:v>125</c:v>
                </c:pt>
                <c:pt idx="338">
                  <c:v>171</c:v>
                </c:pt>
                <c:pt idx="339">
                  <c:v>125</c:v>
                </c:pt>
                <c:pt idx="340">
                  <c:v>#N/A</c:v>
                </c:pt>
                <c:pt idx="341">
                  <c:v>#N/A</c:v>
                </c:pt>
                <c:pt idx="342">
                  <c:v>#N/A</c:v>
                </c:pt>
                <c:pt idx="343">
                  <c:v>#N/A</c:v>
                </c:pt>
                <c:pt idx="344">
                  <c:v>#N/A</c:v>
                </c:pt>
                <c:pt idx="345">
                  <c:v>#N/A</c:v>
                </c:pt>
                <c:pt idx="346">
                  <c:v>#N/A</c:v>
                </c:pt>
                <c:pt idx="347">
                  <c:v>#N/A</c:v>
                </c:pt>
                <c:pt idx="348">
                  <c:v>#N/A</c:v>
                </c:pt>
                <c:pt idx="349">
                  <c:v>125</c:v>
                </c:pt>
                <c:pt idx="350">
                  <c:v>#N/A</c:v>
                </c:pt>
                <c:pt idx="351">
                  <c:v>#N/A</c:v>
                </c:pt>
                <c:pt idx="352">
                  <c:v>#N/A</c:v>
                </c:pt>
                <c:pt idx="353">
                  <c:v>#N/A</c:v>
                </c:pt>
                <c:pt idx="354">
                  <c:v>#N/A</c:v>
                </c:pt>
                <c:pt idx="355">
                  <c:v>125</c:v>
                </c:pt>
                <c:pt idx="356">
                  <c:v>167</c:v>
                </c:pt>
                <c:pt idx="357">
                  <c:v>125</c:v>
                </c:pt>
                <c:pt idx="358">
                  <c:v>#N/A</c:v>
                </c:pt>
                <c:pt idx="359">
                  <c:v>249</c:v>
                </c:pt>
                <c:pt idx="360">
                  <c:v>325</c:v>
                </c:pt>
                <c:pt idx="361">
                  <c:v>#N/A</c:v>
                </c:pt>
                <c:pt idx="362">
                  <c:v>#N/A</c:v>
                </c:pt>
                <c:pt idx="363">
                  <c:v>125</c:v>
                </c:pt>
                <c:pt idx="364">
                  <c:v>#N/A</c:v>
                </c:pt>
                <c:pt idx="365">
                  <c:v>#N/A</c:v>
                </c:pt>
                <c:pt idx="366">
                  <c:v>125</c:v>
                </c:pt>
                <c:pt idx="367">
                  <c:v>#N/A</c:v>
                </c:pt>
                <c:pt idx="368">
                  <c:v>#N/A</c:v>
                </c:pt>
                <c:pt idx="369">
                  <c:v>140</c:v>
                </c:pt>
                <c:pt idx="370">
                  <c:v>465</c:v>
                </c:pt>
                <c:pt idx="371">
                  <c:v>#N/A</c:v>
                </c:pt>
                <c:pt idx="372">
                  <c:v>#N/A</c:v>
                </c:pt>
                <c:pt idx="373">
                  <c:v>#N/A</c:v>
                </c:pt>
                <c:pt idx="374">
                  <c:v>#N/A</c:v>
                </c:pt>
                <c:pt idx="375">
                  <c:v>325</c:v>
                </c:pt>
                <c:pt idx="376">
                  <c:v>#N/A</c:v>
                </c:pt>
                <c:pt idx="377">
                  <c:v>#N/A</c:v>
                </c:pt>
                <c:pt idx="378">
                  <c:v>125</c:v>
                </c:pt>
                <c:pt idx="379">
                  <c:v>#N/A</c:v>
                </c:pt>
                <c:pt idx="380">
                  <c:v>#N/A</c:v>
                </c:pt>
                <c:pt idx="381">
                  <c:v>#N/A</c:v>
                </c:pt>
                <c:pt idx="382">
                  <c:v>#N/A</c:v>
                </c:pt>
                <c:pt idx="383">
                  <c:v>#N/A</c:v>
                </c:pt>
                <c:pt idx="384">
                  <c:v>#N/A</c:v>
                </c:pt>
                <c:pt idx="385">
                  <c:v>#N/A</c:v>
                </c:pt>
                <c:pt idx="386">
                  <c:v>125</c:v>
                </c:pt>
                <c:pt idx="387">
                  <c:v>125</c:v>
                </c:pt>
                <c:pt idx="388">
                  <c:v>285</c:v>
                </c:pt>
                <c:pt idx="389">
                  <c:v>#N/A</c:v>
                </c:pt>
                <c:pt idx="390">
                  <c:v>#N/A</c:v>
                </c:pt>
                <c:pt idx="391">
                  <c:v>125</c:v>
                </c:pt>
                <c:pt idx="392">
                  <c:v>#N/A</c:v>
                </c:pt>
                <c:pt idx="393">
                  <c:v>#N/A</c:v>
                </c:pt>
                <c:pt idx="394">
                  <c:v>125</c:v>
                </c:pt>
                <c:pt idx="395">
                  <c:v>#N/A</c:v>
                </c:pt>
                <c:pt idx="396">
                  <c:v>#N/A</c:v>
                </c:pt>
                <c:pt idx="397">
                  <c:v>125</c:v>
                </c:pt>
                <c:pt idx="398">
                  <c:v>#N/A</c:v>
                </c:pt>
                <c:pt idx="399">
                  <c:v>125</c:v>
                </c:pt>
                <c:pt idx="400">
                  <c:v>125</c:v>
                </c:pt>
                <c:pt idx="401">
                  <c:v>#N/A</c:v>
                </c:pt>
                <c:pt idx="402">
                  <c:v>88</c:v>
                </c:pt>
                <c:pt idx="403">
                  <c:v>#N/A</c:v>
                </c:pt>
                <c:pt idx="404">
                  <c:v>125</c:v>
                </c:pt>
                <c:pt idx="405">
                  <c:v>#N/A</c:v>
                </c:pt>
                <c:pt idx="406">
                  <c:v>125</c:v>
                </c:pt>
                <c:pt idx="407">
                  <c:v>#N/A</c:v>
                </c:pt>
                <c:pt idx="408">
                  <c:v>125</c:v>
                </c:pt>
                <c:pt idx="409">
                  <c:v>579</c:v>
                </c:pt>
                <c:pt idx="410">
                  <c:v>#N/A</c:v>
                </c:pt>
                <c:pt idx="411">
                  <c:v>#N/A</c:v>
                </c:pt>
                <c:pt idx="412">
                  <c:v>#N/A</c:v>
                </c:pt>
                <c:pt idx="413">
                  <c:v>#N/A</c:v>
                </c:pt>
                <c:pt idx="414">
                  <c:v>167</c:v>
                </c:pt>
                <c:pt idx="415">
                  <c:v>474</c:v>
                </c:pt>
                <c:pt idx="416">
                  <c:v>#N/A</c:v>
                </c:pt>
                <c:pt idx="417">
                  <c:v>125</c:v>
                </c:pt>
                <c:pt idx="418">
                  <c:v>#N/A</c:v>
                </c:pt>
                <c:pt idx="419">
                  <c:v>115</c:v>
                </c:pt>
                <c:pt idx="420">
                  <c:v>#N/A</c:v>
                </c:pt>
                <c:pt idx="421">
                  <c:v>#N/A</c:v>
                </c:pt>
                <c:pt idx="422">
                  <c:v>#N/A</c:v>
                </c:pt>
                <c:pt idx="423">
                  <c:v>#N/A</c:v>
                </c:pt>
                <c:pt idx="424">
                  <c:v>210</c:v>
                </c:pt>
                <c:pt idx="425">
                  <c:v>277</c:v>
                </c:pt>
                <c:pt idx="426">
                  <c:v>#N/A</c:v>
                </c:pt>
                <c:pt idx="427">
                  <c:v>180</c:v>
                </c:pt>
                <c:pt idx="428">
                  <c:v>#N/A</c:v>
                </c:pt>
                <c:pt idx="429">
                  <c:v>180</c:v>
                </c:pt>
                <c:pt idx="430">
                  <c:v>#N/A</c:v>
                </c:pt>
                <c:pt idx="431">
                  <c:v>#N/A</c:v>
                </c:pt>
                <c:pt idx="432">
                  <c:v>#N/A</c:v>
                </c:pt>
                <c:pt idx="433">
                  <c:v>#N/A</c:v>
                </c:pt>
                <c:pt idx="434">
                  <c:v>#N/A</c:v>
                </c:pt>
                <c:pt idx="435">
                  <c:v>125</c:v>
                </c:pt>
                <c:pt idx="436">
                  <c:v>#N/A</c:v>
                </c:pt>
                <c:pt idx="437">
                  <c:v>#N/A</c:v>
                </c:pt>
                <c:pt idx="438">
                  <c:v>#N/A</c:v>
                </c:pt>
                <c:pt idx="439">
                  <c:v>#N/A</c:v>
                </c:pt>
                <c:pt idx="440">
                  <c:v>125</c:v>
                </c:pt>
                <c:pt idx="441">
                  <c:v>#N/A</c:v>
                </c:pt>
                <c:pt idx="442">
                  <c:v>#N/A</c:v>
                </c:pt>
                <c:pt idx="443">
                  <c:v>125</c:v>
                </c:pt>
                <c:pt idx="444">
                  <c:v>125</c:v>
                </c:pt>
                <c:pt idx="445">
                  <c:v>14</c:v>
                </c:pt>
                <c:pt idx="446">
                  <c:v>#N/A</c:v>
                </c:pt>
                <c:pt idx="447">
                  <c:v>#N/A</c:v>
                </c:pt>
                <c:pt idx="448">
                  <c:v>64</c:v>
                </c:pt>
                <c:pt idx="449">
                  <c:v>#N/A</c:v>
                </c:pt>
                <c:pt idx="450">
                  <c:v>#N/A</c:v>
                </c:pt>
                <c:pt idx="451">
                  <c:v>125</c:v>
                </c:pt>
                <c:pt idx="452">
                  <c:v>#N/A</c:v>
                </c:pt>
                <c:pt idx="453">
                  <c:v>#N/A</c:v>
                </c:pt>
                <c:pt idx="454">
                  <c:v>#N/A</c:v>
                </c:pt>
                <c:pt idx="455">
                  <c:v>125</c:v>
                </c:pt>
                <c:pt idx="456">
                  <c:v>#N/A</c:v>
                </c:pt>
                <c:pt idx="457">
                  <c:v>#N/A</c:v>
                </c:pt>
                <c:pt idx="458">
                  <c:v>237</c:v>
                </c:pt>
                <c:pt idx="459">
                  <c:v>#N/A</c:v>
                </c:pt>
                <c:pt idx="460">
                  <c:v>#N/A</c:v>
                </c:pt>
                <c:pt idx="461">
                  <c:v>#N/A</c:v>
                </c:pt>
                <c:pt idx="462">
                  <c:v>#N/A</c:v>
                </c:pt>
                <c:pt idx="463">
                  <c:v>#N/A</c:v>
                </c:pt>
                <c:pt idx="464">
                  <c:v>#N/A</c:v>
                </c:pt>
                <c:pt idx="465">
                  <c:v>#N/A</c:v>
                </c:pt>
                <c:pt idx="466">
                  <c:v>#N/A</c:v>
                </c:pt>
                <c:pt idx="467">
                  <c:v>#N/A</c:v>
                </c:pt>
                <c:pt idx="468">
                  <c:v>125</c:v>
                </c:pt>
                <c:pt idx="469">
                  <c:v>#N/A</c:v>
                </c:pt>
                <c:pt idx="470">
                  <c:v>#N/A</c:v>
                </c:pt>
                <c:pt idx="471">
                  <c:v>#N/A</c:v>
                </c:pt>
                <c:pt idx="472">
                  <c:v>#N/A</c:v>
                </c:pt>
                <c:pt idx="473">
                  <c:v>#N/A</c:v>
                </c:pt>
                <c:pt idx="474">
                  <c:v>#N/A</c:v>
                </c:pt>
                <c:pt idx="475">
                  <c:v>#N/A</c:v>
                </c:pt>
                <c:pt idx="476">
                  <c:v>191</c:v>
                </c:pt>
                <c:pt idx="477">
                  <c:v>#N/A</c:v>
                </c:pt>
                <c:pt idx="478">
                  <c:v>#N/A</c:v>
                </c:pt>
                <c:pt idx="479">
                  <c:v>#N/A</c:v>
                </c:pt>
                <c:pt idx="480">
                  <c:v>328</c:v>
                </c:pt>
                <c:pt idx="481">
                  <c:v>#N/A</c:v>
                </c:pt>
                <c:pt idx="482">
                  <c:v>#N/A</c:v>
                </c:pt>
                <c:pt idx="483">
                  <c:v>#N/A</c:v>
                </c:pt>
                <c:pt idx="484">
                  <c:v>125</c:v>
                </c:pt>
                <c:pt idx="485">
                  <c:v>250</c:v>
                </c:pt>
                <c:pt idx="486">
                  <c:v>#N/A</c:v>
                </c:pt>
                <c:pt idx="487">
                  <c:v>#N/A</c:v>
                </c:pt>
                <c:pt idx="488">
                  <c:v>#N/A</c:v>
                </c:pt>
                <c:pt idx="489">
                  <c:v>#N/A</c:v>
                </c:pt>
                <c:pt idx="490">
                  <c:v>#N/A</c:v>
                </c:pt>
                <c:pt idx="491">
                  <c:v>#N/A</c:v>
                </c:pt>
                <c:pt idx="492">
                  <c:v>#N/A</c:v>
                </c:pt>
                <c:pt idx="493">
                  <c:v>122</c:v>
                </c:pt>
                <c:pt idx="494">
                  <c:v>#N/A</c:v>
                </c:pt>
                <c:pt idx="495">
                  <c:v>#N/A</c:v>
                </c:pt>
                <c:pt idx="496">
                  <c:v>#N/A</c:v>
                </c:pt>
                <c:pt idx="497">
                  <c:v>#N/A</c:v>
                </c:pt>
                <c:pt idx="498">
                  <c:v>145</c:v>
                </c:pt>
                <c:pt idx="499">
                  <c:v>#N/A</c:v>
                </c:pt>
                <c:pt idx="500">
                  <c:v>#N/A</c:v>
                </c:pt>
                <c:pt idx="501">
                  <c:v>#N/A</c:v>
                </c:pt>
                <c:pt idx="502">
                  <c:v>125</c:v>
                </c:pt>
                <c:pt idx="503">
                  <c:v>#N/A</c:v>
                </c:pt>
                <c:pt idx="504">
                  <c:v>#N/A</c:v>
                </c:pt>
                <c:pt idx="505">
                  <c:v>#N/A</c:v>
                </c:pt>
                <c:pt idx="506">
                  <c:v>90</c:v>
                </c:pt>
                <c:pt idx="507">
                  <c:v>#N/A</c:v>
                </c:pt>
                <c:pt idx="508">
                  <c:v>#N/A</c:v>
                </c:pt>
                <c:pt idx="509">
                  <c:v>#N/A</c:v>
                </c:pt>
                <c:pt idx="510">
                  <c:v>125</c:v>
                </c:pt>
                <c:pt idx="511">
                  <c:v>#N/A</c:v>
                </c:pt>
                <c:pt idx="512">
                  <c:v>#N/A</c:v>
                </c:pt>
                <c:pt idx="513">
                  <c:v>#N/A</c:v>
                </c:pt>
                <c:pt idx="514">
                  <c:v>#N/A</c:v>
                </c:pt>
                <c:pt idx="515">
                  <c:v>105</c:v>
                </c:pt>
                <c:pt idx="516">
                  <c:v>165</c:v>
                </c:pt>
                <c:pt idx="517">
                  <c:v>#N/A</c:v>
                </c:pt>
                <c:pt idx="518">
                  <c:v>#N/A</c:v>
                </c:pt>
                <c:pt idx="519">
                  <c:v>#N/A</c:v>
                </c:pt>
                <c:pt idx="520">
                  <c:v>#N/A</c:v>
                </c:pt>
                <c:pt idx="521">
                  <c:v>#N/A</c:v>
                </c:pt>
                <c:pt idx="522">
                  <c:v>#N/A</c:v>
                </c:pt>
                <c:pt idx="523">
                  <c:v>125</c:v>
                </c:pt>
                <c:pt idx="524">
                  <c:v>#N/A</c:v>
                </c:pt>
                <c:pt idx="525">
                  <c:v>#N/A</c:v>
                </c:pt>
                <c:pt idx="526">
                  <c:v>#N/A</c:v>
                </c:pt>
                <c:pt idx="527">
                  <c:v>#N/A</c:v>
                </c:pt>
                <c:pt idx="528">
                  <c:v>#N/A</c:v>
                </c:pt>
                <c:pt idx="529">
                  <c:v>#N/A</c:v>
                </c:pt>
                <c:pt idx="530">
                  <c:v>#N/A</c:v>
                </c:pt>
                <c:pt idx="531">
                  <c:v>#N/A</c:v>
                </c:pt>
                <c:pt idx="532">
                  <c:v>#N/A</c:v>
                </c:pt>
                <c:pt idx="533">
                  <c:v>#N/A</c:v>
                </c:pt>
                <c:pt idx="534">
                  <c:v>#N/A</c:v>
                </c:pt>
                <c:pt idx="535">
                  <c:v>125</c:v>
                </c:pt>
                <c:pt idx="536">
                  <c:v>#N/A</c:v>
                </c:pt>
                <c:pt idx="537">
                  <c:v>#N/A</c:v>
                </c:pt>
                <c:pt idx="538">
                  <c:v>#N/A</c:v>
                </c:pt>
                <c:pt idx="539">
                  <c:v>155</c:v>
                </c:pt>
                <c:pt idx="540">
                  <c:v>215</c:v>
                </c:pt>
                <c:pt idx="541">
                  <c:v>190</c:v>
                </c:pt>
                <c:pt idx="542">
                  <c:v>125</c:v>
                </c:pt>
                <c:pt idx="543">
                  <c:v>#N/A</c:v>
                </c:pt>
                <c:pt idx="544">
                  <c:v>#N/A</c:v>
                </c:pt>
                <c:pt idx="545">
                  <c:v>225</c:v>
                </c:pt>
                <c:pt idx="546">
                  <c:v>207</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125</c:v>
                </c:pt>
                <c:pt idx="561">
                  <c:v>274</c:v>
                </c:pt>
                <c:pt idx="562">
                  <c:v>#N/A</c:v>
                </c:pt>
                <c:pt idx="563">
                  <c:v>#N/A</c:v>
                </c:pt>
                <c:pt idx="564">
                  <c:v>#N/A</c:v>
                </c:pt>
                <c:pt idx="565">
                  <c:v>#N/A</c:v>
                </c:pt>
                <c:pt idx="566">
                  <c:v>#N/A</c:v>
                </c:pt>
                <c:pt idx="567">
                  <c:v>#N/A</c:v>
                </c:pt>
                <c:pt idx="568">
                  <c:v>#N/A</c:v>
                </c:pt>
                <c:pt idx="569">
                  <c:v>165</c:v>
                </c:pt>
                <c:pt idx="570">
                  <c:v>#N/A</c:v>
                </c:pt>
                <c:pt idx="571">
                  <c:v>#N/A</c:v>
                </c:pt>
                <c:pt idx="572">
                  <c:v>#N/A</c:v>
                </c:pt>
                <c:pt idx="573">
                  <c:v>#N/A</c:v>
                </c:pt>
                <c:pt idx="574">
                  <c:v>#N/A</c:v>
                </c:pt>
                <c:pt idx="575">
                  <c:v>#N/A</c:v>
                </c:pt>
                <c:pt idx="576">
                  <c:v>#N/A</c:v>
                </c:pt>
                <c:pt idx="577">
                  <c:v>125</c:v>
                </c:pt>
                <c:pt idx="578">
                  <c:v>#N/A</c:v>
                </c:pt>
                <c:pt idx="579">
                  <c:v>125</c:v>
                </c:pt>
                <c:pt idx="580">
                  <c:v>125</c:v>
                </c:pt>
                <c:pt idx="581">
                  <c:v>#N/A</c:v>
                </c:pt>
                <c:pt idx="582">
                  <c:v>#N/A</c:v>
                </c:pt>
                <c:pt idx="583">
                  <c:v>#N/A</c:v>
                </c:pt>
                <c:pt idx="584">
                  <c:v>600</c:v>
                </c:pt>
                <c:pt idx="585">
                  <c:v>#N/A</c:v>
                </c:pt>
                <c:pt idx="586">
                  <c:v>125</c:v>
                </c:pt>
                <c:pt idx="587">
                  <c:v>#N/A</c:v>
                </c:pt>
                <c:pt idx="588">
                  <c:v>156</c:v>
                </c:pt>
                <c:pt idx="589">
                  <c:v>#N/A</c:v>
                </c:pt>
                <c:pt idx="590">
                  <c:v>125</c:v>
                </c:pt>
                <c:pt idx="591">
                  <c:v>#N/A</c:v>
                </c:pt>
                <c:pt idx="592">
                  <c:v>125</c:v>
                </c:pt>
                <c:pt idx="593">
                  <c:v>#N/A</c:v>
                </c:pt>
                <c:pt idx="594">
                  <c:v>#N/A</c:v>
                </c:pt>
                <c:pt idx="595">
                  <c:v>185</c:v>
                </c:pt>
                <c:pt idx="596">
                  <c:v>#N/A</c:v>
                </c:pt>
                <c:pt idx="597">
                  <c:v>#N/A</c:v>
                </c:pt>
                <c:pt idx="598">
                  <c:v>125</c:v>
                </c:pt>
                <c:pt idx="599">
                  <c:v>#N/A</c:v>
                </c:pt>
                <c:pt idx="600">
                  <c:v>#N/A</c:v>
                </c:pt>
                <c:pt idx="601">
                  <c:v>#N/A</c:v>
                </c:pt>
                <c:pt idx="602">
                  <c:v>#N/A</c:v>
                </c:pt>
                <c:pt idx="603">
                  <c:v>126</c:v>
                </c:pt>
                <c:pt idx="604">
                  <c:v>125</c:v>
                </c:pt>
                <c:pt idx="605">
                  <c:v>#N/A</c:v>
                </c:pt>
                <c:pt idx="606">
                  <c:v>293</c:v>
                </c:pt>
                <c:pt idx="607">
                  <c:v>#N/A</c:v>
                </c:pt>
                <c:pt idx="608">
                  <c:v>#N/A</c:v>
                </c:pt>
                <c:pt idx="609">
                  <c:v>#N/A</c:v>
                </c:pt>
                <c:pt idx="610">
                  <c:v>#N/A</c:v>
                </c:pt>
                <c:pt idx="611">
                  <c:v>194</c:v>
                </c:pt>
                <c:pt idx="612">
                  <c:v>321</c:v>
                </c:pt>
                <c:pt idx="613">
                  <c:v>#N/A</c:v>
                </c:pt>
                <c:pt idx="614">
                  <c:v>144</c:v>
                </c:pt>
                <c:pt idx="615">
                  <c:v>#N/A</c:v>
                </c:pt>
                <c:pt idx="616">
                  <c:v>#N/A</c:v>
                </c:pt>
                <c:pt idx="617">
                  <c:v>#N/A</c:v>
                </c:pt>
                <c:pt idx="618">
                  <c:v>125</c:v>
                </c:pt>
                <c:pt idx="619">
                  <c:v>125</c:v>
                </c:pt>
                <c:pt idx="620">
                  <c:v>#N/A</c:v>
                </c:pt>
                <c:pt idx="621">
                  <c:v>#N/A</c:v>
                </c:pt>
                <c:pt idx="622">
                  <c:v>#N/A</c:v>
                </c:pt>
                <c:pt idx="623">
                  <c:v>#N/A</c:v>
                </c:pt>
                <c:pt idx="624">
                  <c:v>#N/A</c:v>
                </c:pt>
                <c:pt idx="625">
                  <c:v>#N/A</c:v>
                </c:pt>
                <c:pt idx="626">
                  <c:v>#N/A</c:v>
                </c:pt>
                <c:pt idx="627">
                  <c:v>#N/A</c:v>
                </c:pt>
                <c:pt idx="628">
                  <c:v>#N/A</c:v>
                </c:pt>
                <c:pt idx="629">
                  <c:v>#N/A</c:v>
                </c:pt>
                <c:pt idx="630">
                  <c:v>125</c:v>
                </c:pt>
                <c:pt idx="631">
                  <c:v>#N/A</c:v>
                </c:pt>
                <c:pt idx="632">
                  <c:v>#N/A</c:v>
                </c:pt>
                <c:pt idx="633">
                  <c:v>#N/A</c:v>
                </c:pt>
                <c:pt idx="634">
                  <c:v>#N/A</c:v>
                </c:pt>
                <c:pt idx="635">
                  <c:v>125</c:v>
                </c:pt>
                <c:pt idx="636">
                  <c:v>#N/A</c:v>
                </c:pt>
                <c:pt idx="637">
                  <c:v>#N/A</c:v>
                </c:pt>
                <c:pt idx="638">
                  <c:v>91</c:v>
                </c:pt>
                <c:pt idx="639">
                  <c:v>#N/A</c:v>
                </c:pt>
                <c:pt idx="640">
                  <c:v>#N/A</c:v>
                </c:pt>
                <c:pt idx="641">
                  <c:v>#N/A</c:v>
                </c:pt>
                <c:pt idx="642">
                  <c:v>125</c:v>
                </c:pt>
                <c:pt idx="643">
                  <c:v>#N/A</c:v>
                </c:pt>
                <c:pt idx="644">
                  <c:v>#N/A</c:v>
                </c:pt>
                <c:pt idx="645">
                  <c:v>#N/A</c:v>
                </c:pt>
                <c:pt idx="646">
                  <c:v>144</c:v>
                </c:pt>
                <c:pt idx="647">
                  <c:v>159</c:v>
                </c:pt>
                <c:pt idx="648">
                  <c:v>130</c:v>
                </c:pt>
                <c:pt idx="649">
                  <c:v>#N/A</c:v>
                </c:pt>
                <c:pt idx="650">
                  <c:v>#N/A</c:v>
                </c:pt>
                <c:pt idx="651">
                  <c:v>#N/A</c:v>
                </c:pt>
                <c:pt idx="652">
                  <c:v>#N/A</c:v>
                </c:pt>
                <c:pt idx="653">
                  <c:v>#N/A</c:v>
                </c:pt>
                <c:pt idx="654">
                  <c:v>#N/A</c:v>
                </c:pt>
                <c:pt idx="655">
                  <c:v>540</c:v>
                </c:pt>
                <c:pt idx="656">
                  <c:v>#N/A</c:v>
                </c:pt>
                <c:pt idx="657">
                  <c:v>#N/A</c:v>
                </c:pt>
                <c:pt idx="658">
                  <c:v>#N/A</c:v>
                </c:pt>
                <c:pt idx="659">
                  <c:v>70</c:v>
                </c:pt>
                <c:pt idx="660">
                  <c:v>#N/A</c:v>
                </c:pt>
                <c:pt idx="661">
                  <c:v>125</c:v>
                </c:pt>
                <c:pt idx="662">
                  <c:v>231</c:v>
                </c:pt>
                <c:pt idx="663">
                  <c:v>130</c:v>
                </c:pt>
                <c:pt idx="664">
                  <c:v>125</c:v>
                </c:pt>
                <c:pt idx="665">
                  <c:v>#N/A</c:v>
                </c:pt>
                <c:pt idx="666">
                  <c:v>125</c:v>
                </c:pt>
                <c:pt idx="667">
                  <c:v>125</c:v>
                </c:pt>
                <c:pt idx="668">
                  <c:v>#N/A</c:v>
                </c:pt>
                <c:pt idx="669">
                  <c:v>#N/A</c:v>
                </c:pt>
                <c:pt idx="670">
                  <c:v>#N/A</c:v>
                </c:pt>
                <c:pt idx="671">
                  <c:v>#N/A</c:v>
                </c:pt>
                <c:pt idx="672">
                  <c:v>#N/A</c:v>
                </c:pt>
                <c:pt idx="673">
                  <c:v>#N/A</c:v>
                </c:pt>
                <c:pt idx="674">
                  <c:v>#N/A</c:v>
                </c:pt>
                <c:pt idx="675">
                  <c:v>125</c:v>
                </c:pt>
                <c:pt idx="676">
                  <c:v>125</c:v>
                </c:pt>
                <c:pt idx="677">
                  <c:v>#N/A</c:v>
                </c:pt>
                <c:pt idx="678">
                  <c:v>125</c:v>
                </c:pt>
                <c:pt idx="679">
                  <c:v>#N/A</c:v>
                </c:pt>
                <c:pt idx="680">
                  <c:v>#N/A</c:v>
                </c:pt>
                <c:pt idx="681">
                  <c:v>125</c:v>
                </c:pt>
                <c:pt idx="682">
                  <c:v>#N/A</c:v>
                </c:pt>
                <c:pt idx="683">
                  <c:v>125</c:v>
                </c:pt>
                <c:pt idx="684">
                  <c:v>#N/A</c:v>
                </c:pt>
                <c:pt idx="685">
                  <c:v>#N/A</c:v>
                </c:pt>
                <c:pt idx="686">
                  <c:v>#N/A</c:v>
                </c:pt>
                <c:pt idx="687">
                  <c:v>#N/A</c:v>
                </c:pt>
                <c:pt idx="688">
                  <c:v>#N/A</c:v>
                </c:pt>
                <c:pt idx="689">
                  <c:v>180</c:v>
                </c:pt>
                <c:pt idx="690">
                  <c:v>#N/A</c:v>
                </c:pt>
                <c:pt idx="691">
                  <c:v>125</c:v>
                </c:pt>
                <c:pt idx="692">
                  <c:v>#N/A</c:v>
                </c:pt>
                <c:pt idx="693">
                  <c:v>125</c:v>
                </c:pt>
                <c:pt idx="694">
                  <c:v>#N/A</c:v>
                </c:pt>
                <c:pt idx="695">
                  <c:v>480</c:v>
                </c:pt>
                <c:pt idx="696">
                  <c:v>125</c:v>
                </c:pt>
                <c:pt idx="697">
                  <c:v>#N/A</c:v>
                </c:pt>
                <c:pt idx="698">
                  <c:v>#N/A</c:v>
                </c:pt>
                <c:pt idx="699">
                  <c:v>#N/A</c:v>
                </c:pt>
                <c:pt idx="700">
                  <c:v>#N/A</c:v>
                </c:pt>
                <c:pt idx="701">
                  <c:v>125</c:v>
                </c:pt>
                <c:pt idx="702">
                  <c:v>125</c:v>
                </c:pt>
                <c:pt idx="703">
                  <c:v>#N/A</c:v>
                </c:pt>
                <c:pt idx="704">
                  <c:v>#N/A</c:v>
                </c:pt>
                <c:pt idx="705">
                  <c:v>#N/A</c:v>
                </c:pt>
                <c:pt idx="706">
                  <c:v>125</c:v>
                </c:pt>
                <c:pt idx="707">
                  <c:v>#N/A</c:v>
                </c:pt>
                <c:pt idx="708">
                  <c:v>125</c:v>
                </c:pt>
                <c:pt idx="709">
                  <c:v>160</c:v>
                </c:pt>
                <c:pt idx="710">
                  <c:v>#N/A</c:v>
                </c:pt>
                <c:pt idx="711">
                  <c:v>#N/A</c:v>
                </c:pt>
                <c:pt idx="712">
                  <c:v>125</c:v>
                </c:pt>
                <c:pt idx="713">
                  <c:v>#N/A</c:v>
                </c:pt>
                <c:pt idx="714">
                  <c:v>#N/A</c:v>
                </c:pt>
                <c:pt idx="715">
                  <c:v>392</c:v>
                </c:pt>
                <c:pt idx="716">
                  <c:v>185</c:v>
                </c:pt>
                <c:pt idx="717">
                  <c:v>#N/A</c:v>
                </c:pt>
                <c:pt idx="718">
                  <c:v>#N/A</c:v>
                </c:pt>
                <c:pt idx="719">
                  <c:v>125</c:v>
                </c:pt>
                <c:pt idx="720">
                  <c:v>#N/A</c:v>
                </c:pt>
                <c:pt idx="721">
                  <c:v>#N/A</c:v>
                </c:pt>
                <c:pt idx="722">
                  <c:v>127</c:v>
                </c:pt>
                <c:pt idx="723">
                  <c:v>#N/A</c:v>
                </c:pt>
                <c:pt idx="724">
                  <c:v>#N/A</c:v>
                </c:pt>
                <c:pt idx="725">
                  <c:v>#N/A</c:v>
                </c:pt>
                <c:pt idx="726">
                  <c:v>#N/A</c:v>
                </c:pt>
                <c:pt idx="727">
                  <c:v>#N/A</c:v>
                </c:pt>
                <c:pt idx="728">
                  <c:v>#N/A</c:v>
                </c:pt>
                <c:pt idx="729">
                  <c:v>#N/A</c:v>
                </c:pt>
                <c:pt idx="730">
                  <c:v>79</c:v>
                </c:pt>
                <c:pt idx="731">
                  <c:v>125</c:v>
                </c:pt>
                <c:pt idx="732">
                  <c:v>120</c:v>
                </c:pt>
                <c:pt idx="733">
                  <c:v>#N/A</c:v>
                </c:pt>
                <c:pt idx="734">
                  <c:v>#N/A</c:v>
                </c:pt>
                <c:pt idx="735">
                  <c:v>#N/A</c:v>
                </c:pt>
                <c:pt idx="736">
                  <c:v>#N/A</c:v>
                </c:pt>
                <c:pt idx="737">
                  <c:v>#N/A</c:v>
                </c:pt>
                <c:pt idx="738">
                  <c:v>#N/A</c:v>
                </c:pt>
                <c:pt idx="739">
                  <c:v>125</c:v>
                </c:pt>
                <c:pt idx="740">
                  <c:v>150</c:v>
                </c:pt>
                <c:pt idx="741">
                  <c:v>#N/A</c:v>
                </c:pt>
                <c:pt idx="742">
                  <c:v>#N/A</c:v>
                </c:pt>
                <c:pt idx="743">
                  <c:v>125</c:v>
                </c:pt>
                <c:pt idx="744">
                  <c:v>#N/A</c:v>
                </c:pt>
                <c:pt idx="745">
                  <c:v>#N/A</c:v>
                </c:pt>
                <c:pt idx="746">
                  <c:v>125</c:v>
                </c:pt>
                <c:pt idx="747">
                  <c:v>#N/A</c:v>
                </c:pt>
                <c:pt idx="748">
                  <c:v>200</c:v>
                </c:pt>
                <c:pt idx="749">
                  <c:v>125</c:v>
                </c:pt>
                <c:pt idx="750">
                  <c:v>125</c:v>
                </c:pt>
                <c:pt idx="751">
                  <c:v>#N/A</c:v>
                </c:pt>
                <c:pt idx="752">
                  <c:v>#N/A</c:v>
                </c:pt>
                <c:pt idx="753">
                  <c:v>510</c:v>
                </c:pt>
                <c:pt idx="754">
                  <c:v>125</c:v>
                </c:pt>
                <c:pt idx="755">
                  <c:v>110</c:v>
                </c:pt>
                <c:pt idx="756">
                  <c:v>#N/A</c:v>
                </c:pt>
                <c:pt idx="757">
                  <c:v>125</c:v>
                </c:pt>
                <c:pt idx="758">
                  <c:v>#N/A</c:v>
                </c:pt>
                <c:pt idx="759">
                  <c:v>125</c:v>
                </c:pt>
                <c:pt idx="760">
                  <c:v>#N/A</c:v>
                </c:pt>
                <c:pt idx="761">
                  <c:v>125</c:v>
                </c:pt>
                <c:pt idx="762">
                  <c:v>#N/A</c:v>
                </c:pt>
                <c:pt idx="763">
                  <c:v>#N/A</c:v>
                </c:pt>
                <c:pt idx="764">
                  <c:v>#N/A</c:v>
                </c:pt>
                <c:pt idx="765">
                  <c:v>#N/A</c:v>
                </c:pt>
                <c:pt idx="766">
                  <c:v>125</c:v>
                </c:pt>
                <c:pt idx="767">
                  <c:v>#N/A</c:v>
                </c:pt>
              </c:numCache>
            </c:numRef>
          </c:yVal>
          <c:smooth val="0"/>
          <c:extLst>
            <c:ext xmlns:c16="http://schemas.microsoft.com/office/drawing/2014/chart" uri="{C3380CC4-5D6E-409C-BE32-E72D297353CC}">
              <c16:uniqueId val="{00000002-6627-4002-8986-E332DB8C00B9}"/>
            </c:ext>
          </c:extLst>
        </c:ser>
        <c:ser>
          <c:idx val="2"/>
          <c:order val="2"/>
          <c:spPr>
            <a:ln w="25400" cap="rnd">
              <a:noFill/>
              <a:round/>
            </a:ln>
            <a:effectLst/>
          </c:spPr>
          <c:marker>
            <c:symbol val="circle"/>
            <c:size val="5"/>
            <c:spPr>
              <a:solidFill>
                <a:schemeClr val="accent3"/>
              </a:solidFill>
              <a:ln w="9525">
                <a:solidFill>
                  <a:schemeClr val="accent3"/>
                </a:solidFill>
              </a:ln>
              <a:effectLst/>
            </c:spPr>
          </c:marker>
          <c:dPt>
            <c:idx val="1"/>
            <c:marker>
              <c:symbol val="circle"/>
              <c:size val="5"/>
              <c:spPr>
                <a:solidFill>
                  <a:schemeClr val="accent3"/>
                </a:solidFill>
                <a:ln w="9525">
                  <a:solidFill>
                    <a:schemeClr val="accent3"/>
                  </a:solidFill>
                </a:ln>
                <a:effectLst/>
              </c:spPr>
            </c:marker>
            <c:bubble3D val="0"/>
            <c:spPr>
              <a:ln w="25400" cap="rnd">
                <a:solidFill>
                  <a:schemeClr val="bg1">
                    <a:lumMod val="75000"/>
                  </a:schemeClr>
                </a:solidFill>
                <a:round/>
              </a:ln>
              <a:effectLst/>
            </c:spPr>
            <c:extLst>
              <c:ext xmlns:c16="http://schemas.microsoft.com/office/drawing/2014/chart" uri="{C3380CC4-5D6E-409C-BE32-E72D297353CC}">
                <c16:uniqueId val="{00000005-6627-4002-8986-E332DB8C00B9}"/>
              </c:ext>
            </c:extLst>
          </c:dPt>
          <c:xVal>
            <c:numLit>
              <c:formatCode>General</c:formatCode>
              <c:ptCount val="2"/>
              <c:pt idx="0">
                <c:v>140</c:v>
              </c:pt>
              <c:pt idx="1">
                <c:v>140</c:v>
              </c:pt>
            </c:numLit>
          </c:xVal>
          <c:yVal>
            <c:numLit>
              <c:formatCode>General</c:formatCode>
              <c:ptCount val="2"/>
              <c:pt idx="0">
                <c:v>-10</c:v>
              </c:pt>
              <c:pt idx="1">
                <c:v>1000</c:v>
              </c:pt>
            </c:numLit>
          </c:yVal>
          <c:smooth val="0"/>
          <c:extLst>
            <c:ext xmlns:c16="http://schemas.microsoft.com/office/drawing/2014/chart" uri="{C3380CC4-5D6E-409C-BE32-E72D297353CC}">
              <c16:uniqueId val="{00000003-6627-4002-8986-E332DB8C00B9}"/>
            </c:ext>
          </c:extLst>
        </c:ser>
        <c:ser>
          <c:idx val="3"/>
          <c:order val="3"/>
          <c:spPr>
            <a:ln w="25400" cap="rnd">
              <a:solidFill>
                <a:srgbClr val="FCB6B8"/>
              </a:solidFill>
              <a:round/>
            </a:ln>
            <a:effectLst/>
          </c:spPr>
          <c:marker>
            <c:symbol val="circle"/>
            <c:size val="5"/>
            <c:spPr>
              <a:solidFill>
                <a:schemeClr val="accent4"/>
              </a:solidFill>
              <a:ln w="9525">
                <a:solidFill>
                  <a:schemeClr val="accent4"/>
                </a:solidFill>
              </a:ln>
              <a:effectLst/>
            </c:spPr>
          </c:marker>
          <c:dPt>
            <c:idx val="1"/>
            <c:marker>
              <c:symbol val="circle"/>
              <c:size val="5"/>
              <c:spPr>
                <a:solidFill>
                  <a:schemeClr val="accent4"/>
                </a:solidFill>
                <a:ln w="9525">
                  <a:solidFill>
                    <a:schemeClr val="accent4"/>
                  </a:solidFill>
                </a:ln>
                <a:effectLst/>
              </c:spPr>
            </c:marker>
            <c:bubble3D val="0"/>
            <c:spPr>
              <a:ln w="25400" cap="rnd">
                <a:solidFill>
                  <a:schemeClr val="bg1">
                    <a:lumMod val="75000"/>
                  </a:schemeClr>
                </a:solidFill>
                <a:round/>
              </a:ln>
              <a:effectLst/>
            </c:spPr>
            <c:extLst>
              <c:ext xmlns:c16="http://schemas.microsoft.com/office/drawing/2014/chart" uri="{C3380CC4-5D6E-409C-BE32-E72D297353CC}">
                <c16:uniqueId val="{00000006-6627-4002-8986-E332DB8C00B9}"/>
              </c:ext>
            </c:extLst>
          </c:dPt>
          <c:xVal>
            <c:numLit>
              <c:formatCode>General</c:formatCode>
              <c:ptCount val="2"/>
              <c:pt idx="0">
                <c:v>-10</c:v>
              </c:pt>
              <c:pt idx="1">
                <c:v>300</c:v>
              </c:pt>
            </c:numLit>
          </c:xVal>
          <c:yVal>
            <c:numLit>
              <c:formatCode>General</c:formatCode>
              <c:ptCount val="2"/>
              <c:pt idx="0">
                <c:v>166</c:v>
              </c:pt>
              <c:pt idx="1">
                <c:v>166</c:v>
              </c:pt>
            </c:numLit>
          </c:yVal>
          <c:smooth val="0"/>
          <c:extLst>
            <c:ext xmlns:c16="http://schemas.microsoft.com/office/drawing/2014/chart" uri="{C3380CC4-5D6E-409C-BE32-E72D297353CC}">
              <c16:uniqueId val="{00000004-6627-4002-8986-E332DB8C00B9}"/>
            </c:ext>
          </c:extLst>
        </c:ser>
        <c:dLbls>
          <c:showLegendKey val="0"/>
          <c:showVal val="0"/>
          <c:showCatName val="0"/>
          <c:showSerName val="0"/>
          <c:showPercent val="0"/>
          <c:showBubbleSize val="0"/>
        </c:dLbls>
        <c:axId val="571894127"/>
        <c:axId val="571891175"/>
      </c:scatterChart>
      <c:valAx>
        <c:axId val="571894127"/>
        <c:scaling>
          <c:orientation val="minMax"/>
          <c:max val="25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Glucose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891175"/>
        <c:crosses val="autoZero"/>
        <c:crossBetween val="midCat"/>
      </c:valAx>
      <c:valAx>
        <c:axId val="571891175"/>
        <c:scaling>
          <c:orientation val="minMax"/>
          <c:max val="6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Insulin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894127"/>
        <c:crosses val="autoZero"/>
        <c:crossBetween val="midCat"/>
      </c:valAx>
      <c:spPr>
        <a:noFill/>
        <a:ln>
          <a:noFill/>
        </a:ln>
        <a:effectLst/>
      </c:spPr>
    </c:plotArea>
    <c:legend>
      <c:legendPos val="r"/>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Correlation between Diabetes &amp; Various health indicators</a:t>
            </a:r>
          </a:p>
        </c:rich>
      </c:tx>
      <c:layout>
        <c:manualLayout>
          <c:xMode val="edge"/>
          <c:yMode val="edge"/>
          <c:x val="0.1254581692209952"/>
          <c:y val="3.5694126928086135E-3"/>
        </c:manualLayout>
      </c:layout>
      <c:overlay val="0"/>
      <c:spPr>
        <a:noFill/>
        <a:ln>
          <a:noFill/>
        </a:ln>
        <a:effectLst/>
      </c:spPr>
    </c:title>
    <c:autoTitleDeleted val="0"/>
    <c:plotArea>
      <c:layout>
        <c:manualLayout>
          <c:layoutTarget val="inner"/>
          <c:xMode val="edge"/>
          <c:yMode val="edge"/>
          <c:x val="0.18907770532083559"/>
          <c:y val="0.26608074220352979"/>
          <c:w val="0.62581849769732945"/>
          <c:h val="0.6676527227595902"/>
        </c:manualLayout>
      </c:layout>
      <c:radarChart>
        <c:radarStyle val="filled"/>
        <c:varyColors val="0"/>
        <c:ser>
          <c:idx val="1"/>
          <c:order val="0"/>
          <c:cat>
            <c:strRef>
              <c:f>correlation!$B$3:$I$3</c:f>
              <c:strCache>
                <c:ptCount val="8"/>
                <c:pt idx="0">
                  <c:v>Pregnancies</c:v>
                </c:pt>
                <c:pt idx="1">
                  <c:v>Glucose</c:v>
                </c:pt>
                <c:pt idx="2">
                  <c:v>Blood Pressure</c:v>
                </c:pt>
                <c:pt idx="3">
                  <c:v>Skin Thickness</c:v>
                </c:pt>
                <c:pt idx="4">
                  <c:v>Insulin</c:v>
                </c:pt>
                <c:pt idx="5">
                  <c:v>BMI</c:v>
                </c:pt>
                <c:pt idx="6">
                  <c:v>Diabetes Pedigree Function</c:v>
                </c:pt>
                <c:pt idx="7">
                  <c:v>Age</c:v>
                </c:pt>
              </c:strCache>
            </c:strRef>
          </c:cat>
          <c:val>
            <c:numRef>
              <c:f>correlation!$B$12:$I$12</c:f>
              <c:numCache>
                <c:formatCode>0.00</c:formatCode>
                <c:ptCount val="8"/>
                <c:pt idx="0">
                  <c:v>0.2218981530339883</c:v>
                </c:pt>
                <c:pt idx="1">
                  <c:v>0.49278240391502864</c:v>
                </c:pt>
                <c:pt idx="2">
                  <c:v>0.16572291308057716</c:v>
                </c:pt>
                <c:pt idx="3">
                  <c:v>0.21487321939198914</c:v>
                </c:pt>
                <c:pt idx="4">
                  <c:v>0.20379034224454631</c:v>
                </c:pt>
                <c:pt idx="5">
                  <c:v>0.31203833867711228</c:v>
                </c:pt>
                <c:pt idx="6">
                  <c:v>0.17384406565296084</c:v>
                </c:pt>
                <c:pt idx="7">
                  <c:v>0.23835598302719743</c:v>
                </c:pt>
              </c:numCache>
            </c:numRef>
          </c:val>
          <c:extLst>
            <c:ext xmlns:c16="http://schemas.microsoft.com/office/drawing/2014/chart" uri="{C3380CC4-5D6E-409C-BE32-E72D297353CC}">
              <c16:uniqueId val="{00000003-6FA0-4B0D-A3BB-FDF20AC2E7EA}"/>
            </c:ext>
          </c:extLst>
        </c:ser>
        <c:ser>
          <c:idx val="0"/>
          <c:order val="1"/>
          <c:spPr>
            <a:solidFill>
              <a:schemeClr val="accent1"/>
            </a:solidFill>
            <a:ln>
              <a:noFill/>
            </a:ln>
            <a:effectLst/>
          </c:spPr>
          <c:cat>
            <c:strRef>
              <c:f>correlation!$B$3:$I$3</c:f>
              <c:strCache>
                <c:ptCount val="8"/>
                <c:pt idx="0">
                  <c:v>Pregnancies</c:v>
                </c:pt>
                <c:pt idx="1">
                  <c:v>Glucose</c:v>
                </c:pt>
                <c:pt idx="2">
                  <c:v>Blood Pressure</c:v>
                </c:pt>
                <c:pt idx="3">
                  <c:v>Skin Thickness</c:v>
                </c:pt>
                <c:pt idx="4">
                  <c:v>Insulin</c:v>
                </c:pt>
                <c:pt idx="5">
                  <c:v>BMI</c:v>
                </c:pt>
                <c:pt idx="6">
                  <c:v>Diabetes Pedigree Function</c:v>
                </c:pt>
                <c:pt idx="7">
                  <c:v>Age</c:v>
                </c:pt>
              </c:strCache>
            </c:strRef>
          </c:cat>
          <c:val>
            <c:numRef>
              <c:f>correlation!$B$12:$I$12</c:f>
              <c:numCache>
                <c:formatCode>0.00</c:formatCode>
                <c:ptCount val="8"/>
                <c:pt idx="0">
                  <c:v>0.2218981530339883</c:v>
                </c:pt>
                <c:pt idx="1">
                  <c:v>0.49278240391502864</c:v>
                </c:pt>
                <c:pt idx="2">
                  <c:v>0.16572291308057716</c:v>
                </c:pt>
                <c:pt idx="3">
                  <c:v>0.21487321939198914</c:v>
                </c:pt>
                <c:pt idx="4">
                  <c:v>0.20379034224454631</c:v>
                </c:pt>
                <c:pt idx="5">
                  <c:v>0.31203833867711228</c:v>
                </c:pt>
                <c:pt idx="6">
                  <c:v>0.17384406565296084</c:v>
                </c:pt>
                <c:pt idx="7">
                  <c:v>0.23835598302719743</c:v>
                </c:pt>
              </c:numCache>
            </c:numRef>
          </c:val>
          <c:extLst>
            <c:ext xmlns:c16="http://schemas.microsoft.com/office/drawing/2014/chart" uri="{C3380CC4-5D6E-409C-BE32-E72D297353CC}">
              <c16:uniqueId val="{00000002-6FA0-4B0D-A3BB-FDF20AC2E7EA}"/>
            </c:ext>
          </c:extLst>
        </c:ser>
        <c:dLbls>
          <c:showLegendKey val="0"/>
          <c:showVal val="0"/>
          <c:showCatName val="0"/>
          <c:showSerName val="0"/>
          <c:showPercent val="0"/>
          <c:showBubbleSize val="0"/>
        </c:dLbls>
        <c:axId val="685665856"/>
        <c:axId val="685668808"/>
      </c:radarChart>
      <c:catAx>
        <c:axId val="685665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5668808"/>
        <c:crosses val="autoZero"/>
        <c:auto val="1"/>
        <c:lblAlgn val="ctr"/>
        <c:lblOffset val="100"/>
        <c:noMultiLvlLbl val="0"/>
      </c:catAx>
      <c:valAx>
        <c:axId val="685668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5665856"/>
        <c:crosses val="autoZero"/>
        <c:crossBetween val="between"/>
      </c:valAx>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Indicators.xlsm]count!PivotTable56</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sz="1200"/>
              <a:t>% of Patients with Glucose ≥</a:t>
            </a:r>
            <a:r>
              <a:rPr lang="en-SG" sz="1200" baseline="0"/>
              <a:t> </a:t>
            </a:r>
            <a:r>
              <a:rPr lang="en-SG" sz="1200"/>
              <a:t>140mg/dL</a:t>
            </a:r>
          </a:p>
        </c:rich>
      </c:tx>
      <c:layout>
        <c:manualLayout>
          <c:xMode val="edge"/>
          <c:yMode val="edge"/>
          <c:x val="4.2261944444444442E-2"/>
          <c:y val="5.0396825396825398E-2"/>
        </c:manualLayout>
      </c:layout>
      <c:overlay val="0"/>
      <c:spPr>
        <a:noFill/>
        <a:ln>
          <a:noFill/>
        </a:ln>
        <a:effectLst/>
      </c:spPr>
    </c:title>
    <c:autoTitleDeleted val="0"/>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bg1">
              <a:lumMod val="95000"/>
            </a:schemeClr>
          </a:solidFill>
          <a:ln>
            <a:noFill/>
          </a:ln>
          <a:effectLst/>
        </c:spPr>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8"/>
        <c:spPr>
          <a:solidFill>
            <a:schemeClr val="bg1">
              <a:lumMod val="95000"/>
            </a:schemeClr>
          </a:solidFill>
          <a:ln>
            <a:noFill/>
          </a:ln>
          <a:effectLst/>
        </c:spPr>
      </c:pivotFmt>
      <c:pivotFmt>
        <c:idx val="6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1"/>
        <c:spPr>
          <a:solidFill>
            <a:schemeClr val="bg1">
              <a:lumMod val="95000"/>
            </a:schemeClr>
          </a:solidFill>
          <a:ln>
            <a:noFill/>
          </a:ln>
          <a:effectLst/>
        </c:spPr>
      </c:pivotFmt>
      <c:pivotFmt>
        <c:idx val="7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4"/>
        <c:spPr>
          <a:solidFill>
            <a:schemeClr val="bg1">
              <a:lumMod val="95000"/>
            </a:schemeClr>
          </a:solidFill>
          <a:ln>
            <a:noFill/>
          </a:ln>
          <a:effectLst/>
        </c:spPr>
      </c:pivotFmt>
      <c:pivotFmt>
        <c:idx val="75"/>
        <c:spPr>
          <a:solidFill>
            <a:schemeClr val="accent1"/>
          </a:solidFill>
          <a:ln>
            <a:noFill/>
          </a:ln>
          <a:effectLst/>
        </c:spPr>
      </c:pivotFmt>
      <c:pivotFmt>
        <c:idx val="76"/>
      </c:pivotFmt>
      <c:pivotFmt>
        <c:idx val="77"/>
        <c:spPr>
          <a:solidFill>
            <a:schemeClr val="bg1">
              <a:lumMod val="95000"/>
            </a:schemeClr>
          </a:solidFill>
          <a:ln>
            <a:noFill/>
          </a:ln>
          <a:effectLst/>
        </c:spPr>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pivotFmt>
      <c:pivotFmt>
        <c:idx val="128"/>
      </c:pivotFmt>
      <c:pivotFmt>
        <c:idx val="129"/>
      </c:pivotFmt>
      <c:pivotFmt>
        <c:idx val="130"/>
      </c:pivotFmt>
      <c:pivotFmt>
        <c:idx val="131"/>
      </c:pivotFmt>
      <c:pivotFmt>
        <c:idx val="132"/>
      </c:pivotFmt>
      <c:pivotFmt>
        <c:idx val="133"/>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
        <c:idx val="143"/>
      </c:pivotFmt>
      <c:pivotFmt>
        <c:idx val="144"/>
      </c:pivotFmt>
      <c:pivotFmt>
        <c:idx val="145"/>
      </c:pivotFmt>
      <c:pivotFmt>
        <c:idx val="146"/>
      </c:pivotFmt>
      <c:pivotFmt>
        <c:idx val="147"/>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pivotFmt>
      <c:pivotFmt>
        <c:idx val="159"/>
      </c:pivotFmt>
      <c:pivotFmt>
        <c:idx val="160"/>
      </c:pivotFmt>
      <c:pivotFmt>
        <c:idx val="161"/>
      </c:pivotFmt>
      <c:pivotFmt>
        <c:idx val="162"/>
      </c:pivotFmt>
      <c:pivotFmt>
        <c:idx val="163"/>
      </c:pivotFmt>
      <c:pivotFmt>
        <c:idx val="164"/>
      </c:pivotFmt>
      <c:pivotFmt>
        <c:idx val="165"/>
      </c:pivotFmt>
      <c:pivotFmt>
        <c:idx val="166"/>
      </c:pivotFmt>
      <c:pivotFmt>
        <c:idx val="167"/>
      </c:pivotFmt>
      <c:pivotFmt>
        <c:idx val="168"/>
      </c:pivotFmt>
      <c:pivotFmt>
        <c:idx val="169"/>
      </c:pivotFmt>
      <c:pivotFmt>
        <c:idx val="170"/>
      </c:pivotFmt>
      <c:pivotFmt>
        <c:idx val="171"/>
      </c:pivotFmt>
      <c:pivotFmt>
        <c:idx val="172"/>
      </c:pivotFmt>
      <c:pivotFmt>
        <c:idx val="173"/>
      </c:pivotFmt>
      <c:pivotFmt>
        <c:idx val="174"/>
      </c:pivotFmt>
      <c:pivotFmt>
        <c:idx val="175"/>
      </c:pivotFmt>
      <c:pivotFmt>
        <c:idx val="176"/>
        <c:marker>
          <c:symbol val="none"/>
        </c:marker>
        <c:dLbl>
          <c:idx val="0"/>
          <c:delete val="1"/>
          <c:extLst>
            <c:ext xmlns:c15="http://schemas.microsoft.com/office/drawing/2012/chart" uri="{CE6537A1-D6FC-4f65-9D91-7224C49458BB}"/>
          </c:extLst>
        </c:dLbl>
      </c:pivotFmt>
      <c:pivotFmt>
        <c:idx val="177"/>
        <c:marker>
          <c:symbol val="none"/>
        </c:marker>
        <c:dLbl>
          <c:idx val="0"/>
          <c:delete val="1"/>
          <c:extLst>
            <c:ext xmlns:c15="http://schemas.microsoft.com/office/drawing/2012/chart" uri="{CE6537A1-D6FC-4f65-9D91-7224C49458BB}"/>
          </c:extLst>
        </c:dLbl>
      </c:pivotFmt>
      <c:pivotFmt>
        <c:idx val="178"/>
        <c:spPr>
          <a:solidFill>
            <a:schemeClr val="bg2"/>
          </a:solidFill>
        </c:spPr>
      </c:pivotFmt>
      <c:pivotFmt>
        <c:idx val="179"/>
        <c:dLbl>
          <c:idx val="0"/>
          <c:spPr>
            <a:noFill/>
            <a:ln>
              <a:noFill/>
            </a:ln>
            <a:effectLst/>
          </c:spPr>
          <c:txPr>
            <a:bodyPr wrap="square" lIns="38100" tIns="19050" rIns="38100" bIns="19050" anchor="ctr">
              <a:spAutoFit/>
            </a:bodyPr>
            <a:lstStyle/>
            <a:p>
              <a:pPr>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80"/>
        <c:marker>
          <c:symbol val="none"/>
        </c:marker>
        <c:dLbl>
          <c:idx val="0"/>
          <c:delete val="1"/>
          <c:extLst>
            <c:ext xmlns:c15="http://schemas.microsoft.com/office/drawing/2012/chart" uri="{CE6537A1-D6FC-4f65-9D91-7224C49458BB}"/>
          </c:extLst>
        </c:dLbl>
      </c:pivotFmt>
      <c:pivotFmt>
        <c:idx val="181"/>
        <c:spPr>
          <a:solidFill>
            <a:schemeClr val="bg2"/>
          </a:solidFill>
        </c:spPr>
      </c:pivotFmt>
    </c:pivotFmts>
    <c:plotArea>
      <c:layout>
        <c:manualLayout>
          <c:layoutTarget val="inner"/>
          <c:xMode val="edge"/>
          <c:yMode val="edge"/>
          <c:x val="5.9592222222222227E-2"/>
          <c:y val="0.21485182870654262"/>
          <c:w val="0.88376055555555555"/>
          <c:h val="0.62265694444444442"/>
        </c:manualLayout>
      </c:layout>
      <c:barChart>
        <c:barDir val="bar"/>
        <c:grouping val="percentStacked"/>
        <c:varyColors val="0"/>
        <c:ser>
          <c:idx val="0"/>
          <c:order val="0"/>
          <c:tx>
            <c:strRef>
              <c:f>count!$G$4:$G$5</c:f>
              <c:strCache>
                <c:ptCount val="1"/>
                <c:pt idx="0">
                  <c:v>Prediabetes</c:v>
                </c:pt>
              </c:strCache>
            </c:strRef>
          </c:tx>
          <c:invertIfNegative val="0"/>
          <c:cat>
            <c:strRef>
              <c:f>count!$F$6</c:f>
              <c:strCache>
                <c:ptCount val="1"/>
                <c:pt idx="0">
                  <c:v>Total</c:v>
                </c:pt>
              </c:strCache>
            </c:strRef>
          </c:cat>
          <c:val>
            <c:numRef>
              <c:f>count!$G$6</c:f>
              <c:numCache>
                <c:formatCode>0%</c:formatCode>
                <c:ptCount val="1"/>
                <c:pt idx="0">
                  <c:v>0.25651041666666669</c:v>
                </c:pt>
              </c:numCache>
            </c:numRef>
          </c:val>
          <c:extLst>
            <c:ext xmlns:c16="http://schemas.microsoft.com/office/drawing/2014/chart" uri="{C3380CC4-5D6E-409C-BE32-E72D297353CC}">
              <c16:uniqueId val="{00000001-FDA0-41E0-841D-17C93DA35A6D}"/>
            </c:ext>
          </c:extLst>
        </c:ser>
        <c:ser>
          <c:idx val="1"/>
          <c:order val="1"/>
          <c:tx>
            <c:strRef>
              <c:f>count!$H$4:$H$5</c:f>
              <c:strCache>
                <c:ptCount val="1"/>
                <c:pt idx="0">
                  <c:v>Normal Sugar Level</c:v>
                </c:pt>
              </c:strCache>
            </c:strRef>
          </c:tx>
          <c:invertIfNegative val="0"/>
          <c:dPt>
            <c:idx val="0"/>
            <c:invertIfNegative val="0"/>
            <c:bubble3D val="0"/>
            <c:spPr>
              <a:solidFill>
                <a:schemeClr val="bg2"/>
              </a:solidFill>
            </c:spPr>
            <c:extLst>
              <c:ext xmlns:c16="http://schemas.microsoft.com/office/drawing/2014/chart" uri="{C3380CC4-5D6E-409C-BE32-E72D297353CC}">
                <c16:uniqueId val="{00000001-80CE-4E6B-894D-5056020F1CC5}"/>
              </c:ext>
            </c:extLst>
          </c:dPt>
          <c:cat>
            <c:strRef>
              <c:f>count!$F$6</c:f>
              <c:strCache>
                <c:ptCount val="1"/>
                <c:pt idx="0">
                  <c:v>Total</c:v>
                </c:pt>
              </c:strCache>
            </c:strRef>
          </c:cat>
          <c:val>
            <c:numRef>
              <c:f>count!$H$6</c:f>
              <c:numCache>
                <c:formatCode>0%</c:formatCode>
                <c:ptCount val="1"/>
                <c:pt idx="0">
                  <c:v>0.74348958333333337</c:v>
                </c:pt>
              </c:numCache>
            </c:numRef>
          </c:val>
          <c:extLst>
            <c:ext xmlns:c16="http://schemas.microsoft.com/office/drawing/2014/chart" uri="{C3380CC4-5D6E-409C-BE32-E72D297353CC}">
              <c16:uniqueId val="{00000005-8506-4780-B9FD-2A6F73B0663A}"/>
            </c:ext>
          </c:extLst>
        </c:ser>
        <c:dLbls>
          <c:showLegendKey val="0"/>
          <c:showVal val="0"/>
          <c:showCatName val="0"/>
          <c:showSerName val="0"/>
          <c:showPercent val="0"/>
          <c:showBubbleSize val="0"/>
        </c:dLbls>
        <c:gapWidth val="35"/>
        <c:overlap val="100"/>
        <c:axId val="727118592"/>
        <c:axId val="727120232"/>
      </c:barChart>
      <c:catAx>
        <c:axId val="727118592"/>
        <c:scaling>
          <c:orientation val="minMax"/>
        </c:scaling>
        <c:delete val="1"/>
        <c:axPos val="r"/>
        <c:numFmt formatCode="General" sourceLinked="1"/>
        <c:majorTickMark val="out"/>
        <c:minorTickMark val="none"/>
        <c:tickLblPos val="nextTo"/>
        <c:crossAx val="727120232"/>
        <c:crosses val="max"/>
        <c:auto val="1"/>
        <c:lblAlgn val="ctr"/>
        <c:lblOffset val="100"/>
        <c:noMultiLvlLbl val="0"/>
      </c:catAx>
      <c:valAx>
        <c:axId val="727120232"/>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chemeClr val="accent1">
                <a:alpha val="91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118592"/>
        <c:crosses val="autoZero"/>
        <c:crossBetween val="between"/>
        <c:majorUnit val="0.5"/>
      </c:valAx>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Indicators.xlsm]count!PivotTable57</c:name>
    <c:fmtId val="6"/>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SG" sz="1200" b="0" i="0" u="none" strike="noStrike" baseline="0">
                <a:effectLst/>
              </a:rPr>
              <a:t>% of Patients with </a:t>
            </a:r>
            <a:r>
              <a:rPr lang="en-US" sz="1200" b="0" i="0" u="none" strike="noStrike" baseline="0">
                <a:effectLst/>
              </a:rPr>
              <a:t>blood pressure ≥80mm Hg</a:t>
            </a:r>
            <a:endParaRPr lang="en-US" sz="1200"/>
          </a:p>
        </c:rich>
      </c:tx>
      <c:layout>
        <c:manualLayout>
          <c:xMode val="edge"/>
          <c:yMode val="edge"/>
          <c:x val="5.2901388888888887E-2"/>
          <c:y val="5.3992361111111109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87"/>
        <c:marker>
          <c:symbol val="none"/>
        </c:marker>
        <c:dLbl>
          <c:idx val="0"/>
          <c:delete val="1"/>
          <c:extLst>
            <c:ext xmlns:c15="http://schemas.microsoft.com/office/drawing/2012/chart" uri="{CE6537A1-D6FC-4f65-9D91-7224C49458BB}"/>
          </c:extLst>
        </c:dLbl>
      </c:pivotFmt>
      <c:pivotFmt>
        <c:idx val="88"/>
        <c:marker>
          <c:symbol val="none"/>
        </c:marker>
        <c:dLbl>
          <c:idx val="0"/>
          <c:delete val="1"/>
          <c:extLst>
            <c:ext xmlns:c15="http://schemas.microsoft.com/office/drawing/2012/chart" uri="{CE6537A1-D6FC-4f65-9D91-7224C49458BB}"/>
          </c:extLst>
        </c:dLbl>
      </c:pivotFmt>
      <c:pivotFmt>
        <c:idx val="89"/>
        <c:marker>
          <c:symbol val="none"/>
        </c:marker>
        <c:dLbl>
          <c:idx val="0"/>
          <c:delete val="1"/>
          <c:extLst>
            <c:ext xmlns:c15="http://schemas.microsoft.com/office/drawing/2012/chart" uri="{CE6537A1-D6FC-4f65-9D91-7224C49458BB}"/>
          </c:extLst>
        </c:dLbl>
      </c:pivotFmt>
      <c:pivotFmt>
        <c:idx val="90"/>
        <c:marker>
          <c:symbol val="none"/>
        </c:marker>
        <c:dLbl>
          <c:idx val="0"/>
          <c:delete val="1"/>
          <c:extLst>
            <c:ext xmlns:c15="http://schemas.microsoft.com/office/drawing/2012/chart" uri="{CE6537A1-D6FC-4f65-9D91-7224C49458BB}"/>
          </c:extLst>
        </c:dLbl>
      </c:pivotFmt>
      <c:pivotFmt>
        <c:idx val="91"/>
        <c:marker>
          <c:symbol val="none"/>
        </c:marker>
        <c:dLbl>
          <c:idx val="0"/>
          <c:delete val="1"/>
          <c:extLst>
            <c:ext xmlns:c15="http://schemas.microsoft.com/office/drawing/2012/chart" uri="{CE6537A1-D6FC-4f65-9D91-7224C49458BB}"/>
          </c:extLst>
        </c:dLbl>
      </c:pivotFmt>
      <c:pivotFmt>
        <c:idx val="92"/>
        <c:spPr>
          <a:solidFill>
            <a:schemeClr val="bg2"/>
          </a:solidFill>
        </c:spPr>
        <c:marker>
          <c:symbol val="none"/>
        </c:marker>
        <c:dLbl>
          <c:idx val="0"/>
          <c:delete val="1"/>
          <c:extLst>
            <c:ext xmlns:c15="http://schemas.microsoft.com/office/drawing/2012/chart" uri="{CE6537A1-D6FC-4f65-9D91-7224C49458BB}"/>
          </c:extLst>
        </c:dLbl>
      </c:pivotFmt>
      <c:pivotFmt>
        <c:idx val="93"/>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5.5621666666666666E-2"/>
          <c:y val="0.19721319444444449"/>
          <c:w val="0.88546000000000002"/>
          <c:h val="0.6422881944444444"/>
        </c:manualLayout>
      </c:layout>
      <c:barChart>
        <c:barDir val="bar"/>
        <c:grouping val="percentStacked"/>
        <c:varyColors val="0"/>
        <c:ser>
          <c:idx val="0"/>
          <c:order val="0"/>
          <c:tx>
            <c:strRef>
              <c:f>count!$G$20:$G$22</c:f>
              <c:strCache>
                <c:ptCount val="1"/>
                <c:pt idx="0">
                  <c:v>Group1</c:v>
                </c:pt>
              </c:strCache>
            </c:strRef>
          </c:tx>
          <c:invertIfNegative val="0"/>
          <c:cat>
            <c:strRef>
              <c:f>count!$F$23</c:f>
              <c:strCache>
                <c:ptCount val="1"/>
                <c:pt idx="0">
                  <c:v>Total</c:v>
                </c:pt>
              </c:strCache>
            </c:strRef>
          </c:cat>
          <c:val>
            <c:numRef>
              <c:f>count!$G$23</c:f>
              <c:numCache>
                <c:formatCode>0%</c:formatCode>
                <c:ptCount val="1"/>
                <c:pt idx="0">
                  <c:v>0.26692708333333331</c:v>
                </c:pt>
              </c:numCache>
            </c:numRef>
          </c:val>
          <c:extLst>
            <c:ext xmlns:c16="http://schemas.microsoft.com/office/drawing/2014/chart" uri="{C3380CC4-5D6E-409C-BE32-E72D297353CC}">
              <c16:uniqueId val="{00000001-1984-485D-A750-233E3C155BE1}"/>
            </c:ext>
          </c:extLst>
        </c:ser>
        <c:ser>
          <c:idx val="1"/>
          <c:order val="1"/>
          <c:tx>
            <c:strRef>
              <c:f>count!$H$20:$H$22</c:f>
              <c:strCache>
                <c:ptCount val="1"/>
                <c:pt idx="0">
                  <c:v>Normal BP</c:v>
                </c:pt>
              </c:strCache>
            </c:strRef>
          </c:tx>
          <c:spPr>
            <a:solidFill>
              <a:schemeClr val="bg2"/>
            </a:solidFill>
          </c:spPr>
          <c:invertIfNegative val="0"/>
          <c:cat>
            <c:strRef>
              <c:f>count!$F$23</c:f>
              <c:strCache>
                <c:ptCount val="1"/>
                <c:pt idx="0">
                  <c:v>Total</c:v>
                </c:pt>
              </c:strCache>
            </c:strRef>
          </c:cat>
          <c:val>
            <c:numRef>
              <c:f>count!$H$23</c:f>
              <c:numCache>
                <c:formatCode>0%</c:formatCode>
                <c:ptCount val="1"/>
                <c:pt idx="0">
                  <c:v>0.73307291666666663</c:v>
                </c:pt>
              </c:numCache>
            </c:numRef>
          </c:val>
          <c:extLst>
            <c:ext xmlns:c16="http://schemas.microsoft.com/office/drawing/2014/chart" uri="{C3380CC4-5D6E-409C-BE32-E72D297353CC}">
              <c16:uniqueId val="{00000003-A98E-42C1-A1C8-F356C9563EBA}"/>
            </c:ext>
          </c:extLst>
        </c:ser>
        <c:dLbls>
          <c:showLegendKey val="0"/>
          <c:showVal val="0"/>
          <c:showCatName val="0"/>
          <c:showSerName val="0"/>
          <c:showPercent val="0"/>
          <c:showBubbleSize val="0"/>
        </c:dLbls>
        <c:gapWidth val="35"/>
        <c:overlap val="100"/>
        <c:axId val="727118592"/>
        <c:axId val="727120232"/>
      </c:barChart>
      <c:catAx>
        <c:axId val="727118592"/>
        <c:scaling>
          <c:orientation val="minMax"/>
        </c:scaling>
        <c:delete val="1"/>
        <c:axPos val="r"/>
        <c:numFmt formatCode="General" sourceLinked="1"/>
        <c:majorTickMark val="out"/>
        <c:minorTickMark val="none"/>
        <c:tickLblPos val="nextTo"/>
        <c:crossAx val="727120232"/>
        <c:crosses val="max"/>
        <c:auto val="1"/>
        <c:lblAlgn val="ctr"/>
        <c:lblOffset val="100"/>
        <c:noMultiLvlLbl val="0"/>
      </c:catAx>
      <c:valAx>
        <c:axId val="727120232"/>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chemeClr val="accent1">
                <a:alpha val="91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118592"/>
        <c:crosses val="autoZero"/>
        <c:crossBetween val="between"/>
        <c:majorUnit val="0.5"/>
      </c:valAx>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Indicators.xlsm]count!PivotTable58</c:name>
    <c:fmtId val="9"/>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 of Patients with Skin Thickness &gt;23mm</a:t>
            </a:r>
            <a:endParaRPr lang="en-US" sz="1200"/>
          </a:p>
        </c:rich>
      </c:tx>
      <c:layout>
        <c:manualLayout>
          <c:xMode val="edge"/>
          <c:yMode val="edge"/>
          <c:x val="5.6373055555555558E-2"/>
          <c:y val="5.2916666666666667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D7D31"/>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bg2"/>
          </a:solidFill>
          <a:ln>
            <a:noFill/>
          </a:ln>
          <a:effectLst/>
          <a:extLst>
            <a:ext uri="{91240B29-F687-4F45-9708-019B960494DF}">
              <a14:hiddenLine xmlns:a14="http://schemas.microsoft.com/office/drawing/2010/main">
                <a:noFill/>
              </a14:hiddenLine>
            </a:ext>
          </a:extLst>
        </c:spPr>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rgbClr val="ED7D31"/>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bg2"/>
          </a:solidFill>
          <a:ln>
            <a:noFill/>
          </a:ln>
          <a:effectLst/>
          <a:extLst>
            <a:ext uri="{91240B29-F687-4F45-9708-019B960494DF}">
              <a14:hiddenLine xmlns:a14="http://schemas.microsoft.com/office/drawing/2010/main">
                <a:noFill/>
              </a14:hiddenLine>
            </a:ext>
          </a:ex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727222222222225E-2"/>
          <c:y val="0.19976041666666666"/>
          <c:w val="0.87456999999999996"/>
          <c:h val="0.63974097222222215"/>
        </c:manualLayout>
      </c:layout>
      <c:barChart>
        <c:barDir val="bar"/>
        <c:grouping val="percentStacked"/>
        <c:varyColors val="0"/>
        <c:ser>
          <c:idx val="0"/>
          <c:order val="0"/>
          <c:tx>
            <c:strRef>
              <c:f>count!$L$4:$L$5</c:f>
              <c:strCache>
                <c:ptCount val="1"/>
                <c:pt idx="0">
                  <c:v>Thick</c:v>
                </c:pt>
              </c:strCache>
            </c:strRef>
          </c:tx>
          <c:spPr>
            <a:solidFill>
              <a:schemeClr val="accent1"/>
            </a:solidFill>
            <a:ln>
              <a:noFill/>
            </a:ln>
            <a:effectLst/>
          </c:spPr>
          <c:invertIfNegative val="0"/>
          <c:cat>
            <c:strRef>
              <c:f>count!$K$6</c:f>
              <c:strCache>
                <c:ptCount val="1"/>
                <c:pt idx="0">
                  <c:v>Total</c:v>
                </c:pt>
              </c:strCache>
            </c:strRef>
          </c:cat>
          <c:val>
            <c:numRef>
              <c:f>count!$L$6</c:f>
              <c:numCache>
                <c:formatCode>0%</c:formatCode>
                <c:ptCount val="1"/>
                <c:pt idx="0">
                  <c:v>0.77604166666666663</c:v>
                </c:pt>
              </c:numCache>
            </c:numRef>
          </c:val>
          <c:extLst>
            <c:ext xmlns:c16="http://schemas.microsoft.com/office/drawing/2014/chart" uri="{C3380CC4-5D6E-409C-BE32-E72D297353CC}">
              <c16:uniqueId val="{00000000-E41C-4B3C-8C4A-74999BC2994B}"/>
            </c:ext>
          </c:extLst>
        </c:ser>
        <c:ser>
          <c:idx val="1"/>
          <c:order val="1"/>
          <c:tx>
            <c:strRef>
              <c:f>count!$M$4:$M$5</c:f>
              <c:strCache>
                <c:ptCount val="1"/>
                <c:pt idx="0">
                  <c:v>Normal </c:v>
                </c:pt>
              </c:strCache>
            </c:strRef>
          </c:tx>
          <c:spPr>
            <a:solidFill>
              <a:schemeClr val="bg2"/>
            </a:solidFill>
            <a:ln>
              <a:noFill/>
            </a:ln>
            <a:effectLst/>
          </c:spPr>
          <c:invertIfNegative val="0"/>
          <c:cat>
            <c:strRef>
              <c:f>count!$K$6</c:f>
              <c:strCache>
                <c:ptCount val="1"/>
                <c:pt idx="0">
                  <c:v>Total</c:v>
                </c:pt>
              </c:strCache>
            </c:strRef>
          </c:cat>
          <c:val>
            <c:numRef>
              <c:f>count!$M$6</c:f>
              <c:numCache>
                <c:formatCode>0%</c:formatCode>
                <c:ptCount val="1"/>
                <c:pt idx="0">
                  <c:v>0.22395833333333334</c:v>
                </c:pt>
              </c:numCache>
            </c:numRef>
          </c:val>
          <c:extLst>
            <c:ext xmlns:c16="http://schemas.microsoft.com/office/drawing/2014/chart" uri="{C3380CC4-5D6E-409C-BE32-E72D297353CC}">
              <c16:uniqueId val="{00000003-09A1-42B2-905A-AA676BCAF5E6}"/>
            </c:ext>
          </c:extLst>
        </c:ser>
        <c:dLbls>
          <c:showLegendKey val="0"/>
          <c:showVal val="0"/>
          <c:showCatName val="0"/>
          <c:showSerName val="0"/>
          <c:showPercent val="0"/>
          <c:showBubbleSize val="0"/>
        </c:dLbls>
        <c:gapWidth val="35"/>
        <c:overlap val="100"/>
        <c:axId val="237380639"/>
        <c:axId val="237380967"/>
      </c:barChart>
      <c:catAx>
        <c:axId val="237380639"/>
        <c:scaling>
          <c:orientation val="minMax"/>
        </c:scaling>
        <c:delete val="1"/>
        <c:axPos val="l"/>
        <c:numFmt formatCode="General" sourceLinked="1"/>
        <c:majorTickMark val="none"/>
        <c:minorTickMark val="none"/>
        <c:tickLblPos val="nextTo"/>
        <c:crossAx val="237380967"/>
        <c:crosses val="autoZero"/>
        <c:auto val="1"/>
        <c:lblAlgn val="ctr"/>
        <c:lblOffset val="100"/>
        <c:noMultiLvlLbl val="0"/>
      </c:catAx>
      <c:valAx>
        <c:axId val="237380967"/>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380639"/>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Indicators.xlsm]count!PivotTable59</c:name>
    <c:fmtId val="10"/>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SG" sz="1200" b="0" i="0" u="none" strike="noStrike" baseline="0">
                <a:effectLst/>
              </a:rPr>
              <a:t>% of Patients with 2hr serum insulin &gt;166mIU/L</a:t>
            </a:r>
            <a:endParaRPr lang="en-SG" sz="1200" b="0"/>
          </a:p>
        </c:rich>
      </c:tx>
      <c:layout>
        <c:manualLayout>
          <c:xMode val="edge"/>
          <c:yMode val="edge"/>
          <c:x val="6.5342413608331387E-2"/>
          <c:y val="5.366919510150922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D7D31"/>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bg2"/>
          </a:solidFill>
          <a:ln>
            <a:noFill/>
          </a:ln>
          <a:effectLst/>
          <a:extLst>
            <a:ext uri="{91240B29-F687-4F45-9708-019B960494DF}">
              <a14:hiddenLine xmlns:a14="http://schemas.microsoft.com/office/drawing/2010/main">
                <a:noFill/>
              </a14:hiddenLine>
            </a:ext>
          </a:extLst>
        </c:spPr>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pivotFmt>
      <c:pivotFmt>
        <c:idx val="2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199456037509763E-2"/>
          <c:y val="0.20227076763523005"/>
          <c:w val="0.88870353523544876"/>
          <c:h val="0.62353404041074012"/>
        </c:manualLayout>
      </c:layout>
      <c:barChart>
        <c:barDir val="bar"/>
        <c:grouping val="percentStacked"/>
        <c:varyColors val="0"/>
        <c:ser>
          <c:idx val="0"/>
          <c:order val="0"/>
          <c:tx>
            <c:strRef>
              <c:f>count!$L$20:$L$21</c:f>
              <c:strCache>
                <c:ptCount val="1"/>
                <c:pt idx="0">
                  <c:v>Too High</c:v>
                </c:pt>
              </c:strCache>
            </c:strRef>
          </c:tx>
          <c:spPr>
            <a:solidFill>
              <a:schemeClr val="accent1"/>
            </a:solidFill>
            <a:ln>
              <a:noFill/>
            </a:ln>
            <a:effectLst/>
          </c:spPr>
          <c:invertIfNegative val="0"/>
          <c:cat>
            <c:strRef>
              <c:f>count!$K$22</c:f>
              <c:strCache>
                <c:ptCount val="1"/>
                <c:pt idx="0">
                  <c:v>Total</c:v>
                </c:pt>
              </c:strCache>
            </c:strRef>
          </c:cat>
          <c:val>
            <c:numRef>
              <c:f>count!$L$22</c:f>
              <c:numCache>
                <c:formatCode>0%</c:formatCode>
                <c:ptCount val="1"/>
                <c:pt idx="0">
                  <c:v>0.171875</c:v>
                </c:pt>
              </c:numCache>
            </c:numRef>
          </c:val>
          <c:extLst>
            <c:ext xmlns:c16="http://schemas.microsoft.com/office/drawing/2014/chart" uri="{C3380CC4-5D6E-409C-BE32-E72D297353CC}">
              <c16:uniqueId val="{00000000-AE8A-4146-BCC0-5BB45FDF39DA}"/>
            </c:ext>
          </c:extLst>
        </c:ser>
        <c:ser>
          <c:idx val="1"/>
          <c:order val="1"/>
          <c:tx>
            <c:strRef>
              <c:f>count!$M$20:$M$21</c:f>
              <c:strCache>
                <c:ptCount val="1"/>
                <c:pt idx="0">
                  <c:v>Healthy</c:v>
                </c:pt>
              </c:strCache>
            </c:strRef>
          </c:tx>
          <c:spPr>
            <a:solidFill>
              <a:schemeClr val="bg2"/>
            </a:solidFill>
            <a:ln>
              <a:noFill/>
            </a:ln>
            <a:effectLst/>
          </c:spPr>
          <c:invertIfNegative val="0"/>
          <c:cat>
            <c:strRef>
              <c:f>count!$K$22</c:f>
              <c:strCache>
                <c:ptCount val="1"/>
                <c:pt idx="0">
                  <c:v>Total</c:v>
                </c:pt>
              </c:strCache>
            </c:strRef>
          </c:cat>
          <c:val>
            <c:numRef>
              <c:f>count!$M$22</c:f>
              <c:numCache>
                <c:formatCode>0%</c:formatCode>
                <c:ptCount val="1"/>
                <c:pt idx="0">
                  <c:v>0.828125</c:v>
                </c:pt>
              </c:numCache>
            </c:numRef>
          </c:val>
          <c:extLst>
            <c:ext xmlns:c16="http://schemas.microsoft.com/office/drawing/2014/chart" uri="{C3380CC4-5D6E-409C-BE32-E72D297353CC}">
              <c16:uniqueId val="{0000000D-18C2-43FE-8C52-3713E6106EAE}"/>
            </c:ext>
          </c:extLst>
        </c:ser>
        <c:dLbls>
          <c:showLegendKey val="0"/>
          <c:showVal val="0"/>
          <c:showCatName val="0"/>
          <c:showSerName val="0"/>
          <c:showPercent val="0"/>
          <c:showBubbleSize val="0"/>
        </c:dLbls>
        <c:gapWidth val="35"/>
        <c:overlap val="100"/>
        <c:axId val="727125480"/>
        <c:axId val="727125808"/>
      </c:barChart>
      <c:catAx>
        <c:axId val="727125480"/>
        <c:scaling>
          <c:orientation val="minMax"/>
        </c:scaling>
        <c:delete val="1"/>
        <c:axPos val="l"/>
        <c:numFmt formatCode="General" sourceLinked="1"/>
        <c:majorTickMark val="none"/>
        <c:minorTickMark val="none"/>
        <c:tickLblPos val="nextTo"/>
        <c:crossAx val="727125808"/>
        <c:crosses val="autoZero"/>
        <c:auto val="1"/>
        <c:lblAlgn val="ctr"/>
        <c:lblOffset val="100"/>
        <c:noMultiLvlLbl val="0"/>
      </c:catAx>
      <c:valAx>
        <c:axId val="727125808"/>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125480"/>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Indicators.xlsm]count!PivotTable61</c:name>
    <c:fmtId val="10"/>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SG" sz="1200" b="0" i="0" u="none" strike="noStrike" baseline="0">
                <a:effectLst/>
              </a:rPr>
              <a:t>% of Patients with Body mass index ≥25</a:t>
            </a:r>
            <a:endParaRPr lang="en-SG" sz="1200"/>
          </a:p>
        </c:rich>
      </c:tx>
      <c:layout>
        <c:manualLayout>
          <c:xMode val="edge"/>
          <c:yMode val="edge"/>
          <c:x val="3.9491944444444448E-2"/>
          <c:y val="7.4172916666666672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pivotFmt>
    </c:pivotFmts>
    <c:plotArea>
      <c:layout>
        <c:manualLayout>
          <c:layoutTarget val="inner"/>
          <c:xMode val="edge"/>
          <c:yMode val="edge"/>
          <c:x val="4.0560555555555558E-2"/>
          <c:y val="0.2085798611111111"/>
          <c:w val="0.89926444444444442"/>
          <c:h val="0.62210208333333339"/>
        </c:manualLayout>
      </c:layout>
      <c:barChart>
        <c:barDir val="bar"/>
        <c:grouping val="percentStacked"/>
        <c:varyColors val="0"/>
        <c:ser>
          <c:idx val="0"/>
          <c:order val="0"/>
          <c:tx>
            <c:strRef>
              <c:f>count!$R$5:$R$7</c:f>
              <c:strCache>
                <c:ptCount val="1"/>
                <c:pt idx="0">
                  <c:v>Group2</c:v>
                </c:pt>
              </c:strCache>
            </c:strRef>
          </c:tx>
          <c:spPr>
            <a:solidFill>
              <a:schemeClr val="accent1"/>
            </a:solidFill>
            <a:ln>
              <a:noFill/>
            </a:ln>
            <a:effectLst/>
          </c:spPr>
          <c:invertIfNegative val="0"/>
          <c:cat>
            <c:strRef>
              <c:f>count!$Q$8</c:f>
              <c:strCache>
                <c:ptCount val="1"/>
                <c:pt idx="0">
                  <c:v>Total</c:v>
                </c:pt>
              </c:strCache>
            </c:strRef>
          </c:cat>
          <c:val>
            <c:numRef>
              <c:f>count!$R$8</c:f>
              <c:numCache>
                <c:formatCode>0%</c:formatCode>
                <c:ptCount val="1"/>
                <c:pt idx="0">
                  <c:v>0.86197916666666663</c:v>
                </c:pt>
              </c:numCache>
            </c:numRef>
          </c:val>
          <c:extLst>
            <c:ext xmlns:c16="http://schemas.microsoft.com/office/drawing/2014/chart" uri="{C3380CC4-5D6E-409C-BE32-E72D297353CC}">
              <c16:uniqueId val="{00000000-AD68-4880-B6AC-1747DA90BE26}"/>
            </c:ext>
          </c:extLst>
        </c:ser>
        <c:ser>
          <c:idx val="1"/>
          <c:order val="1"/>
          <c:tx>
            <c:strRef>
              <c:f>count!$S$5:$S$7</c:f>
              <c:strCache>
                <c:ptCount val="1"/>
                <c:pt idx="0">
                  <c:v>Group1</c:v>
                </c:pt>
              </c:strCache>
            </c:strRef>
          </c:tx>
          <c:spPr>
            <a:solidFill>
              <a:schemeClr val="bg2"/>
            </a:solidFill>
            <a:ln>
              <a:noFill/>
            </a:ln>
            <a:effectLst/>
          </c:spPr>
          <c:invertIfNegative val="0"/>
          <c:cat>
            <c:strRef>
              <c:f>count!$Q$8</c:f>
              <c:strCache>
                <c:ptCount val="1"/>
                <c:pt idx="0">
                  <c:v>Total</c:v>
                </c:pt>
              </c:strCache>
            </c:strRef>
          </c:cat>
          <c:val>
            <c:numRef>
              <c:f>count!$S$8</c:f>
              <c:numCache>
                <c:formatCode>0%</c:formatCode>
                <c:ptCount val="1"/>
                <c:pt idx="0">
                  <c:v>0.13802083333333334</c:v>
                </c:pt>
              </c:numCache>
            </c:numRef>
          </c:val>
          <c:extLst>
            <c:ext xmlns:c16="http://schemas.microsoft.com/office/drawing/2014/chart" uri="{C3380CC4-5D6E-409C-BE32-E72D297353CC}">
              <c16:uniqueId val="{00000004-DD59-4BCC-9B72-7F7589CC8FD8}"/>
            </c:ext>
          </c:extLst>
        </c:ser>
        <c:dLbls>
          <c:showLegendKey val="0"/>
          <c:showVal val="0"/>
          <c:showCatName val="0"/>
          <c:showSerName val="0"/>
          <c:showPercent val="0"/>
          <c:showBubbleSize val="0"/>
        </c:dLbls>
        <c:gapWidth val="35"/>
        <c:overlap val="100"/>
        <c:axId val="1304423288"/>
        <c:axId val="1304427552"/>
      </c:barChart>
      <c:catAx>
        <c:axId val="1304423288"/>
        <c:scaling>
          <c:orientation val="minMax"/>
        </c:scaling>
        <c:delete val="1"/>
        <c:axPos val="l"/>
        <c:numFmt formatCode="General" sourceLinked="1"/>
        <c:majorTickMark val="none"/>
        <c:minorTickMark val="none"/>
        <c:tickLblPos val="nextTo"/>
        <c:crossAx val="1304427552"/>
        <c:crosses val="autoZero"/>
        <c:auto val="1"/>
        <c:lblAlgn val="ctr"/>
        <c:lblOffset val="100"/>
        <c:noMultiLvlLbl val="0"/>
      </c:catAx>
      <c:valAx>
        <c:axId val="1304427552"/>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4423288"/>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Indicators.xlsm]count!PivotTable38</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Diabetic vs Non-Diabetic</a:t>
            </a:r>
            <a:endParaRPr lang="en-SG">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count!$B$3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444-472F-AEC7-3B514DCC84D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444-472F-AEC7-3B514DCC84DE}"/>
              </c:ext>
            </c:extLst>
          </c:dPt>
          <c:cat>
            <c:strRef>
              <c:f>count!$A$4:$A$6</c:f>
              <c:strCache>
                <c:ptCount val="2"/>
                <c:pt idx="0">
                  <c:v>0</c:v>
                </c:pt>
                <c:pt idx="1">
                  <c:v>1</c:v>
                </c:pt>
              </c:strCache>
            </c:strRef>
          </c:cat>
          <c:val>
            <c:numRef>
              <c:f>count!$B$4:$B$6</c:f>
              <c:numCache>
                <c:formatCode>General</c:formatCode>
                <c:ptCount val="2"/>
                <c:pt idx="0">
                  <c:v>500</c:v>
                </c:pt>
                <c:pt idx="1">
                  <c:v>268</c:v>
                </c:pt>
              </c:numCache>
            </c:numRef>
          </c:val>
          <c:extLst>
            <c:ext xmlns:c16="http://schemas.microsoft.com/office/drawing/2014/chart" uri="{C3380CC4-5D6E-409C-BE32-E72D297353CC}">
              <c16:uniqueId val="{00000000-2507-4DB2-8090-CB3D2FC958F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Indicators.xlsm]Frequency!PivotTable16</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Frequency!$B$3:$B$4</c:f>
              <c:strCache>
                <c:ptCount val="1"/>
                <c:pt idx="0">
                  <c:v>0</c:v>
                </c:pt>
              </c:strCache>
            </c:strRef>
          </c:tx>
          <c:spPr>
            <a:solidFill>
              <a:schemeClr val="accent1"/>
            </a:solidFill>
            <a:ln>
              <a:noFill/>
            </a:ln>
            <a:effectLst/>
          </c:spPr>
          <c:invertIfNegative val="0"/>
          <c:cat>
            <c:strRef>
              <c:f>Frequency!$A$5:$A$10</c:f>
              <c:strCache>
                <c:ptCount val="5"/>
                <c:pt idx="0">
                  <c:v>Underweight</c:v>
                </c:pt>
                <c:pt idx="1">
                  <c:v>Healthy</c:v>
                </c:pt>
                <c:pt idx="2">
                  <c:v>Overweight</c:v>
                </c:pt>
                <c:pt idx="3">
                  <c:v>Obesity</c:v>
                </c:pt>
                <c:pt idx="4">
                  <c:v>Obesity Extreme</c:v>
                </c:pt>
              </c:strCache>
            </c:strRef>
          </c:cat>
          <c:val>
            <c:numRef>
              <c:f>Frequency!$B$5:$B$10</c:f>
              <c:numCache>
                <c:formatCode>General</c:formatCode>
                <c:ptCount val="5"/>
                <c:pt idx="0">
                  <c:v>4</c:v>
                </c:pt>
                <c:pt idx="1">
                  <c:v>95</c:v>
                </c:pt>
                <c:pt idx="2">
                  <c:v>139</c:v>
                </c:pt>
                <c:pt idx="3">
                  <c:v>219</c:v>
                </c:pt>
                <c:pt idx="4">
                  <c:v>43</c:v>
                </c:pt>
              </c:numCache>
            </c:numRef>
          </c:val>
          <c:extLst>
            <c:ext xmlns:c16="http://schemas.microsoft.com/office/drawing/2014/chart" uri="{C3380CC4-5D6E-409C-BE32-E72D297353CC}">
              <c16:uniqueId val="{00000000-13DF-4A69-94A5-0A83CC831A80}"/>
            </c:ext>
          </c:extLst>
        </c:ser>
        <c:ser>
          <c:idx val="1"/>
          <c:order val="1"/>
          <c:tx>
            <c:strRef>
              <c:f>Frequency!$C$3:$C$4</c:f>
              <c:strCache>
                <c:ptCount val="1"/>
                <c:pt idx="0">
                  <c:v>1</c:v>
                </c:pt>
              </c:strCache>
            </c:strRef>
          </c:tx>
          <c:spPr>
            <a:solidFill>
              <a:schemeClr val="accent2"/>
            </a:solidFill>
            <a:ln>
              <a:noFill/>
            </a:ln>
            <a:effectLst/>
          </c:spPr>
          <c:invertIfNegative val="0"/>
          <c:cat>
            <c:strRef>
              <c:f>Frequency!$A$5:$A$10</c:f>
              <c:strCache>
                <c:ptCount val="5"/>
                <c:pt idx="0">
                  <c:v>Underweight</c:v>
                </c:pt>
                <c:pt idx="1">
                  <c:v>Healthy</c:v>
                </c:pt>
                <c:pt idx="2">
                  <c:v>Overweight</c:v>
                </c:pt>
                <c:pt idx="3">
                  <c:v>Obesity</c:v>
                </c:pt>
                <c:pt idx="4">
                  <c:v>Obesity Extreme</c:v>
                </c:pt>
              </c:strCache>
            </c:strRef>
          </c:cat>
          <c:val>
            <c:numRef>
              <c:f>Frequency!$C$5:$C$10</c:f>
              <c:numCache>
                <c:formatCode>General</c:formatCode>
                <c:ptCount val="5"/>
                <c:pt idx="1">
                  <c:v>7</c:v>
                </c:pt>
                <c:pt idx="2">
                  <c:v>40</c:v>
                </c:pt>
                <c:pt idx="3">
                  <c:v>166</c:v>
                </c:pt>
                <c:pt idx="4">
                  <c:v>55</c:v>
                </c:pt>
              </c:numCache>
            </c:numRef>
          </c:val>
          <c:extLst>
            <c:ext xmlns:c16="http://schemas.microsoft.com/office/drawing/2014/chart" uri="{C3380CC4-5D6E-409C-BE32-E72D297353CC}">
              <c16:uniqueId val="{0000000C-702A-4553-B171-2F45F89CD663}"/>
            </c:ext>
          </c:extLst>
        </c:ser>
        <c:dLbls>
          <c:showLegendKey val="0"/>
          <c:showVal val="0"/>
          <c:showCatName val="0"/>
          <c:showSerName val="0"/>
          <c:showPercent val="0"/>
          <c:showBubbleSize val="0"/>
        </c:dLbls>
        <c:gapWidth val="219"/>
        <c:overlap val="-27"/>
        <c:axId val="502087743"/>
        <c:axId val="502081511"/>
      </c:barChart>
      <c:catAx>
        <c:axId val="502087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81511"/>
        <c:crosses val="autoZero"/>
        <c:auto val="1"/>
        <c:lblAlgn val="ctr"/>
        <c:lblOffset val="100"/>
        <c:noMultiLvlLbl val="0"/>
      </c:catAx>
      <c:valAx>
        <c:axId val="5020815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87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Indicators.xlsm]Frequency!PivotTable20</c:name>
    <c:fmtId val="1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Frequency!$W$3:$W$4</c:f>
              <c:strCache>
                <c:ptCount val="1"/>
                <c:pt idx="0">
                  <c:v>0</c:v>
                </c:pt>
              </c:strCache>
            </c:strRef>
          </c:tx>
          <c:spPr>
            <a:solidFill>
              <a:schemeClr val="accent1"/>
            </a:solidFill>
            <a:ln>
              <a:noFill/>
            </a:ln>
            <a:effectLst/>
          </c:spPr>
          <c:invertIfNegative val="0"/>
          <c:cat>
            <c:strRef>
              <c:f>Frequency!$V$5:$V$9</c:f>
              <c:strCache>
                <c:ptCount val="4"/>
                <c:pt idx="0">
                  <c:v>Normal BP</c:v>
                </c:pt>
                <c:pt idx="1">
                  <c:v>High-Normal BP</c:v>
                </c:pt>
                <c:pt idx="2">
                  <c:v>Stage 1 Hypertension</c:v>
                </c:pt>
                <c:pt idx="3">
                  <c:v>Stage 2 Hypertension</c:v>
                </c:pt>
              </c:strCache>
            </c:strRef>
          </c:cat>
          <c:val>
            <c:numRef>
              <c:f>Frequency!$W$5:$W$9</c:f>
              <c:numCache>
                <c:formatCode>General</c:formatCode>
                <c:ptCount val="4"/>
                <c:pt idx="0">
                  <c:v>385</c:v>
                </c:pt>
                <c:pt idx="1">
                  <c:v>84</c:v>
                </c:pt>
                <c:pt idx="2">
                  <c:v>24</c:v>
                </c:pt>
                <c:pt idx="3">
                  <c:v>7</c:v>
                </c:pt>
              </c:numCache>
            </c:numRef>
          </c:val>
          <c:extLst>
            <c:ext xmlns:c16="http://schemas.microsoft.com/office/drawing/2014/chart" uri="{C3380CC4-5D6E-409C-BE32-E72D297353CC}">
              <c16:uniqueId val="{00000000-6320-4D7D-A7BF-0C90C1B80618}"/>
            </c:ext>
          </c:extLst>
        </c:ser>
        <c:ser>
          <c:idx val="1"/>
          <c:order val="1"/>
          <c:tx>
            <c:strRef>
              <c:f>Frequency!$X$3:$X$4</c:f>
              <c:strCache>
                <c:ptCount val="1"/>
                <c:pt idx="0">
                  <c:v>1</c:v>
                </c:pt>
              </c:strCache>
            </c:strRef>
          </c:tx>
          <c:spPr>
            <a:solidFill>
              <a:schemeClr val="accent2"/>
            </a:solidFill>
            <a:ln>
              <a:noFill/>
            </a:ln>
            <a:effectLst/>
          </c:spPr>
          <c:invertIfNegative val="0"/>
          <c:cat>
            <c:strRef>
              <c:f>Frequency!$V$5:$V$9</c:f>
              <c:strCache>
                <c:ptCount val="4"/>
                <c:pt idx="0">
                  <c:v>Normal BP</c:v>
                </c:pt>
                <c:pt idx="1">
                  <c:v>High-Normal BP</c:v>
                </c:pt>
                <c:pt idx="2">
                  <c:v>Stage 1 Hypertension</c:v>
                </c:pt>
                <c:pt idx="3">
                  <c:v>Stage 2 Hypertension</c:v>
                </c:pt>
              </c:strCache>
            </c:strRef>
          </c:cat>
          <c:val>
            <c:numRef>
              <c:f>Frequency!$X$5:$X$9</c:f>
              <c:numCache>
                <c:formatCode>General</c:formatCode>
                <c:ptCount val="4"/>
                <c:pt idx="0">
                  <c:v>178</c:v>
                </c:pt>
                <c:pt idx="1">
                  <c:v>61</c:v>
                </c:pt>
                <c:pt idx="2">
                  <c:v>20</c:v>
                </c:pt>
                <c:pt idx="3">
                  <c:v>9</c:v>
                </c:pt>
              </c:numCache>
            </c:numRef>
          </c:val>
          <c:extLst>
            <c:ext xmlns:c16="http://schemas.microsoft.com/office/drawing/2014/chart" uri="{C3380CC4-5D6E-409C-BE32-E72D297353CC}">
              <c16:uniqueId val="{0000000C-0183-485C-B231-61FB27641DE1}"/>
            </c:ext>
          </c:extLst>
        </c:ser>
        <c:dLbls>
          <c:showLegendKey val="0"/>
          <c:showVal val="0"/>
          <c:showCatName val="0"/>
          <c:showSerName val="0"/>
          <c:showPercent val="0"/>
          <c:showBubbleSize val="0"/>
        </c:dLbls>
        <c:gapWidth val="219"/>
        <c:overlap val="-27"/>
        <c:axId val="667832807"/>
        <c:axId val="667835103"/>
      </c:barChart>
      <c:catAx>
        <c:axId val="667832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835103"/>
        <c:crosses val="autoZero"/>
        <c:auto val="1"/>
        <c:lblAlgn val="ctr"/>
        <c:lblOffset val="100"/>
        <c:noMultiLvlLbl val="0"/>
      </c:catAx>
      <c:valAx>
        <c:axId val="667835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832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Indicators.xlsm]Frequency!PivotTable14</c:name>
    <c:fmtId val="1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Frequency!$G$3:$G$4</c:f>
              <c:strCache>
                <c:ptCount val="1"/>
                <c:pt idx="0">
                  <c:v>0</c:v>
                </c:pt>
              </c:strCache>
            </c:strRef>
          </c:tx>
          <c:spPr>
            <a:solidFill>
              <a:schemeClr val="accent1"/>
            </a:solidFill>
            <a:ln>
              <a:noFill/>
            </a:ln>
            <a:effectLst/>
          </c:spPr>
          <c:invertIfNegative val="0"/>
          <c:cat>
            <c:strRef>
              <c:f>Frequency!$F$5:$F$13</c:f>
              <c:strCache>
                <c:ptCount val="8"/>
                <c:pt idx="0">
                  <c:v>40-59</c:v>
                </c:pt>
                <c:pt idx="1">
                  <c:v>60-79</c:v>
                </c:pt>
                <c:pt idx="2">
                  <c:v>80-99</c:v>
                </c:pt>
                <c:pt idx="3">
                  <c:v>100-119</c:v>
                </c:pt>
                <c:pt idx="4">
                  <c:v>120-139</c:v>
                </c:pt>
                <c:pt idx="5">
                  <c:v>140-159</c:v>
                </c:pt>
                <c:pt idx="6">
                  <c:v>160-179</c:v>
                </c:pt>
                <c:pt idx="7">
                  <c:v>180-200</c:v>
                </c:pt>
              </c:strCache>
            </c:strRef>
          </c:cat>
          <c:val>
            <c:numRef>
              <c:f>Frequency!$G$5:$G$13</c:f>
              <c:numCache>
                <c:formatCode>General</c:formatCode>
                <c:ptCount val="8"/>
                <c:pt idx="0">
                  <c:v>4</c:v>
                </c:pt>
                <c:pt idx="1">
                  <c:v>31</c:v>
                </c:pt>
                <c:pt idx="2">
                  <c:v>143</c:v>
                </c:pt>
                <c:pt idx="3">
                  <c:v>160</c:v>
                </c:pt>
                <c:pt idx="4">
                  <c:v>100</c:v>
                </c:pt>
                <c:pt idx="5">
                  <c:v>44</c:v>
                </c:pt>
                <c:pt idx="6">
                  <c:v>11</c:v>
                </c:pt>
                <c:pt idx="7">
                  <c:v>7</c:v>
                </c:pt>
              </c:numCache>
            </c:numRef>
          </c:val>
          <c:extLst>
            <c:ext xmlns:c16="http://schemas.microsoft.com/office/drawing/2014/chart" uri="{C3380CC4-5D6E-409C-BE32-E72D297353CC}">
              <c16:uniqueId val="{00000000-F15E-4159-BF6A-A6FB742275CE}"/>
            </c:ext>
          </c:extLst>
        </c:ser>
        <c:ser>
          <c:idx val="1"/>
          <c:order val="1"/>
          <c:tx>
            <c:strRef>
              <c:f>Frequency!$H$3:$H$4</c:f>
              <c:strCache>
                <c:ptCount val="1"/>
                <c:pt idx="0">
                  <c:v>1</c:v>
                </c:pt>
              </c:strCache>
            </c:strRef>
          </c:tx>
          <c:spPr>
            <a:solidFill>
              <a:schemeClr val="accent2"/>
            </a:solidFill>
            <a:ln>
              <a:noFill/>
            </a:ln>
            <a:effectLst/>
          </c:spPr>
          <c:invertIfNegative val="0"/>
          <c:cat>
            <c:strRef>
              <c:f>Frequency!$F$5:$F$13</c:f>
              <c:strCache>
                <c:ptCount val="8"/>
                <c:pt idx="0">
                  <c:v>40-59</c:v>
                </c:pt>
                <c:pt idx="1">
                  <c:v>60-79</c:v>
                </c:pt>
                <c:pt idx="2">
                  <c:v>80-99</c:v>
                </c:pt>
                <c:pt idx="3">
                  <c:v>100-119</c:v>
                </c:pt>
                <c:pt idx="4">
                  <c:v>120-139</c:v>
                </c:pt>
                <c:pt idx="5">
                  <c:v>140-159</c:v>
                </c:pt>
                <c:pt idx="6">
                  <c:v>160-179</c:v>
                </c:pt>
                <c:pt idx="7">
                  <c:v>180-200</c:v>
                </c:pt>
              </c:strCache>
            </c:strRef>
          </c:cat>
          <c:val>
            <c:numRef>
              <c:f>Frequency!$H$5:$H$13</c:f>
              <c:numCache>
                <c:formatCode>General</c:formatCode>
                <c:ptCount val="8"/>
                <c:pt idx="1">
                  <c:v>1</c:v>
                </c:pt>
                <c:pt idx="2">
                  <c:v>13</c:v>
                </c:pt>
                <c:pt idx="3">
                  <c:v>56</c:v>
                </c:pt>
                <c:pt idx="4">
                  <c:v>63</c:v>
                </c:pt>
                <c:pt idx="5">
                  <c:v>51</c:v>
                </c:pt>
                <c:pt idx="6">
                  <c:v>45</c:v>
                </c:pt>
                <c:pt idx="7">
                  <c:v>39</c:v>
                </c:pt>
              </c:numCache>
            </c:numRef>
          </c:val>
          <c:extLst>
            <c:ext xmlns:c16="http://schemas.microsoft.com/office/drawing/2014/chart" uri="{C3380CC4-5D6E-409C-BE32-E72D297353CC}">
              <c16:uniqueId val="{0000000C-9323-44BC-8CE6-6773138A8842}"/>
            </c:ext>
          </c:extLst>
        </c:ser>
        <c:dLbls>
          <c:showLegendKey val="0"/>
          <c:showVal val="0"/>
          <c:showCatName val="0"/>
          <c:showSerName val="0"/>
          <c:showPercent val="0"/>
          <c:showBubbleSize val="0"/>
        </c:dLbls>
        <c:gapWidth val="219"/>
        <c:overlap val="-27"/>
        <c:axId val="36086639"/>
        <c:axId val="36089919"/>
      </c:barChart>
      <c:catAx>
        <c:axId val="36086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89919"/>
        <c:crosses val="autoZero"/>
        <c:auto val="1"/>
        <c:lblAlgn val="ctr"/>
        <c:lblOffset val="100"/>
        <c:noMultiLvlLbl val="0"/>
      </c:catAx>
      <c:valAx>
        <c:axId val="360899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866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Indicators.xlsm]Frequency!PivotTable3</c:name>
    <c:fmtId val="1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Frequency!$M$3:$M$4</c:f>
              <c:strCache>
                <c:ptCount val="1"/>
                <c:pt idx="0">
                  <c:v>0</c:v>
                </c:pt>
              </c:strCache>
            </c:strRef>
          </c:tx>
          <c:spPr>
            <a:solidFill>
              <a:schemeClr val="accent1"/>
            </a:solidFill>
            <a:ln>
              <a:noFill/>
            </a:ln>
            <a:effectLst/>
          </c:spPr>
          <c:invertIfNegative val="0"/>
          <c:cat>
            <c:strRef>
              <c:f>Frequency!$L$5:$L$13</c:f>
              <c:strCache>
                <c:ptCount val="8"/>
                <c:pt idx="0">
                  <c:v>0-69</c:v>
                </c:pt>
                <c:pt idx="1">
                  <c:v>70-139</c:v>
                </c:pt>
                <c:pt idx="2">
                  <c:v>140-209</c:v>
                </c:pt>
                <c:pt idx="3">
                  <c:v>210-279</c:v>
                </c:pt>
                <c:pt idx="4">
                  <c:v>280-349</c:v>
                </c:pt>
                <c:pt idx="5">
                  <c:v>350-419</c:v>
                </c:pt>
                <c:pt idx="6">
                  <c:v>420-489</c:v>
                </c:pt>
                <c:pt idx="7">
                  <c:v>490-559</c:v>
                </c:pt>
              </c:strCache>
            </c:strRef>
          </c:cat>
          <c:val>
            <c:numRef>
              <c:f>Frequency!$M$5:$M$13</c:f>
              <c:numCache>
                <c:formatCode>General</c:formatCode>
                <c:ptCount val="8"/>
                <c:pt idx="0">
                  <c:v>73</c:v>
                </c:pt>
                <c:pt idx="1">
                  <c:v>341</c:v>
                </c:pt>
                <c:pt idx="2">
                  <c:v>49</c:v>
                </c:pt>
                <c:pt idx="3">
                  <c:v>17</c:v>
                </c:pt>
                <c:pt idx="4">
                  <c:v>10</c:v>
                </c:pt>
                <c:pt idx="5">
                  <c:v>4</c:v>
                </c:pt>
                <c:pt idx="6">
                  <c:v>3</c:v>
                </c:pt>
                <c:pt idx="7">
                  <c:v>1</c:v>
                </c:pt>
              </c:numCache>
            </c:numRef>
          </c:val>
          <c:extLst>
            <c:ext xmlns:c16="http://schemas.microsoft.com/office/drawing/2014/chart" uri="{C3380CC4-5D6E-409C-BE32-E72D297353CC}">
              <c16:uniqueId val="{00000000-307E-4808-BA12-02DD042BBD05}"/>
            </c:ext>
          </c:extLst>
        </c:ser>
        <c:ser>
          <c:idx val="1"/>
          <c:order val="1"/>
          <c:tx>
            <c:strRef>
              <c:f>Frequency!$N$3:$N$4</c:f>
              <c:strCache>
                <c:ptCount val="1"/>
                <c:pt idx="0">
                  <c:v>1</c:v>
                </c:pt>
              </c:strCache>
            </c:strRef>
          </c:tx>
          <c:spPr>
            <a:solidFill>
              <a:schemeClr val="accent2"/>
            </a:solidFill>
            <a:ln>
              <a:noFill/>
            </a:ln>
            <a:effectLst/>
          </c:spPr>
          <c:invertIfNegative val="0"/>
          <c:cat>
            <c:strRef>
              <c:f>Frequency!$L$5:$L$13</c:f>
              <c:strCache>
                <c:ptCount val="8"/>
                <c:pt idx="0">
                  <c:v>0-69</c:v>
                </c:pt>
                <c:pt idx="1">
                  <c:v>70-139</c:v>
                </c:pt>
                <c:pt idx="2">
                  <c:v>140-209</c:v>
                </c:pt>
                <c:pt idx="3">
                  <c:v>210-279</c:v>
                </c:pt>
                <c:pt idx="4">
                  <c:v>280-349</c:v>
                </c:pt>
                <c:pt idx="5">
                  <c:v>350-419</c:v>
                </c:pt>
                <c:pt idx="6">
                  <c:v>420-489</c:v>
                </c:pt>
                <c:pt idx="7">
                  <c:v>490-559</c:v>
                </c:pt>
              </c:strCache>
            </c:strRef>
          </c:cat>
          <c:val>
            <c:numRef>
              <c:f>Frequency!$N$5:$N$13</c:f>
              <c:numCache>
                <c:formatCode>General</c:formatCode>
                <c:ptCount val="8"/>
                <c:pt idx="0">
                  <c:v>6</c:v>
                </c:pt>
                <c:pt idx="1">
                  <c:v>175</c:v>
                </c:pt>
                <c:pt idx="2">
                  <c:v>44</c:v>
                </c:pt>
                <c:pt idx="3">
                  <c:v>18</c:v>
                </c:pt>
                <c:pt idx="4">
                  <c:v>10</c:v>
                </c:pt>
                <c:pt idx="5">
                  <c:v>3</c:v>
                </c:pt>
                <c:pt idx="6">
                  <c:v>4</c:v>
                </c:pt>
                <c:pt idx="7">
                  <c:v>5</c:v>
                </c:pt>
              </c:numCache>
            </c:numRef>
          </c:val>
          <c:extLst>
            <c:ext xmlns:c16="http://schemas.microsoft.com/office/drawing/2014/chart" uri="{C3380CC4-5D6E-409C-BE32-E72D297353CC}">
              <c16:uniqueId val="{0000000C-A845-4686-B2C1-AAEF788C2988}"/>
            </c:ext>
          </c:extLst>
        </c:ser>
        <c:dLbls>
          <c:showLegendKey val="0"/>
          <c:showVal val="0"/>
          <c:showCatName val="0"/>
          <c:showSerName val="0"/>
          <c:showPercent val="0"/>
          <c:showBubbleSize val="0"/>
        </c:dLbls>
        <c:gapWidth val="219"/>
        <c:overlap val="-27"/>
        <c:axId val="76969591"/>
        <c:axId val="76964015"/>
      </c:barChart>
      <c:catAx>
        <c:axId val="76969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964015"/>
        <c:crosses val="autoZero"/>
        <c:auto val="1"/>
        <c:lblAlgn val="ctr"/>
        <c:lblOffset val="100"/>
        <c:noMultiLvlLbl val="0"/>
      </c:catAx>
      <c:valAx>
        <c:axId val="76964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969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Indicators.xlsm]Frequency!PivotTable37</c:name>
    <c:fmtId val="2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Frequency!$R$3:$R$4</c:f>
              <c:strCache>
                <c:ptCount val="1"/>
                <c:pt idx="0">
                  <c:v>0</c:v>
                </c:pt>
              </c:strCache>
            </c:strRef>
          </c:tx>
          <c:spPr>
            <a:solidFill>
              <a:schemeClr val="accent1"/>
            </a:solidFill>
            <a:ln>
              <a:noFill/>
            </a:ln>
            <a:effectLst/>
          </c:spPr>
          <c:invertIfNegative val="0"/>
          <c:cat>
            <c:strRef>
              <c:f>Frequency!$Q$5:$Q$12</c:f>
              <c:strCache>
                <c:ptCount val="7"/>
                <c:pt idx="0">
                  <c:v>5-14</c:v>
                </c:pt>
                <c:pt idx="1">
                  <c:v>15-24</c:v>
                </c:pt>
                <c:pt idx="2">
                  <c:v>25-34</c:v>
                </c:pt>
                <c:pt idx="3">
                  <c:v>35-44</c:v>
                </c:pt>
                <c:pt idx="4">
                  <c:v>45-54</c:v>
                </c:pt>
                <c:pt idx="5">
                  <c:v>55-64</c:v>
                </c:pt>
                <c:pt idx="6">
                  <c:v>95-104</c:v>
                </c:pt>
              </c:strCache>
            </c:strRef>
          </c:cat>
          <c:val>
            <c:numRef>
              <c:f>Frequency!$R$5:$R$12</c:f>
              <c:numCache>
                <c:formatCode>General</c:formatCode>
                <c:ptCount val="7"/>
                <c:pt idx="0">
                  <c:v>34</c:v>
                </c:pt>
                <c:pt idx="1">
                  <c:v>117</c:v>
                </c:pt>
                <c:pt idx="2">
                  <c:v>265</c:v>
                </c:pt>
                <c:pt idx="3">
                  <c:v>66</c:v>
                </c:pt>
                <c:pt idx="4">
                  <c:v>17</c:v>
                </c:pt>
                <c:pt idx="5">
                  <c:v>1</c:v>
                </c:pt>
              </c:numCache>
            </c:numRef>
          </c:val>
          <c:extLst>
            <c:ext xmlns:c16="http://schemas.microsoft.com/office/drawing/2014/chart" uri="{C3380CC4-5D6E-409C-BE32-E72D297353CC}">
              <c16:uniqueId val="{00000000-E4D2-45BE-BDC3-78705F9761BB}"/>
            </c:ext>
          </c:extLst>
        </c:ser>
        <c:ser>
          <c:idx val="1"/>
          <c:order val="1"/>
          <c:tx>
            <c:strRef>
              <c:f>Frequency!$S$3:$S$4</c:f>
              <c:strCache>
                <c:ptCount val="1"/>
                <c:pt idx="0">
                  <c:v>1</c:v>
                </c:pt>
              </c:strCache>
            </c:strRef>
          </c:tx>
          <c:spPr>
            <a:solidFill>
              <a:schemeClr val="accent2"/>
            </a:solidFill>
            <a:ln>
              <a:noFill/>
            </a:ln>
            <a:effectLst/>
          </c:spPr>
          <c:invertIfNegative val="0"/>
          <c:cat>
            <c:strRef>
              <c:f>Frequency!$Q$5:$Q$12</c:f>
              <c:strCache>
                <c:ptCount val="7"/>
                <c:pt idx="0">
                  <c:v>5-14</c:v>
                </c:pt>
                <c:pt idx="1">
                  <c:v>15-24</c:v>
                </c:pt>
                <c:pt idx="2">
                  <c:v>25-34</c:v>
                </c:pt>
                <c:pt idx="3">
                  <c:v>35-44</c:v>
                </c:pt>
                <c:pt idx="4">
                  <c:v>45-54</c:v>
                </c:pt>
                <c:pt idx="5">
                  <c:v>55-64</c:v>
                </c:pt>
                <c:pt idx="6">
                  <c:v>95-104</c:v>
                </c:pt>
              </c:strCache>
            </c:strRef>
          </c:cat>
          <c:val>
            <c:numRef>
              <c:f>Frequency!$S$5:$S$12</c:f>
              <c:numCache>
                <c:formatCode>General</c:formatCode>
                <c:ptCount val="7"/>
                <c:pt idx="0">
                  <c:v>5</c:v>
                </c:pt>
                <c:pt idx="1">
                  <c:v>28</c:v>
                </c:pt>
                <c:pt idx="2">
                  <c:v>159</c:v>
                </c:pt>
                <c:pt idx="3">
                  <c:v>57</c:v>
                </c:pt>
                <c:pt idx="4">
                  <c:v>16</c:v>
                </c:pt>
                <c:pt idx="5">
                  <c:v>2</c:v>
                </c:pt>
                <c:pt idx="6">
                  <c:v>1</c:v>
                </c:pt>
              </c:numCache>
            </c:numRef>
          </c:val>
          <c:extLst>
            <c:ext xmlns:c16="http://schemas.microsoft.com/office/drawing/2014/chart" uri="{C3380CC4-5D6E-409C-BE32-E72D297353CC}">
              <c16:uniqueId val="{0000000C-9557-46ED-A0A0-2C8325A79627}"/>
            </c:ext>
          </c:extLst>
        </c:ser>
        <c:dLbls>
          <c:showLegendKey val="0"/>
          <c:showVal val="0"/>
          <c:showCatName val="0"/>
          <c:showSerName val="0"/>
          <c:showPercent val="0"/>
          <c:showBubbleSize val="0"/>
        </c:dLbls>
        <c:gapWidth val="219"/>
        <c:overlap val="-27"/>
        <c:axId val="917649696"/>
        <c:axId val="917650024"/>
      </c:barChart>
      <c:catAx>
        <c:axId val="917649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7650024"/>
        <c:crosses val="autoZero"/>
        <c:auto val="1"/>
        <c:lblAlgn val="ctr"/>
        <c:lblOffset val="100"/>
        <c:noMultiLvlLbl val="0"/>
      </c:catAx>
      <c:valAx>
        <c:axId val="917650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7649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 &amp; Other Health Indicators.xlsm]Frequency!PivotTable45</c:name>
    <c:fmtId val="2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Frequency!$AC$3:$AC$4</c:f>
              <c:strCache>
                <c:ptCount val="1"/>
                <c:pt idx="0">
                  <c:v>0</c:v>
                </c:pt>
              </c:strCache>
            </c:strRef>
          </c:tx>
          <c:spPr>
            <a:solidFill>
              <a:schemeClr val="accent1"/>
            </a:solidFill>
            <a:ln>
              <a:noFill/>
            </a:ln>
            <a:effectLst/>
          </c:spPr>
          <c:invertIfNegative val="0"/>
          <c:cat>
            <c:strRef>
              <c:f>Frequency!$AB$5:$AB$10</c:f>
              <c:strCache>
                <c:ptCount val="5"/>
                <c:pt idx="0">
                  <c:v>0.078-0.578</c:v>
                </c:pt>
                <c:pt idx="1">
                  <c:v>0.578-1.078</c:v>
                </c:pt>
                <c:pt idx="2">
                  <c:v>1.078-1.578</c:v>
                </c:pt>
                <c:pt idx="3">
                  <c:v>1.578-2.078</c:v>
                </c:pt>
                <c:pt idx="4">
                  <c:v>2.078-2.578</c:v>
                </c:pt>
              </c:strCache>
            </c:strRef>
          </c:cat>
          <c:val>
            <c:numRef>
              <c:f>Frequency!$AC$5:$AC$10</c:f>
              <c:numCache>
                <c:formatCode>General</c:formatCode>
                <c:ptCount val="5"/>
                <c:pt idx="0">
                  <c:v>378</c:v>
                </c:pt>
                <c:pt idx="1">
                  <c:v>103</c:v>
                </c:pt>
                <c:pt idx="2">
                  <c:v>13</c:v>
                </c:pt>
                <c:pt idx="3">
                  <c:v>5</c:v>
                </c:pt>
                <c:pt idx="4">
                  <c:v>1</c:v>
                </c:pt>
              </c:numCache>
            </c:numRef>
          </c:val>
          <c:extLst>
            <c:ext xmlns:c16="http://schemas.microsoft.com/office/drawing/2014/chart" uri="{C3380CC4-5D6E-409C-BE32-E72D297353CC}">
              <c16:uniqueId val="{00000000-216E-424A-A9F1-A9F2E0B4614F}"/>
            </c:ext>
          </c:extLst>
        </c:ser>
        <c:ser>
          <c:idx val="1"/>
          <c:order val="1"/>
          <c:tx>
            <c:strRef>
              <c:f>Frequency!$AD$3:$AD$4</c:f>
              <c:strCache>
                <c:ptCount val="1"/>
                <c:pt idx="0">
                  <c:v>1</c:v>
                </c:pt>
              </c:strCache>
            </c:strRef>
          </c:tx>
          <c:spPr>
            <a:solidFill>
              <a:schemeClr val="accent2"/>
            </a:solidFill>
            <a:ln>
              <a:noFill/>
            </a:ln>
            <a:effectLst/>
          </c:spPr>
          <c:invertIfNegative val="0"/>
          <c:cat>
            <c:strRef>
              <c:f>Frequency!$AB$5:$AB$10</c:f>
              <c:strCache>
                <c:ptCount val="5"/>
                <c:pt idx="0">
                  <c:v>0.078-0.578</c:v>
                </c:pt>
                <c:pt idx="1">
                  <c:v>0.578-1.078</c:v>
                </c:pt>
                <c:pt idx="2">
                  <c:v>1.078-1.578</c:v>
                </c:pt>
                <c:pt idx="3">
                  <c:v>1.578-2.078</c:v>
                </c:pt>
                <c:pt idx="4">
                  <c:v>2.078-2.578</c:v>
                </c:pt>
              </c:strCache>
            </c:strRef>
          </c:cat>
          <c:val>
            <c:numRef>
              <c:f>Frequency!$AD$5:$AD$10</c:f>
              <c:numCache>
                <c:formatCode>General</c:formatCode>
                <c:ptCount val="5"/>
                <c:pt idx="0">
                  <c:v>165</c:v>
                </c:pt>
                <c:pt idx="1">
                  <c:v>78</c:v>
                </c:pt>
                <c:pt idx="2">
                  <c:v>21</c:v>
                </c:pt>
                <c:pt idx="3">
                  <c:v>1</c:v>
                </c:pt>
                <c:pt idx="4">
                  <c:v>3</c:v>
                </c:pt>
              </c:numCache>
            </c:numRef>
          </c:val>
          <c:extLst>
            <c:ext xmlns:c16="http://schemas.microsoft.com/office/drawing/2014/chart" uri="{C3380CC4-5D6E-409C-BE32-E72D297353CC}">
              <c16:uniqueId val="{0000000C-E3EF-463B-8281-0F73382EB652}"/>
            </c:ext>
          </c:extLst>
        </c:ser>
        <c:dLbls>
          <c:showLegendKey val="0"/>
          <c:showVal val="0"/>
          <c:showCatName val="0"/>
          <c:showSerName val="0"/>
          <c:showPercent val="0"/>
          <c:showBubbleSize val="0"/>
        </c:dLbls>
        <c:gapWidth val="219"/>
        <c:overlap val="-27"/>
        <c:axId val="552618968"/>
        <c:axId val="552621592"/>
      </c:barChart>
      <c:catAx>
        <c:axId val="552618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621592"/>
        <c:crosses val="autoZero"/>
        <c:auto val="1"/>
        <c:lblAlgn val="ctr"/>
        <c:lblOffset val="100"/>
        <c:noMultiLvlLbl val="0"/>
      </c:catAx>
      <c:valAx>
        <c:axId val="552621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618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Reversed" id="26">
  <a:schemeClr val="accent6"/>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6" Type="http://schemas.openxmlformats.org/officeDocument/2006/relationships/chart" Target="../charts/chart23.xml"/><Relationship Id="rId5" Type="http://schemas.openxmlformats.org/officeDocument/2006/relationships/chart" Target="../charts/chart22.xml"/><Relationship Id="rId4" Type="http://schemas.openxmlformats.org/officeDocument/2006/relationships/chart" Target="../charts/chart2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chart" Target="../charts/chart24.xml"/><Relationship Id="rId6" Type="http://schemas.openxmlformats.org/officeDocument/2006/relationships/chart" Target="../charts/chart29.xml"/><Relationship Id="rId5" Type="http://schemas.openxmlformats.org/officeDocument/2006/relationships/chart" Target="../charts/chart28.xml"/><Relationship Id="rId4" Type="http://schemas.openxmlformats.org/officeDocument/2006/relationships/chart" Target="../charts/chart27.xml"/></Relationships>
</file>

<file path=xl/drawings/drawing1.xml><?xml version="1.0" encoding="utf-8"?>
<xdr:wsDr xmlns:xdr="http://schemas.openxmlformats.org/drawingml/2006/spreadsheetDrawing" xmlns:a="http://schemas.openxmlformats.org/drawingml/2006/main">
  <xdr:twoCellAnchor>
    <xdr:from>
      <xdr:col>0</xdr:col>
      <xdr:colOff>0</xdr:colOff>
      <xdr:row>28</xdr:row>
      <xdr:rowOff>49343</xdr:rowOff>
    </xdr:from>
    <xdr:to>
      <xdr:col>9</xdr:col>
      <xdr:colOff>608824</xdr:colOff>
      <xdr:row>35</xdr:row>
      <xdr:rowOff>21249</xdr:rowOff>
    </xdr:to>
    <xdr:graphicFrame macro="">
      <xdr:nvGraphicFramePr>
        <xdr:cNvPr id="23" name="Chart 22">
          <a:extLst>
            <a:ext uri="{FF2B5EF4-FFF2-40B4-BE49-F238E27FC236}">
              <a16:creationId xmlns:a16="http://schemas.microsoft.com/office/drawing/2014/main" id="{FD351FAD-54DC-411C-8EEB-BC2007F280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7</xdr:row>
      <xdr:rowOff>142576</xdr:rowOff>
    </xdr:from>
    <xdr:to>
      <xdr:col>9</xdr:col>
      <xdr:colOff>608824</xdr:colOff>
      <xdr:row>14</xdr:row>
      <xdr:rowOff>115868</xdr:rowOff>
    </xdr:to>
    <xdr:graphicFrame macro="">
      <xdr:nvGraphicFramePr>
        <xdr:cNvPr id="24" name="Chart 23">
          <a:extLst>
            <a:ext uri="{FF2B5EF4-FFF2-40B4-BE49-F238E27FC236}">
              <a16:creationId xmlns:a16="http://schemas.microsoft.com/office/drawing/2014/main" id="{47AD348D-7238-4FD8-B7FE-ECC6A5FC2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642802</xdr:colOff>
      <xdr:row>3</xdr:row>
      <xdr:rowOff>161275</xdr:rowOff>
    </xdr:from>
    <xdr:to>
      <xdr:col>37</xdr:col>
      <xdr:colOff>3272</xdr:colOff>
      <xdr:row>21</xdr:row>
      <xdr:rowOff>88004</xdr:rowOff>
    </xdr:to>
    <xdr:graphicFrame macro="">
      <xdr:nvGraphicFramePr>
        <xdr:cNvPr id="35" name="Chart 34">
          <a:extLst>
            <a:ext uri="{FF2B5EF4-FFF2-40B4-BE49-F238E27FC236}">
              <a16:creationId xmlns:a16="http://schemas.microsoft.com/office/drawing/2014/main" id="{89333D09-BA3B-403E-9B32-9C1FF56072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610803</xdr:colOff>
      <xdr:row>21</xdr:row>
      <xdr:rowOff>91886</xdr:rowOff>
    </xdr:from>
    <xdr:to>
      <xdr:col>18</xdr:col>
      <xdr:colOff>637309</xdr:colOff>
      <xdr:row>41</xdr:row>
      <xdr:rowOff>277905</xdr:rowOff>
    </xdr:to>
    <xdr:graphicFrame macro="">
      <xdr:nvGraphicFramePr>
        <xdr:cNvPr id="37" name="Chart 36">
          <a:extLst>
            <a:ext uri="{FF2B5EF4-FFF2-40B4-BE49-F238E27FC236}">
              <a16:creationId xmlns:a16="http://schemas.microsoft.com/office/drawing/2014/main" id="{7E59384D-6C6D-4476-87A4-CF6BCB65DF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21</xdr:row>
      <xdr:rowOff>88287</xdr:rowOff>
    </xdr:from>
    <xdr:to>
      <xdr:col>9</xdr:col>
      <xdr:colOff>608824</xdr:colOff>
      <xdr:row>28</xdr:row>
      <xdr:rowOff>60193</xdr:rowOff>
    </xdr:to>
    <xdr:graphicFrame macro="">
      <xdr:nvGraphicFramePr>
        <xdr:cNvPr id="39" name="Chart 38">
          <a:extLst>
            <a:ext uri="{FF2B5EF4-FFF2-40B4-BE49-F238E27FC236}">
              <a16:creationId xmlns:a16="http://schemas.microsoft.com/office/drawing/2014/main" id="{4C8102FB-A82B-46FC-A899-253E8292F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35</xdr:row>
      <xdr:rowOff>9530</xdr:rowOff>
    </xdr:from>
    <xdr:to>
      <xdr:col>9</xdr:col>
      <xdr:colOff>608824</xdr:colOff>
      <xdr:row>41</xdr:row>
      <xdr:rowOff>270996</xdr:rowOff>
    </xdr:to>
    <xdr:graphicFrame macro="">
      <xdr:nvGraphicFramePr>
        <xdr:cNvPr id="40" name="Chart 39">
          <a:extLst>
            <a:ext uri="{FF2B5EF4-FFF2-40B4-BE49-F238E27FC236}">
              <a16:creationId xmlns:a16="http://schemas.microsoft.com/office/drawing/2014/main" id="{F3371A6B-39A8-4768-96F4-E85EBF64C1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115642</xdr:rowOff>
    </xdr:from>
    <xdr:to>
      <xdr:col>9</xdr:col>
      <xdr:colOff>608824</xdr:colOff>
      <xdr:row>21</xdr:row>
      <xdr:rowOff>87548</xdr:rowOff>
    </xdr:to>
    <xdr:graphicFrame macro="">
      <xdr:nvGraphicFramePr>
        <xdr:cNvPr id="41" name="Chart 40">
          <a:extLst>
            <a:ext uri="{FF2B5EF4-FFF2-40B4-BE49-F238E27FC236}">
              <a16:creationId xmlns:a16="http://schemas.microsoft.com/office/drawing/2014/main" id="{71A37994-30F3-4CD5-B71C-3DB9AA555F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630399</xdr:colOff>
      <xdr:row>21</xdr:row>
      <xdr:rowOff>88671</xdr:rowOff>
    </xdr:from>
    <xdr:to>
      <xdr:col>27</xdr:col>
      <xdr:colOff>657680</xdr:colOff>
      <xdr:row>42</xdr:row>
      <xdr:rowOff>27921</xdr:rowOff>
    </xdr:to>
    <xdr:graphicFrame macro="">
      <xdr:nvGraphicFramePr>
        <xdr:cNvPr id="42" name="Chart 41">
          <a:extLst>
            <a:ext uri="{FF2B5EF4-FFF2-40B4-BE49-F238E27FC236}">
              <a16:creationId xmlns:a16="http://schemas.microsoft.com/office/drawing/2014/main" id="{E7A2C79D-0E5B-4F8C-8CFE-B203441A6A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27</xdr:col>
      <xdr:colOff>641896</xdr:colOff>
      <xdr:row>21</xdr:row>
      <xdr:rowOff>85899</xdr:rowOff>
    </xdr:from>
    <xdr:to>
      <xdr:col>37</xdr:col>
      <xdr:colOff>7970</xdr:colOff>
      <xdr:row>42</xdr:row>
      <xdr:rowOff>26535</xdr:rowOff>
    </xdr:to>
    <xdr:graphicFrame macro="">
      <xdr:nvGraphicFramePr>
        <xdr:cNvPr id="43" name="Chart 42">
          <a:extLst>
            <a:ext uri="{FF2B5EF4-FFF2-40B4-BE49-F238E27FC236}">
              <a16:creationId xmlns:a16="http://schemas.microsoft.com/office/drawing/2014/main" id="{28477332-38A4-40BD-8E52-B676FC7F7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627528</xdr:colOff>
      <xdr:row>41</xdr:row>
      <xdr:rowOff>277905</xdr:rowOff>
    </xdr:from>
    <xdr:to>
      <xdr:col>23</xdr:col>
      <xdr:colOff>340658</xdr:colOff>
      <xdr:row>67</xdr:row>
      <xdr:rowOff>0</xdr:rowOff>
    </xdr:to>
    <xdr:graphicFrame macro="">
      <xdr:nvGraphicFramePr>
        <xdr:cNvPr id="44" name="Chart 43">
          <a:extLst>
            <a:ext uri="{FF2B5EF4-FFF2-40B4-BE49-F238E27FC236}">
              <a16:creationId xmlns:a16="http://schemas.microsoft.com/office/drawing/2014/main" id="{A36BCBCB-9DFE-4CEB-AF98-DF76104283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608954</xdr:colOff>
      <xdr:row>3</xdr:row>
      <xdr:rowOff>165041</xdr:rowOff>
    </xdr:from>
    <xdr:to>
      <xdr:col>27</xdr:col>
      <xdr:colOff>641778</xdr:colOff>
      <xdr:row>21</xdr:row>
      <xdr:rowOff>91770</xdr:rowOff>
    </xdr:to>
    <xdr:graphicFrame macro="">
      <xdr:nvGraphicFramePr>
        <xdr:cNvPr id="45" name="Chart 44">
          <a:extLst>
            <a:ext uri="{FF2B5EF4-FFF2-40B4-BE49-F238E27FC236}">
              <a16:creationId xmlns:a16="http://schemas.microsoft.com/office/drawing/2014/main" id="{88A52711-329A-4628-8CA3-E061C3B0AE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19050</xdr:colOff>
      <xdr:row>41</xdr:row>
      <xdr:rowOff>270771</xdr:rowOff>
    </xdr:from>
    <xdr:to>
      <xdr:col>9</xdr:col>
      <xdr:colOff>627874</xdr:colOff>
      <xdr:row>66</xdr:row>
      <xdr:rowOff>286054</xdr:rowOff>
    </xdr:to>
    <xdr:graphicFrame macro="">
      <xdr:nvGraphicFramePr>
        <xdr:cNvPr id="47" name="Chart 46">
          <a:extLst>
            <a:ext uri="{FF2B5EF4-FFF2-40B4-BE49-F238E27FC236}">
              <a16:creationId xmlns:a16="http://schemas.microsoft.com/office/drawing/2014/main" id="{4482DDE4-97E5-476B-8337-B7C22F46F4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6562</xdr:colOff>
      <xdr:row>3</xdr:row>
      <xdr:rowOff>175260</xdr:rowOff>
    </xdr:from>
    <xdr:to>
      <xdr:col>13</xdr:col>
      <xdr:colOff>138545</xdr:colOff>
      <xdr:row>7</xdr:row>
      <xdr:rowOff>152400</xdr:rowOff>
    </xdr:to>
    <mc:AlternateContent xmlns:mc="http://schemas.openxmlformats.org/markup-compatibility/2006" xmlns:a14="http://schemas.microsoft.com/office/drawing/2010/main">
      <mc:Choice Requires="a14">
        <xdr:graphicFrame macro="">
          <xdr:nvGraphicFramePr>
            <xdr:cNvPr id="2" name="Age Group">
              <a:extLst>
                <a:ext uri="{FF2B5EF4-FFF2-40B4-BE49-F238E27FC236}">
                  <a16:creationId xmlns:a16="http://schemas.microsoft.com/office/drawing/2014/main" id="{0B696FB3-ADF3-4C53-B444-AAE716292F7E}"/>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6562" y="1002570"/>
              <a:ext cx="8777219" cy="1186448"/>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605230</xdr:colOff>
      <xdr:row>7</xdr:row>
      <xdr:rowOff>138546</xdr:rowOff>
    </xdr:from>
    <xdr:to>
      <xdr:col>18</xdr:col>
      <xdr:colOff>638053</xdr:colOff>
      <xdr:row>21</xdr:row>
      <xdr:rowOff>98109</xdr:rowOff>
    </xdr:to>
    <xdr:graphicFrame macro="">
      <xdr:nvGraphicFramePr>
        <xdr:cNvPr id="49" name="Chart 48">
          <a:extLst>
            <a:ext uri="{FF2B5EF4-FFF2-40B4-BE49-F238E27FC236}">
              <a16:creationId xmlns:a16="http://schemas.microsoft.com/office/drawing/2014/main" id="{8E034DEA-E1FE-49D6-96A8-6D6A8606AA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23</xdr:col>
      <xdr:colOff>341780</xdr:colOff>
      <xdr:row>42</xdr:row>
      <xdr:rowOff>0</xdr:rowOff>
    </xdr:from>
    <xdr:to>
      <xdr:col>36</xdr:col>
      <xdr:colOff>660790</xdr:colOff>
      <xdr:row>67</xdr:row>
      <xdr:rowOff>17929</xdr:rowOff>
    </xdr:to>
    <xdr:graphicFrame macro="">
      <xdr:nvGraphicFramePr>
        <xdr:cNvPr id="50" name="Chart 49">
          <a:extLst>
            <a:ext uri="{FF2B5EF4-FFF2-40B4-BE49-F238E27FC236}">
              <a16:creationId xmlns:a16="http://schemas.microsoft.com/office/drawing/2014/main" id="{F893F251-1781-4854-9EAF-F7AEC29C98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0</xdr:col>
      <xdr:colOff>0</xdr:colOff>
      <xdr:row>0</xdr:row>
      <xdr:rowOff>24649</xdr:rowOff>
    </xdr:from>
    <xdr:ext cx="24688800" cy="1000588"/>
    <xdr:sp macro="" textlink="">
      <xdr:nvSpPr>
        <xdr:cNvPr id="58" name="Rectangle 57">
          <a:extLst>
            <a:ext uri="{FF2B5EF4-FFF2-40B4-BE49-F238E27FC236}">
              <a16:creationId xmlns:a16="http://schemas.microsoft.com/office/drawing/2014/main" id="{3316E644-8F45-40B9-85B1-D88F370945FB}"/>
            </a:ext>
          </a:extLst>
        </xdr:cNvPr>
        <xdr:cNvSpPr/>
      </xdr:nvSpPr>
      <xdr:spPr>
        <a:xfrm>
          <a:off x="0" y="24649"/>
          <a:ext cx="24688800" cy="1000588"/>
        </a:xfrm>
        <a:prstGeom prst="rect">
          <a:avLst/>
        </a:prstGeom>
        <a:solidFill>
          <a:schemeClr val="accent6">
            <a:lumMod val="20000"/>
            <a:lumOff val="80000"/>
          </a:schemeClr>
        </a:solidFill>
      </xdr:spPr>
      <xdr:txBody>
        <a:bodyPr wrap="square" lIns="91440" tIns="45720" rIns="91440" bIns="45720" anchor="ctr">
          <a:noAutofit/>
          <a:scene3d>
            <a:camera prst="orthographicFront"/>
            <a:lightRig rig="soft" dir="t">
              <a:rot lat="0" lon="0" rev="15600000"/>
            </a:lightRig>
          </a:scene3d>
          <a:sp3d extrusionH="57150" prstMaterial="softEdge">
            <a:bevelT w="25400" h="38100"/>
          </a:sp3d>
        </a:bodyPr>
        <a:lstStyle/>
        <a:p>
          <a:pPr algn="ctr"/>
          <a:r>
            <a:rPr lang="en-US" sz="4400" b="1" cap="none" spc="0">
              <a:ln/>
              <a:solidFill>
                <a:schemeClr val="accent5">
                  <a:lumMod val="75000"/>
                </a:schemeClr>
              </a:solidFill>
              <a:effectLst/>
            </a:rPr>
            <a:t>DIABETES &amp; OTHER HEALTH INDICATORS </a:t>
          </a:r>
        </a:p>
      </xdr:txBody>
    </xdr:sp>
    <xdr:clientData/>
  </xdr:oneCellAnchor>
  <xdr:twoCellAnchor editAs="oneCell">
    <xdr:from>
      <xdr:col>13</xdr:col>
      <xdr:colOff>138546</xdr:colOff>
      <xdr:row>3</xdr:row>
      <xdr:rowOff>173182</xdr:rowOff>
    </xdr:from>
    <xdr:to>
      <xdr:col>18</xdr:col>
      <xdr:colOff>665017</xdr:colOff>
      <xdr:row>7</xdr:row>
      <xdr:rowOff>152399</xdr:rowOff>
    </xdr:to>
    <mc:AlternateContent xmlns:mc="http://schemas.openxmlformats.org/markup-compatibility/2006" xmlns:a14="http://schemas.microsoft.com/office/drawing/2010/main">
      <mc:Choice Requires="a14">
        <xdr:graphicFrame macro="">
          <xdr:nvGraphicFramePr>
            <xdr:cNvPr id="4" name="Diabetes">
              <a:extLst>
                <a:ext uri="{FF2B5EF4-FFF2-40B4-BE49-F238E27FC236}">
                  <a16:creationId xmlns:a16="http://schemas.microsoft.com/office/drawing/2014/main" id="{B3519295-AAF0-41E6-A50B-C396B4418994}"/>
                </a:ext>
              </a:extLst>
            </xdr:cNvPr>
            <xdr:cNvGraphicFramePr/>
          </xdr:nvGraphicFramePr>
          <xdr:xfrm>
            <a:off x="0" y="0"/>
            <a:ext cx="0" cy="0"/>
          </xdr:xfrm>
          <a:graphic>
            <a:graphicData uri="http://schemas.microsoft.com/office/drawing/2010/slicer">
              <sle:slicer xmlns:sle="http://schemas.microsoft.com/office/drawing/2010/slicer" name="Diabetes"/>
            </a:graphicData>
          </a:graphic>
        </xdr:graphicFrame>
      </mc:Choice>
      <mc:Fallback xmlns="">
        <xdr:sp macro="" textlink="">
          <xdr:nvSpPr>
            <xdr:cNvPr id="0" name=""/>
            <xdr:cNvSpPr>
              <a:spLocks noTextEdit="1"/>
            </xdr:cNvSpPr>
          </xdr:nvSpPr>
          <xdr:spPr>
            <a:xfrm>
              <a:off x="8783782" y="1046018"/>
              <a:ext cx="3851562" cy="1142999"/>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22</xdr:col>
      <xdr:colOff>575022</xdr:colOff>
      <xdr:row>0</xdr:row>
      <xdr:rowOff>170327</xdr:rowOff>
    </xdr:from>
    <xdr:to>
      <xdr:col>28</xdr:col>
      <xdr:colOff>107577</xdr:colOff>
      <xdr:row>19</xdr:row>
      <xdr:rowOff>98612</xdr:rowOff>
    </xdr:to>
    <xdr:graphicFrame macro="">
      <xdr:nvGraphicFramePr>
        <xdr:cNvPr id="2" name="Chart 1">
          <a:extLst>
            <a:ext uri="{FF2B5EF4-FFF2-40B4-BE49-F238E27FC236}">
              <a16:creationId xmlns:a16="http://schemas.microsoft.com/office/drawing/2014/main" id="{A2162560-A240-479A-BEA5-DE6C7A87F7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587189</xdr:colOff>
      <xdr:row>19</xdr:row>
      <xdr:rowOff>143436</xdr:rowOff>
    </xdr:from>
    <xdr:to>
      <xdr:col>27</xdr:col>
      <xdr:colOff>1030942</xdr:colOff>
      <xdr:row>40</xdr:row>
      <xdr:rowOff>89647</xdr:rowOff>
    </xdr:to>
    <xdr:graphicFrame macro="">
      <xdr:nvGraphicFramePr>
        <xdr:cNvPr id="7" name="Chart 6">
          <a:extLst>
            <a:ext uri="{FF2B5EF4-FFF2-40B4-BE49-F238E27FC236}">
              <a16:creationId xmlns:a16="http://schemas.microsoft.com/office/drawing/2014/main" id="{FC5592FA-6859-4B11-9AE5-5D2633AEC3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382690</xdr:colOff>
      <xdr:row>2</xdr:row>
      <xdr:rowOff>728133</xdr:rowOff>
    </xdr:from>
    <xdr:to>
      <xdr:col>18</xdr:col>
      <xdr:colOff>119743</xdr:colOff>
      <xdr:row>10</xdr:row>
      <xdr:rowOff>262465</xdr:rowOff>
    </xdr:to>
    <xdr:graphicFrame macro="">
      <xdr:nvGraphicFramePr>
        <xdr:cNvPr id="3" name="Chart 2">
          <a:extLst>
            <a:ext uri="{FF2B5EF4-FFF2-40B4-BE49-F238E27FC236}">
              <a16:creationId xmlns:a16="http://schemas.microsoft.com/office/drawing/2014/main" id="{403013D9-BD91-4323-A7F6-DA7E0FE5FF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40342</xdr:colOff>
      <xdr:row>7</xdr:row>
      <xdr:rowOff>62749</xdr:rowOff>
    </xdr:from>
    <xdr:to>
      <xdr:col>9</xdr:col>
      <xdr:colOff>99989</xdr:colOff>
      <xdr:row>14</xdr:row>
      <xdr:rowOff>67690</xdr:rowOff>
    </xdr:to>
    <xdr:graphicFrame macro="">
      <xdr:nvGraphicFramePr>
        <xdr:cNvPr id="3" name="Chart 2">
          <a:extLst>
            <a:ext uri="{FF2B5EF4-FFF2-40B4-BE49-F238E27FC236}">
              <a16:creationId xmlns:a16="http://schemas.microsoft.com/office/drawing/2014/main" id="{9A790306-8AD1-457D-8367-828B0D9EE2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515472</xdr:colOff>
      <xdr:row>24</xdr:row>
      <xdr:rowOff>53787</xdr:rowOff>
    </xdr:from>
    <xdr:to>
      <xdr:col>8</xdr:col>
      <xdr:colOff>754413</xdr:colOff>
      <xdr:row>31</xdr:row>
      <xdr:rowOff>58728</xdr:rowOff>
    </xdr:to>
    <xdr:graphicFrame macro="">
      <xdr:nvGraphicFramePr>
        <xdr:cNvPr id="4" name="Chart 3">
          <a:extLst>
            <a:ext uri="{FF2B5EF4-FFF2-40B4-BE49-F238E27FC236}">
              <a16:creationId xmlns:a16="http://schemas.microsoft.com/office/drawing/2014/main" id="{09814C34-4BCF-4D9B-A456-29A244BCE3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47368</xdr:colOff>
      <xdr:row>7</xdr:row>
      <xdr:rowOff>17923</xdr:rowOff>
    </xdr:from>
    <xdr:to>
      <xdr:col>15</xdr:col>
      <xdr:colOff>314018</xdr:colOff>
      <xdr:row>14</xdr:row>
      <xdr:rowOff>22864</xdr:rowOff>
    </xdr:to>
    <xdr:graphicFrame macro="">
      <xdr:nvGraphicFramePr>
        <xdr:cNvPr id="5" name="Chart 4">
          <a:extLst>
            <a:ext uri="{FF2B5EF4-FFF2-40B4-BE49-F238E27FC236}">
              <a16:creationId xmlns:a16="http://schemas.microsoft.com/office/drawing/2014/main" id="{147080F3-C124-41A4-99AE-B9F8B2E312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193412</xdr:colOff>
      <xdr:row>24</xdr:row>
      <xdr:rowOff>62753</xdr:rowOff>
    </xdr:from>
    <xdr:to>
      <xdr:col>14</xdr:col>
      <xdr:colOff>125760</xdr:colOff>
      <xdr:row>31</xdr:row>
      <xdr:rowOff>67694</xdr:rowOff>
    </xdr:to>
    <xdr:graphicFrame macro="">
      <xdr:nvGraphicFramePr>
        <xdr:cNvPr id="6" name="Chart 5">
          <a:extLst>
            <a:ext uri="{FF2B5EF4-FFF2-40B4-BE49-F238E27FC236}">
              <a16:creationId xmlns:a16="http://schemas.microsoft.com/office/drawing/2014/main" id="{D20E4BB1-7A4D-48CE-91B5-90FEF6A82F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37427</xdr:colOff>
      <xdr:row>8</xdr:row>
      <xdr:rowOff>125506</xdr:rowOff>
    </xdr:from>
    <xdr:to>
      <xdr:col>20</xdr:col>
      <xdr:colOff>97074</xdr:colOff>
      <xdr:row>15</xdr:row>
      <xdr:rowOff>130447</xdr:rowOff>
    </xdr:to>
    <xdr:graphicFrame macro="">
      <xdr:nvGraphicFramePr>
        <xdr:cNvPr id="7" name="Chart 6">
          <a:extLst>
            <a:ext uri="{FF2B5EF4-FFF2-40B4-BE49-F238E27FC236}">
              <a16:creationId xmlns:a16="http://schemas.microsoft.com/office/drawing/2014/main" id="{7288C8F4-30D5-4DB3-89EA-C71999A49E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8</xdr:row>
      <xdr:rowOff>32657</xdr:rowOff>
    </xdr:from>
    <xdr:to>
      <xdr:col>4</xdr:col>
      <xdr:colOff>195942</xdr:colOff>
      <xdr:row>22</xdr:row>
      <xdr:rowOff>141515</xdr:rowOff>
    </xdr:to>
    <xdr:graphicFrame macro="">
      <xdr:nvGraphicFramePr>
        <xdr:cNvPr id="11" name="Chart 10">
          <a:extLst>
            <a:ext uri="{FF2B5EF4-FFF2-40B4-BE49-F238E27FC236}">
              <a16:creationId xmlns:a16="http://schemas.microsoft.com/office/drawing/2014/main" id="{43CAC26E-E3B2-4D5C-963C-1BF8335165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156755</xdr:rowOff>
    </xdr:from>
    <xdr:to>
      <xdr:col>4</xdr:col>
      <xdr:colOff>653143</xdr:colOff>
      <xdr:row>23</xdr:row>
      <xdr:rowOff>171994</xdr:rowOff>
    </xdr:to>
    <xdr:graphicFrame macro="">
      <xdr:nvGraphicFramePr>
        <xdr:cNvPr id="4" name="Chart 3">
          <a:extLst>
            <a:ext uri="{FF2B5EF4-FFF2-40B4-BE49-F238E27FC236}">
              <a16:creationId xmlns:a16="http://schemas.microsoft.com/office/drawing/2014/main" id="{0E8397B7-D80D-435D-B8BD-2A2EC2AE39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783771</xdr:colOff>
      <xdr:row>10</xdr:row>
      <xdr:rowOff>80554</xdr:rowOff>
    </xdr:from>
    <xdr:to>
      <xdr:col>26</xdr:col>
      <xdr:colOff>456111</xdr:colOff>
      <xdr:row>22</xdr:row>
      <xdr:rowOff>181792</xdr:rowOff>
    </xdr:to>
    <xdr:graphicFrame macro="">
      <xdr:nvGraphicFramePr>
        <xdr:cNvPr id="9" name="Chart 8">
          <a:extLst>
            <a:ext uri="{FF2B5EF4-FFF2-40B4-BE49-F238E27FC236}">
              <a16:creationId xmlns:a16="http://schemas.microsoft.com/office/drawing/2014/main" id="{08A2E75C-96F3-4663-BAE4-4F013862BA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908957</xdr:colOff>
      <xdr:row>14</xdr:row>
      <xdr:rowOff>15241</xdr:rowOff>
    </xdr:from>
    <xdr:to>
      <xdr:col>9</xdr:col>
      <xdr:colOff>408215</xdr:colOff>
      <xdr:row>27</xdr:row>
      <xdr:rowOff>7620</xdr:rowOff>
    </xdr:to>
    <xdr:graphicFrame macro="">
      <xdr:nvGraphicFramePr>
        <xdr:cNvPr id="10" name="Chart 9">
          <a:extLst>
            <a:ext uri="{FF2B5EF4-FFF2-40B4-BE49-F238E27FC236}">
              <a16:creationId xmlns:a16="http://schemas.microsoft.com/office/drawing/2014/main" id="{629A55FE-5F49-4627-8F72-EF32048D08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519250</xdr:colOff>
      <xdr:row>13</xdr:row>
      <xdr:rowOff>174170</xdr:rowOff>
    </xdr:from>
    <xdr:to>
      <xdr:col>15</xdr:col>
      <xdr:colOff>580210</xdr:colOff>
      <xdr:row>28</xdr:row>
      <xdr:rowOff>174170</xdr:rowOff>
    </xdr:to>
    <xdr:graphicFrame macro="">
      <xdr:nvGraphicFramePr>
        <xdr:cNvPr id="12" name="Chart 11">
          <a:extLst>
            <a:ext uri="{FF2B5EF4-FFF2-40B4-BE49-F238E27FC236}">
              <a16:creationId xmlns:a16="http://schemas.microsoft.com/office/drawing/2014/main" id="{8939659C-F2CF-4426-9CFA-94141FCBA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21770</xdr:colOff>
      <xdr:row>15</xdr:row>
      <xdr:rowOff>179616</xdr:rowOff>
    </xdr:from>
    <xdr:to>
      <xdr:col>21</xdr:col>
      <xdr:colOff>740227</xdr:colOff>
      <xdr:row>32</xdr:row>
      <xdr:rowOff>21772</xdr:rowOff>
    </xdr:to>
    <xdr:graphicFrame macro="">
      <xdr:nvGraphicFramePr>
        <xdr:cNvPr id="13" name="Chart 12">
          <a:extLst>
            <a:ext uri="{FF2B5EF4-FFF2-40B4-BE49-F238E27FC236}">
              <a16:creationId xmlns:a16="http://schemas.microsoft.com/office/drawing/2014/main" id="{9D6EFE3A-BD26-482E-B85A-45D494B988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87084</xdr:colOff>
      <xdr:row>14</xdr:row>
      <xdr:rowOff>10886</xdr:rowOff>
    </xdr:from>
    <xdr:to>
      <xdr:col>33</xdr:col>
      <xdr:colOff>163286</xdr:colOff>
      <xdr:row>29</xdr:row>
      <xdr:rowOff>157844</xdr:rowOff>
    </xdr:to>
    <xdr:graphicFrame macro="">
      <xdr:nvGraphicFramePr>
        <xdr:cNvPr id="15" name="Chart 14">
          <a:extLst>
            <a:ext uri="{FF2B5EF4-FFF2-40B4-BE49-F238E27FC236}">
              <a16:creationId xmlns:a16="http://schemas.microsoft.com/office/drawing/2014/main" id="{DA9B43F2-0082-46E9-BA6B-290169C856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uwen" refreshedDate="44685.119239930558" createdVersion="7" refreshedVersion="7" minRefreshableVersion="3" recordCount="768" xr:uid="{D85A9435-7414-4C23-A77E-86AEBF544A8E}">
  <cacheSource type="worksheet">
    <worksheetSource name="diabetesoriginal"/>
  </cacheSource>
  <cacheFields count="18">
    <cacheField name="Pregnancies" numFmtId="0">
      <sharedItems containsSemiMixedTypes="0" containsString="0" containsNumber="1" containsInteger="1" minValue="0" maxValue="17"/>
    </cacheField>
    <cacheField name="Glucose" numFmtId="0">
      <sharedItems containsSemiMixedTypes="0" containsString="0" containsNumber="1" containsInteger="1" minValue="44" maxValue="199" count="135">
        <n v="148"/>
        <n v="85"/>
        <n v="183"/>
        <n v="89"/>
        <n v="137"/>
        <n v="116"/>
        <n v="78"/>
        <n v="115"/>
        <n v="197"/>
        <n v="125"/>
        <n v="110"/>
        <n v="168"/>
        <n v="139"/>
        <n v="189"/>
        <n v="166"/>
        <n v="100"/>
        <n v="118"/>
        <n v="107"/>
        <n v="103"/>
        <n v="126"/>
        <n v="99"/>
        <n v="196"/>
        <n v="119"/>
        <n v="143"/>
        <n v="147"/>
        <n v="97"/>
        <n v="145"/>
        <n v="117"/>
        <n v="109"/>
        <n v="158"/>
        <n v="88"/>
        <n v="92"/>
        <n v="122"/>
        <n v="138"/>
        <n v="102"/>
        <n v="90"/>
        <n v="111"/>
        <n v="180"/>
        <n v="133"/>
        <n v="106"/>
        <n v="171"/>
        <n v="159"/>
        <n v="146"/>
        <n v="71"/>
        <n v="105"/>
        <n v="101"/>
        <n v="176"/>
        <n v="150"/>
        <n v="73"/>
        <n v="187"/>
        <n v="84"/>
        <n v="44"/>
        <n v="141"/>
        <n v="114"/>
        <n v="95"/>
        <n v="129"/>
        <n v="79"/>
        <n v="62"/>
        <n v="131"/>
        <n v="112"/>
        <n v="113"/>
        <n v="74"/>
        <n v="83"/>
        <n v="136"/>
        <n v="80"/>
        <n v="123"/>
        <n v="81"/>
        <n v="134"/>
        <n v="142"/>
        <n v="144"/>
        <n v="93"/>
        <n v="163"/>
        <n v="151"/>
        <n v="96"/>
        <n v="155"/>
        <n v="76"/>
        <n v="160"/>
        <n v="124"/>
        <n v="162"/>
        <n v="132"/>
        <n v="120"/>
        <n v="173"/>
        <n v="170"/>
        <n v="128"/>
        <n v="108"/>
        <n v="154"/>
        <n v="57"/>
        <n v="156"/>
        <n v="153"/>
        <n v="188"/>
        <n v="152"/>
        <n v="104"/>
        <n v="87"/>
        <n v="75"/>
        <n v="179"/>
        <n v="130"/>
        <n v="194"/>
        <n v="181"/>
        <n v="135"/>
        <n v="184"/>
        <n v="140"/>
        <n v="177"/>
        <n v="164"/>
        <n v="91"/>
        <n v="165"/>
        <n v="86"/>
        <n v="193"/>
        <n v="191"/>
        <n v="161"/>
        <n v="167"/>
        <n v="77"/>
        <n v="182"/>
        <n v="157"/>
        <n v="178"/>
        <n v="61"/>
        <n v="98"/>
        <n v="127"/>
        <n v="82"/>
        <n v="72"/>
        <n v="172"/>
        <n v="94"/>
        <n v="175"/>
        <n v="195"/>
        <n v="68"/>
        <n v="186"/>
        <n v="198"/>
        <n v="121"/>
        <n v="67"/>
        <n v="174"/>
        <n v="199"/>
        <n v="56"/>
        <n v="169"/>
        <n v="149"/>
        <n v="65"/>
        <n v="190"/>
      </sharedItems>
      <fieldGroup base="1">
        <rangePr autoStart="0" autoEnd="0" startNum="0" endNum="200" groupInterval="20"/>
        <groupItems count="12">
          <s v="&lt;0"/>
          <s v="0-19"/>
          <s v="20-39"/>
          <s v="40-59"/>
          <s v="60-79"/>
          <s v="80-99"/>
          <s v="100-119"/>
          <s v="120-139"/>
          <s v="140-159"/>
          <s v="160-179"/>
          <s v="180-200"/>
          <s v="&gt;200"/>
        </groupItems>
      </fieldGroup>
    </cacheField>
    <cacheField name="Blood Pressure" numFmtId="0">
      <sharedItems containsSemiMixedTypes="0" containsString="0" containsNumber="1" containsInteger="1" minValue="0" maxValue="122" count="47">
        <n v="72"/>
        <n v="66"/>
        <n v="64"/>
        <n v="40"/>
        <n v="74"/>
        <n v="50"/>
        <n v="70"/>
        <n v="96"/>
        <n v="92"/>
        <n v="80"/>
        <n v="60"/>
        <n v="84"/>
        <n v="30"/>
        <n v="88"/>
        <n v="90"/>
        <n v="94"/>
        <n v="76"/>
        <n v="82"/>
        <n v="75"/>
        <n v="58"/>
        <n v="78"/>
        <n v="68"/>
        <n v="110"/>
        <n v="56"/>
        <n v="62"/>
        <n v="85"/>
        <n v="86"/>
        <n v="48"/>
        <n v="44"/>
        <n v="65"/>
        <n v="108"/>
        <n v="55"/>
        <n v="122"/>
        <n v="54"/>
        <n v="52"/>
        <n v="98"/>
        <n v="104"/>
        <n v="95"/>
        <n v="46"/>
        <n v="102"/>
        <n v="100"/>
        <n v="61"/>
        <n v="24"/>
        <n v="38"/>
        <n v="106"/>
        <n v="114"/>
        <n v="0" u="1"/>
      </sharedItems>
      <fieldGroup par="15"/>
    </cacheField>
    <cacheField name="Blood Pressure Category" numFmtId="0">
      <sharedItems count="4">
        <s v="Normal BP"/>
        <s v="Stage 1 Hypertension"/>
        <s v="High-Normal BP"/>
        <s v="Stage 2 Hypertension"/>
      </sharedItems>
      <fieldGroup par="16"/>
    </cacheField>
    <cacheField name="Skin Thickness" numFmtId="0">
      <sharedItems containsSemiMixedTypes="0" containsString="0" containsNumber="1" containsInteger="1" minValue="7" maxValue="99" count="50">
        <n v="35"/>
        <n v="29"/>
        <n v="23"/>
        <n v="32"/>
        <n v="45"/>
        <n v="19"/>
        <n v="47"/>
        <n v="38"/>
        <n v="30"/>
        <n v="41"/>
        <n v="33"/>
        <n v="26"/>
        <n v="15"/>
        <n v="36"/>
        <n v="11"/>
        <n v="31"/>
        <n v="37"/>
        <n v="42"/>
        <n v="25"/>
        <n v="18"/>
        <n v="24"/>
        <n v="39"/>
        <n v="27"/>
        <n v="21"/>
        <n v="34"/>
        <n v="10"/>
        <n v="60"/>
        <n v="13"/>
        <n v="20"/>
        <n v="22"/>
        <n v="28"/>
        <n v="54"/>
        <n v="40"/>
        <n v="51"/>
        <n v="56"/>
        <n v="14"/>
        <n v="17"/>
        <n v="50"/>
        <n v="44"/>
        <n v="12"/>
        <n v="46"/>
        <n v="16"/>
        <n v="7"/>
        <n v="52"/>
        <n v="43"/>
        <n v="48"/>
        <n v="8"/>
        <n v="49"/>
        <n v="63"/>
        <n v="99"/>
      </sharedItems>
      <fieldGroup base="4">
        <rangePr autoStart="0" startNum="5" endNum="99" groupInterval="10"/>
        <groupItems count="12">
          <s v="&lt;5"/>
          <s v="5-14"/>
          <s v="15-24"/>
          <s v="25-34"/>
          <s v="35-44"/>
          <s v="45-54"/>
          <s v="55-64"/>
          <s v="65-74"/>
          <s v="75-84"/>
          <s v="85-94"/>
          <s v="95-104"/>
          <s v="&gt;105"/>
        </groupItems>
      </fieldGroup>
    </cacheField>
    <cacheField name="Insulin" numFmtId="0">
      <sharedItems containsSemiMixedTypes="0" containsString="0" containsNumber="1" containsInteger="1" minValue="14" maxValue="846" count="185">
        <n v="125"/>
        <n v="94"/>
        <n v="168"/>
        <n v="88"/>
        <n v="543"/>
        <n v="846"/>
        <n v="175"/>
        <n v="230"/>
        <n v="83"/>
        <n v="96"/>
        <n v="235"/>
        <n v="146"/>
        <n v="115"/>
        <n v="140"/>
        <n v="110"/>
        <n v="245"/>
        <n v="54"/>
        <n v="192"/>
        <n v="207"/>
        <n v="70"/>
        <n v="240"/>
        <n v="82"/>
        <n v="36"/>
        <n v="23"/>
        <n v="300"/>
        <n v="342"/>
        <n v="304"/>
        <n v="142"/>
        <n v="128"/>
        <n v="38"/>
        <n v="100"/>
        <n v="90"/>
        <n v="270"/>
        <n v="71"/>
        <n v="176"/>
        <n v="48"/>
        <n v="64"/>
        <n v="228"/>
        <n v="76"/>
        <n v="220"/>
        <n v="40"/>
        <n v="152"/>
        <n v="18"/>
        <n v="135"/>
        <n v="495"/>
        <n v="37"/>
        <n v="51"/>
        <n v="99"/>
        <n v="145"/>
        <n v="225"/>
        <n v="49"/>
        <n v="50"/>
        <n v="92"/>
        <n v="325"/>
        <n v="63"/>
        <n v="284"/>
        <n v="119"/>
        <n v="204"/>
        <n v="155"/>
        <n v="485"/>
        <n v="53"/>
        <n v="114"/>
        <n v="105"/>
        <n v="285"/>
        <n v="156"/>
        <n v="78"/>
        <n v="130"/>
        <n v="55"/>
        <n v="58"/>
        <n v="160"/>
        <n v="210"/>
        <n v="318"/>
        <n v="44"/>
        <n v="190"/>
        <n v="280"/>
        <n v="87"/>
        <n v="271"/>
        <n v="129"/>
        <n v="120"/>
        <n v="478"/>
        <n v="56"/>
        <n v="32"/>
        <n v="744"/>
        <n v="370"/>
        <n v="45"/>
        <n v="194"/>
        <n v="680"/>
        <n v="402"/>
        <n v="258"/>
        <n v="375"/>
        <n v="150"/>
        <n v="67"/>
        <n v="57"/>
        <n v="116"/>
        <n v="278"/>
        <n v="122"/>
        <n v="545"/>
        <n v="75"/>
        <n v="74"/>
        <n v="182"/>
        <n v="360"/>
        <n v="215"/>
        <n v="184"/>
        <n v="42"/>
        <n v="132"/>
        <n v="148"/>
        <n v="180"/>
        <n v="205"/>
        <n v="85"/>
        <n v="231"/>
        <n v="29"/>
        <n v="68"/>
        <n v="52"/>
        <n v="255"/>
        <n v="171"/>
        <n v="73"/>
        <n v="108"/>
        <n v="43"/>
        <n v="167"/>
        <n v="249"/>
        <n v="293"/>
        <n v="66"/>
        <n v="465"/>
        <n v="89"/>
        <n v="158"/>
        <n v="84"/>
        <n v="72"/>
        <n v="59"/>
        <n v="81"/>
        <n v="196"/>
        <n v="415"/>
        <n v="275"/>
        <n v="165"/>
        <n v="579"/>
        <n v="310"/>
        <n v="61"/>
        <n v="474"/>
        <n v="170"/>
        <n v="277"/>
        <n v="60"/>
        <n v="14"/>
        <n v="95"/>
        <n v="237"/>
        <n v="191"/>
        <n v="328"/>
        <n v="250"/>
        <n v="480"/>
        <n v="265"/>
        <n v="193"/>
        <n v="79"/>
        <n v="86"/>
        <n v="326"/>
        <n v="188"/>
        <n v="106"/>
        <n v="65"/>
        <n v="166"/>
        <n v="274"/>
        <n v="77"/>
        <n v="126"/>
        <n v="330"/>
        <n v="600"/>
        <n v="185"/>
        <n v="25"/>
        <n v="41"/>
        <n v="272"/>
        <n v="321"/>
        <n v="144"/>
        <n v="15"/>
        <n v="183"/>
        <n v="91"/>
        <n v="46"/>
        <n v="440"/>
        <n v="159"/>
        <n v="540"/>
        <n v="200"/>
        <n v="335"/>
        <n v="387"/>
        <n v="22"/>
        <n v="291"/>
        <n v="392"/>
        <n v="178"/>
        <n v="127"/>
        <n v="510"/>
        <n v="16"/>
        <n v="112"/>
      </sharedItems>
      <fieldGroup base="5">
        <rangePr autoStart="0" startNum="0" endNum="846" groupInterval="70"/>
        <groupItems count="15">
          <s v="&lt;0"/>
          <s v="0-69"/>
          <s v="70-139"/>
          <s v="140-209"/>
          <s v="210-279"/>
          <s v="280-349"/>
          <s v="350-419"/>
          <s v="420-489"/>
          <s v="490-559"/>
          <s v="560-629"/>
          <s v="630-699"/>
          <s v="700-769"/>
          <s v="770-839"/>
          <s v="840-909"/>
          <s v="&gt;910"/>
        </groupItems>
      </fieldGroup>
    </cacheField>
    <cacheField name="BMI" numFmtId="0">
      <sharedItems containsSemiMixedTypes="0" containsString="0" containsNumber="1" minValue="18.2" maxValue="67.099999999999994" count="247">
        <n v="33.6"/>
        <n v="26.6"/>
        <n v="23.3"/>
        <n v="28.1"/>
        <n v="43.1"/>
        <n v="25.6"/>
        <n v="31"/>
        <n v="35.299999999999997"/>
        <n v="30.5"/>
        <n v="32.299999999999997"/>
        <n v="37.6"/>
        <n v="38"/>
        <n v="27.1"/>
        <n v="30.1"/>
        <n v="25.8"/>
        <n v="30"/>
        <n v="45.8"/>
        <n v="29.6"/>
        <n v="43.3"/>
        <n v="34.6"/>
        <n v="39.299999999999997"/>
        <n v="35.4"/>
        <n v="39.799999999999997"/>
        <n v="29"/>
        <n v="36.6"/>
        <n v="31.1"/>
        <n v="39.4"/>
        <n v="23.2"/>
        <n v="22.2"/>
        <n v="34.1"/>
        <n v="36"/>
        <n v="31.6"/>
        <n v="24.8"/>
        <n v="19.899999999999999"/>
        <n v="27.6"/>
        <n v="24"/>
        <n v="33.200000000000003"/>
        <n v="32.9"/>
        <n v="38.200000000000003"/>
        <n v="37.1"/>
        <n v="34"/>
        <n v="40.200000000000003"/>
        <n v="22.7"/>
        <n v="45.4"/>
        <n v="27.4"/>
        <n v="42"/>
        <n v="29.7"/>
        <n v="28"/>
        <n v="39.1"/>
        <n v="19.399999999999999"/>
        <n v="24.2"/>
        <n v="24.4"/>
        <n v="33.700000000000003"/>
        <n v="34.700000000000003"/>
        <n v="23"/>
        <n v="37.700000000000003"/>
        <n v="46.8"/>
        <n v="40.5"/>
        <n v="41.5"/>
        <n v="25"/>
        <n v="25.4"/>
        <n v="32.799999999999997"/>
        <n v="32.5"/>
        <n v="42.7"/>
        <n v="19.600000000000001"/>
        <n v="28.9"/>
        <n v="28.6"/>
        <n v="43.4"/>
        <n v="35.1"/>
        <n v="32"/>
        <n v="24.7"/>
        <n v="32.6"/>
        <n v="43.2"/>
        <n v="22.4"/>
        <n v="29.3"/>
        <n v="24.6"/>
        <n v="48.8"/>
        <n v="32.4"/>
        <n v="38.5"/>
        <n v="26.5"/>
        <n v="19.100000000000001"/>
        <n v="46.7"/>
        <n v="23.8"/>
        <n v="33.9"/>
        <n v="20.399999999999999"/>
        <n v="28.7"/>
        <n v="49.7"/>
        <n v="39"/>
        <n v="26.1"/>
        <n v="22.5"/>
        <n v="39.6"/>
        <n v="29.5"/>
        <n v="34.299999999999997"/>
        <n v="37.4"/>
        <n v="33.299999999999997"/>
        <n v="31.2"/>
        <n v="28.2"/>
        <n v="53.2"/>
        <n v="34.200000000000003"/>
        <n v="26.8"/>
        <n v="55"/>
        <n v="42.9"/>
        <n v="34.5"/>
        <n v="27.9"/>
        <n v="38.299999999999997"/>
        <n v="21.1"/>
        <n v="33.799999999999997"/>
        <n v="30.8"/>
        <n v="36.9"/>
        <n v="39.5"/>
        <n v="27.3"/>
        <n v="21.9"/>
        <n v="40.6"/>
        <n v="47.9"/>
        <n v="50"/>
        <n v="25.2"/>
        <n v="40.9"/>
        <n v="37.200000000000003"/>
        <n v="44.2"/>
        <n v="29.9"/>
        <n v="31.9"/>
        <n v="28.4"/>
        <n v="43.5"/>
        <n v="32.700000000000003"/>
        <n v="67.099999999999994"/>
        <n v="45"/>
        <n v="34.9"/>
        <n v="27.7"/>
        <n v="35.9"/>
        <n v="22.6"/>
        <n v="33.1"/>
        <n v="30.4"/>
        <n v="52.3"/>
        <n v="24.3"/>
        <n v="22.9"/>
        <n v="34.799999999999997"/>
        <n v="30.9"/>
        <n v="40.1"/>
        <n v="23.9"/>
        <n v="37.5"/>
        <n v="35.5"/>
        <n v="42.8"/>
        <n v="42.6"/>
        <n v="41.8"/>
        <n v="35.799999999999997"/>
        <n v="37.799999999999997"/>
        <n v="28.8"/>
        <n v="23.6"/>
        <n v="35.700000000000003"/>
        <n v="36.700000000000003"/>
        <n v="45.2"/>
        <n v="44"/>
        <n v="46.2"/>
        <n v="35"/>
        <n v="43.6"/>
        <n v="44.1"/>
        <n v="18.399999999999999"/>
        <n v="29.2"/>
        <n v="25.9"/>
        <n v="32.1"/>
        <n v="36.299999999999997"/>
        <n v="40"/>
        <n v="25.1"/>
        <n v="27.5"/>
        <n v="45.6"/>
        <n v="27.8"/>
        <n v="24.9"/>
        <n v="25.3"/>
        <n v="37.9"/>
        <n v="27"/>
        <n v="26"/>
        <n v="38.700000000000003"/>
        <n v="20.8"/>
        <n v="36.1"/>
        <n v="30.7"/>
        <n v="52.9"/>
        <n v="21"/>
        <n v="39.700000000000003"/>
        <n v="25.5"/>
        <n v="26.2"/>
        <n v="19.3"/>
        <n v="38.1"/>
        <n v="23.5"/>
        <n v="45.5"/>
        <n v="23.1"/>
        <n v="39.9"/>
        <n v="36.799999999999997"/>
        <n v="21.8"/>
        <n v="41"/>
        <n v="42.2"/>
        <n v="34.4"/>
        <n v="27.2"/>
        <n v="36.5"/>
        <n v="29.8"/>
        <n v="39.200000000000003"/>
        <n v="38.4"/>
        <n v="36.200000000000003"/>
        <n v="48.3"/>
        <n v="20"/>
        <n v="22.3"/>
        <n v="45.7"/>
        <n v="23.7"/>
        <n v="22.1"/>
        <n v="42.1"/>
        <n v="42.4"/>
        <n v="18.2"/>
        <n v="26.4"/>
        <n v="45.3"/>
        <n v="37"/>
        <n v="24.5"/>
        <n v="32.200000000000003"/>
        <n v="59.4"/>
        <n v="21.2"/>
        <n v="26.7"/>
        <n v="30.2"/>
        <n v="46.1"/>
        <n v="41.3"/>
        <n v="38.799999999999997"/>
        <n v="35.200000000000003"/>
        <n v="42.3"/>
        <n v="40.700000000000003"/>
        <n v="46.5"/>
        <n v="33.5"/>
        <n v="37.299999999999997"/>
        <n v="30.3"/>
        <n v="26.3"/>
        <n v="21.7"/>
        <n v="36.4"/>
        <n v="28.5"/>
        <n v="26.9"/>
        <n v="38.6"/>
        <n v="31.3"/>
        <n v="19.5"/>
        <n v="20.100000000000001"/>
        <n v="40.799999999999997"/>
        <n v="23.4"/>
        <n v="28.3"/>
        <n v="38.9"/>
        <n v="57.3"/>
        <n v="35.6"/>
        <n v="49.6"/>
        <n v="44.6"/>
        <n v="24.1"/>
        <n v="44.5"/>
        <n v="41.2"/>
        <n v="49.3"/>
        <n v="46.3"/>
      </sharedItems>
      <fieldGroup base="6">
        <rangePr startNum="18.2" endNum="67.099999999999994" groupInterval="5"/>
        <groupItems count="12">
          <s v="&lt;18.2"/>
          <s v="18.2-23.2"/>
          <s v="23.2-28.2"/>
          <s v="28.2-33.2"/>
          <s v="33.2-38.2"/>
          <s v="38.2-43.2"/>
          <s v="43.2-48.2"/>
          <s v="48.2-53.2"/>
          <s v="53.2-58.2"/>
          <s v="58.2-63.2"/>
          <s v="63.2-68.2"/>
          <s v="&gt;68.2"/>
        </groupItems>
      </fieldGroup>
    </cacheField>
    <cacheField name="BMI Category" numFmtId="0">
      <sharedItems count="5">
        <s v="Obesity"/>
        <s v="Overweight"/>
        <s v="Healthy"/>
        <s v="Obesity Extreme"/>
        <s v="Underweight"/>
      </sharedItems>
      <fieldGroup par="17"/>
    </cacheField>
    <cacheField name="Diabetes Pedigree Function" numFmtId="0">
      <sharedItems containsSemiMixedTypes="0" containsString="0" containsNumber="1" minValue="7.8E-2" maxValue="2.42" count="517">
        <n v="0.627"/>
        <n v="0.35099999999999998"/>
        <n v="0.67200000000000004"/>
        <n v="0.16700000000000001"/>
        <n v="2.2879999999999998"/>
        <n v="0.20100000000000001"/>
        <n v="0.248"/>
        <n v="0.13400000000000001"/>
        <n v="0.158"/>
        <n v="0.23200000000000001"/>
        <n v="0.191"/>
        <n v="0.53700000000000003"/>
        <n v="1.4410000000000001"/>
        <n v="0.39800000000000002"/>
        <n v="0.58699999999999997"/>
        <n v="0.48399999999999999"/>
        <n v="0.55100000000000005"/>
        <n v="0.254"/>
        <n v="0.183"/>
        <n v="0.52900000000000003"/>
        <n v="0.70399999999999996"/>
        <n v="0.38800000000000001"/>
        <n v="0.45100000000000001"/>
        <n v="0.26300000000000001"/>
        <n v="0.20499999999999999"/>
        <n v="0.25700000000000001"/>
        <n v="0.48699999999999999"/>
        <n v="0.245"/>
        <n v="0.33700000000000002"/>
        <n v="0.54600000000000004"/>
        <n v="0.85099999999999998"/>
        <n v="0.26700000000000002"/>
        <n v="0.188"/>
        <n v="0.51200000000000001"/>
        <n v="0.96599999999999997"/>
        <n v="0.42"/>
        <n v="0.66500000000000004"/>
        <n v="0.503"/>
        <n v="1.39"/>
        <n v="0.27100000000000002"/>
        <n v="0.69599999999999995"/>
        <n v="0.23499999999999999"/>
        <n v="0.72099999999999997"/>
        <n v="0.29399999999999998"/>
        <n v="1.893"/>
        <n v="0.56399999999999995"/>
        <n v="0.58599999999999997"/>
        <n v="0.34399999999999997"/>
        <n v="0.30499999999999999"/>
        <n v="0.49099999999999999"/>
        <n v="0.52600000000000002"/>
        <n v="0.34200000000000003"/>
        <n v="0.46700000000000003"/>
        <n v="0.71799999999999997"/>
        <n v="0.96199999999999997"/>
        <n v="1.7809999999999999"/>
        <n v="0.17299999999999999"/>
        <n v="0.30399999999999999"/>
        <n v="0.27"/>
        <n v="0.69899999999999995"/>
        <n v="0.25800000000000001"/>
        <n v="0.20300000000000001"/>
        <n v="0.85499999999999998"/>
        <n v="0.84499999999999997"/>
        <n v="0.33400000000000002"/>
        <n v="0.189"/>
        <n v="0.86699999999999999"/>
        <n v="0.41099999999999998"/>
        <n v="0.58299999999999996"/>
        <n v="0.23100000000000001"/>
        <n v="0.39600000000000002"/>
        <n v="0.14000000000000001"/>
        <n v="0.39100000000000001"/>
        <n v="0.37"/>
        <n v="0.307"/>
        <n v="0.10199999999999999"/>
        <n v="0.76700000000000002"/>
        <n v="0.23699999999999999"/>
        <n v="0.22700000000000001"/>
        <n v="0.69799999999999995"/>
        <n v="0.17799999999999999"/>
        <n v="0.32400000000000001"/>
        <n v="0.153"/>
        <n v="0.16500000000000001"/>
        <n v="0.443"/>
        <n v="0.26100000000000001"/>
        <n v="0.27700000000000002"/>
        <n v="0.76100000000000001"/>
        <n v="0.255"/>
        <n v="0.13"/>
        <n v="0.32300000000000001"/>
        <n v="0.35599999999999998"/>
        <n v="0.32500000000000001"/>
        <n v="1.222"/>
        <n v="0.17899999999999999"/>
        <n v="0.26200000000000001"/>
        <n v="0.28299999999999997"/>
        <n v="0.93"/>
        <n v="0.80100000000000005"/>
        <n v="0.20699999999999999"/>
        <n v="0.28699999999999998"/>
        <n v="0.33600000000000002"/>
        <n v="0.247"/>
        <n v="0.19900000000000001"/>
        <n v="0.54300000000000004"/>
        <n v="0.192"/>
        <n v="0.58799999999999997"/>
        <n v="0.53900000000000003"/>
        <n v="0.22"/>
        <n v="0.65400000000000003"/>
        <n v="0.223"/>
        <n v="0.75900000000000001"/>
        <n v="0.26"/>
        <n v="0.40400000000000003"/>
        <n v="0.186"/>
        <n v="0.27800000000000002"/>
        <n v="0.496"/>
        <n v="0.45200000000000001"/>
        <n v="0.40300000000000002"/>
        <n v="0.74099999999999999"/>
        <n v="0.36099999999999999"/>
        <n v="1.1140000000000001"/>
        <n v="0.45700000000000002"/>
        <n v="0.64700000000000002"/>
        <n v="8.7999999999999995E-2"/>
        <n v="0.59699999999999998"/>
        <n v="0.53200000000000003"/>
        <n v="0.70299999999999996"/>
        <n v="0.159"/>
        <n v="0.26800000000000002"/>
        <n v="0.28599999999999998"/>
        <n v="0.318"/>
        <n v="0.27200000000000002"/>
        <n v="0.57199999999999995"/>
        <n v="9.6000000000000002E-2"/>
        <n v="1.4"/>
        <n v="0.218"/>
        <n v="8.5000000000000006E-2"/>
        <n v="0.39900000000000002"/>
        <n v="0.432"/>
        <n v="1.1890000000000001"/>
        <n v="0.68700000000000006"/>
        <n v="0.13700000000000001"/>
        <n v="0.63700000000000001"/>
        <n v="0.83299999999999996"/>
        <n v="0.22900000000000001"/>
        <n v="0.81699999999999995"/>
        <n v="0.20399999999999999"/>
        <n v="0.36799999999999999"/>
        <n v="0.74299999999999999"/>
        <n v="0.72199999999999998"/>
        <n v="0.25600000000000001"/>
        <n v="0.70899999999999996"/>
        <n v="0.47099999999999997"/>
        <n v="0.495"/>
        <n v="0.18"/>
        <n v="0.54200000000000004"/>
        <n v="0.77300000000000002"/>
        <n v="0.67800000000000005"/>
        <n v="0.71899999999999997"/>
        <n v="0.38200000000000001"/>
        <n v="0.31900000000000001"/>
        <n v="0.19"/>
        <n v="0.95599999999999996"/>
        <n v="8.4000000000000005E-2"/>
        <n v="0.72499999999999998"/>
        <n v="0.29899999999999999"/>
        <n v="0.24399999999999999"/>
        <n v="0.745"/>
        <n v="0.61499999999999999"/>
        <n v="1.321"/>
        <n v="0.64"/>
        <n v="0.14199999999999999"/>
        <n v="0.374"/>
        <n v="0.38300000000000001"/>
        <n v="0.57799999999999996"/>
        <n v="0.13600000000000001"/>
        <n v="0.39500000000000002"/>
        <n v="0.187"/>
        <n v="0.90500000000000003"/>
        <n v="0.15"/>
        <n v="0.874"/>
        <n v="0.23599999999999999"/>
        <n v="0.78700000000000003"/>
        <n v="0.40699999999999997"/>
        <n v="0.60499999999999998"/>
        <n v="0.151"/>
        <n v="0.28899999999999998"/>
        <n v="0.35499999999999998"/>
        <n v="0.28999999999999998"/>
        <n v="0.375"/>
        <n v="0.16400000000000001"/>
        <n v="0.43099999999999999"/>
        <n v="0.74199999999999999"/>
        <n v="0.51400000000000001"/>
        <n v="0.46400000000000002"/>
        <n v="1.224"/>
        <n v="1.0720000000000001"/>
        <n v="0.80500000000000005"/>
        <n v="0.20899999999999999"/>
        <n v="0.66600000000000004"/>
        <n v="0.10100000000000001"/>
        <n v="0.19800000000000001"/>
        <n v="0.65200000000000002"/>
        <n v="2.3290000000000002"/>
        <n v="8.8999999999999996E-2"/>
        <n v="0.64500000000000002"/>
        <n v="0.23799999999999999"/>
        <n v="0.39400000000000002"/>
        <n v="0.29299999999999998"/>
        <n v="0.47899999999999998"/>
        <n v="0.68600000000000005"/>
        <n v="0.83099999999999996"/>
        <n v="0.58199999999999996"/>
        <n v="0.44600000000000001"/>
        <n v="0.40200000000000002"/>
        <n v="1.3180000000000001"/>
        <n v="0.32900000000000001"/>
        <n v="1.2130000000000001"/>
        <n v="0.42699999999999999"/>
        <n v="0.28199999999999997"/>
        <n v="0.14299999999999999"/>
        <n v="0.38"/>
        <n v="0.28399999999999997"/>
        <n v="0.249"/>
        <n v="0.92600000000000005"/>
        <n v="0.55700000000000005"/>
        <n v="9.1999999999999998E-2"/>
        <n v="0.65500000000000003"/>
        <n v="1.353"/>
        <n v="0.61199999999999999"/>
        <n v="0.2"/>
        <n v="0.22600000000000001"/>
        <n v="0.997"/>
        <n v="0.93300000000000005"/>
        <n v="1.101"/>
        <n v="7.8E-2"/>
        <n v="0.24"/>
        <n v="1.1359999999999999"/>
        <n v="0.128"/>
        <n v="0.42199999999999999"/>
        <n v="0.251"/>
        <n v="0.67700000000000005"/>
        <n v="0.29599999999999999"/>
        <n v="0.45400000000000001"/>
        <n v="0.74399999999999999"/>
        <n v="0.88100000000000001"/>
        <n v="0.28000000000000003"/>
        <n v="0.25900000000000001"/>
        <n v="0.61899999999999999"/>
        <n v="0.80800000000000005"/>
        <n v="0.34"/>
        <n v="0.434"/>
        <n v="0.75700000000000001"/>
        <n v="0.61299999999999999"/>
        <n v="0.69199999999999995"/>
        <n v="0.52"/>
        <n v="0.41199999999999998"/>
        <n v="0.84"/>
        <n v="0.83899999999999997"/>
        <n v="0.156"/>
        <n v="0.215"/>
        <n v="0.32600000000000001"/>
        <n v="1.391"/>
        <n v="0.875"/>
        <n v="0.313"/>
        <n v="0.433"/>
        <n v="0.626"/>
        <n v="1.127"/>
        <n v="0.315"/>
        <n v="0.34499999999999997"/>
        <n v="0.129"/>
        <n v="0.52700000000000002"/>
        <n v="0.19700000000000001"/>
        <n v="0.73099999999999998"/>
        <n v="0.14799999999999999"/>
        <n v="0.123"/>
        <n v="0.127"/>
        <n v="0.122"/>
        <n v="1.476"/>
        <n v="0.16600000000000001"/>
        <n v="0.93200000000000005"/>
        <n v="0.34300000000000003"/>
        <n v="0.89300000000000002"/>
        <n v="0.33100000000000002"/>
        <n v="0.47199999999999998"/>
        <n v="0.67300000000000004"/>
        <n v="0.38900000000000001"/>
        <n v="0.48499999999999999"/>
        <n v="0.34899999999999998"/>
        <n v="0.27900000000000003"/>
        <n v="0.34599999999999997"/>
        <n v="0.252"/>
        <n v="0.24299999999999999"/>
        <n v="0.57999999999999996"/>
        <n v="0.55900000000000005"/>
        <n v="0.30199999999999999"/>
        <n v="0.56899999999999995"/>
        <n v="0.378"/>
        <n v="0.38500000000000001"/>
        <n v="0.499"/>
        <n v="0.30599999999999999"/>
        <n v="0.23400000000000001"/>
        <n v="2.137"/>
        <n v="1.7310000000000001"/>
        <n v="0.54500000000000004"/>
        <n v="0.22500000000000001"/>
        <n v="0.81599999999999995"/>
        <n v="0.52800000000000002"/>
        <n v="0.50900000000000001"/>
        <n v="1.0209999999999999"/>
        <n v="0.82099999999999995"/>
        <n v="0.94699999999999995"/>
        <n v="1.268"/>
        <n v="0.221"/>
        <n v="0.66"/>
        <n v="0.23899999999999999"/>
        <n v="0.94899999999999995"/>
        <n v="0.44400000000000001"/>
        <n v="0.46300000000000002"/>
        <n v="0.80300000000000005"/>
        <n v="1.6"/>
        <n v="0.94399999999999995"/>
        <n v="0.19600000000000001"/>
        <n v="0.24099999999999999"/>
        <n v="0.161"/>
        <n v="0.13500000000000001"/>
        <n v="0.376"/>
        <n v="1.1910000000000001"/>
        <n v="0.70199999999999996"/>
        <n v="0.67400000000000004"/>
        <n v="1.0760000000000001"/>
        <n v="0.53400000000000003"/>
        <n v="1.095"/>
        <n v="0.55400000000000005"/>
        <n v="0.624"/>
        <n v="0.219"/>
        <n v="0.50700000000000001"/>
        <n v="0.56100000000000005"/>
        <n v="0.42099999999999999"/>
        <n v="0.51600000000000001"/>
        <n v="0.26400000000000001"/>
        <n v="0.32800000000000001"/>
        <n v="0.23300000000000001"/>
        <n v="0.108"/>
        <n v="1.1379999999999999"/>
        <n v="0.14699999999999999"/>
        <n v="0.72699999999999998"/>
        <n v="0.435"/>
        <n v="0.497"/>
        <n v="0.23"/>
        <n v="0.95499999999999996"/>
        <n v="2.42"/>
        <n v="0.65800000000000003"/>
        <n v="0.33"/>
        <n v="0.51"/>
        <n v="0.28499999999999998"/>
        <n v="0.41499999999999998"/>
        <n v="0.38100000000000001"/>
        <n v="0.83199999999999996"/>
        <n v="0.498"/>
        <n v="0.21199999999999999"/>
        <n v="0.36399999999999999"/>
        <n v="1.0009999999999999"/>
        <n v="0.46"/>
        <n v="0.73299999999999998"/>
        <n v="0.41599999999999998"/>
        <n v="0.70499999999999996"/>
        <n v="1.022"/>
        <n v="0.26900000000000002"/>
        <n v="0.6"/>
        <n v="0.57099999999999995"/>
        <n v="0.60699999999999998"/>
        <n v="0.17"/>
        <n v="0.21"/>
        <n v="0.126"/>
        <n v="0.71099999999999997"/>
        <n v="0.46600000000000003"/>
        <n v="0.16200000000000001"/>
        <n v="0.41899999999999998"/>
        <n v="0.63"/>
        <n v="0.36499999999999999"/>
        <n v="0.53600000000000003"/>
        <n v="1.159"/>
        <n v="0.629"/>
        <n v="0.29199999999999998"/>
        <n v="0.14499999999999999"/>
        <n v="1.1439999999999999"/>
        <n v="0.17399999999999999"/>
        <n v="0.54700000000000004"/>
        <n v="0.16300000000000001"/>
        <n v="0.73799999999999999"/>
        <n v="0.314"/>
        <n v="0.96799999999999997"/>
        <n v="0.40899999999999997"/>
        <n v="0.29699999999999999"/>
        <n v="0.52500000000000002"/>
        <n v="0.154"/>
        <n v="0.77100000000000002"/>
        <n v="0.107"/>
        <n v="0.49299999999999999"/>
        <n v="0.71699999999999997"/>
        <n v="0.91700000000000004"/>
        <n v="0.501"/>
        <n v="1.2509999999999999"/>
        <n v="0.73499999999999999"/>
        <n v="0.80400000000000005"/>
        <n v="0.66100000000000003"/>
        <n v="0.54900000000000004"/>
        <n v="0.82499999999999996"/>
        <n v="0.42299999999999999"/>
        <n v="1.034"/>
        <n v="0.16"/>
        <n v="0.34100000000000003"/>
        <n v="0.68"/>
        <n v="0.59099999999999997"/>
        <n v="0.3"/>
        <n v="0.121"/>
        <n v="0.502"/>
        <n v="0.40100000000000002"/>
        <n v="0.60099999999999998"/>
        <n v="0.748"/>
        <n v="0.33800000000000002"/>
        <n v="0.43"/>
        <n v="0.89200000000000002"/>
        <n v="0.81299999999999994"/>
        <n v="0.69299999999999995"/>
        <n v="0.57499999999999996"/>
        <n v="0.371"/>
        <n v="0.20599999999999999"/>
        <n v="0.41699999999999998"/>
        <n v="1.1539999999999999"/>
        <n v="0.92500000000000004"/>
        <n v="0.17499999999999999"/>
        <n v="1.6990000000000001"/>
        <n v="0.68200000000000005"/>
        <n v="0.19400000000000001"/>
        <n v="0.4"/>
        <n v="0.1"/>
        <n v="1.258"/>
        <n v="0.48199999999999998"/>
        <n v="0.13800000000000001"/>
        <n v="0.59299999999999997"/>
        <n v="0.878"/>
        <n v="0.157"/>
        <n v="1.282"/>
        <n v="0.14099999999999999"/>
        <n v="0.246"/>
        <n v="1.698"/>
        <n v="1.4610000000000001"/>
        <n v="0.34699999999999998"/>
        <n v="0.36199999999999999"/>
        <n v="0.39300000000000002"/>
        <n v="0.14399999999999999"/>
        <n v="0.73199999999999998"/>
        <n v="0.115"/>
        <n v="0.46500000000000002"/>
        <n v="0.64900000000000002"/>
        <n v="0.871"/>
        <n v="0.14899999999999999"/>
        <n v="0.69499999999999995"/>
        <n v="0.30299999999999999"/>
        <n v="0.61"/>
        <n v="0.73"/>
        <n v="0.44700000000000001"/>
        <n v="0.45500000000000002"/>
        <n v="0.13300000000000001"/>
        <n v="0.155"/>
        <n v="1.1619999999999999"/>
        <n v="1.292"/>
        <n v="0.182"/>
        <n v="1.3939999999999999"/>
        <n v="0.217"/>
        <n v="0.63100000000000001"/>
        <n v="0.88"/>
        <n v="0.61399999999999999"/>
        <n v="0.33200000000000002"/>
        <n v="0.36599999999999999"/>
        <n v="0.18099999999999999"/>
        <n v="0.82799999999999996"/>
        <n v="0.33500000000000002"/>
        <n v="0.85599999999999998"/>
        <n v="0.88600000000000001"/>
        <n v="0.439"/>
        <n v="0.253"/>
        <n v="0.59799999999999998"/>
        <n v="0.90400000000000003"/>
        <n v="0.48299999999999998"/>
        <n v="0.56499999999999995"/>
        <n v="0.11799999999999999"/>
        <n v="0.17699999999999999"/>
        <n v="0.17599999999999999"/>
        <n v="0.29499999999999998"/>
        <n v="0.441"/>
        <n v="0.35199999999999998"/>
        <n v="0.82599999999999996"/>
        <n v="0.97"/>
        <n v="0.59499999999999997"/>
        <n v="0.317"/>
        <n v="0.26500000000000001"/>
        <n v="0.64600000000000002"/>
        <n v="0.42599999999999999"/>
        <n v="0.56000000000000005"/>
        <n v="0.51500000000000001"/>
        <n v="0.45300000000000001"/>
        <n v="0.78500000000000003"/>
        <n v="0.73399999999999999"/>
        <n v="1.1739999999999999"/>
        <n v="0.48799999999999999"/>
        <n v="0.35799999999999998"/>
        <n v="1.0960000000000001"/>
        <n v="0.40799999999999997"/>
        <n v="1.1819999999999999"/>
        <n v="0.222"/>
        <n v="1.0569999999999999"/>
        <n v="0.76600000000000001"/>
        <n v="0.17100000000000001"/>
      </sharedItems>
      <fieldGroup base="8">
        <rangePr startNum="7.8E-2" endNum="2.42" groupInterval="0.5"/>
        <groupItems count="7">
          <s v="&lt;0.078"/>
          <s v="0.078-0.578"/>
          <s v="0.578-1.078"/>
          <s v="1.078-1.578"/>
          <s v="1.578-2.078"/>
          <s v="2.078-2.578"/>
          <s v="&gt;2.578"/>
        </groupItems>
      </fieldGroup>
    </cacheField>
    <cacheField name="Age" numFmtId="0">
      <sharedItems containsSemiMixedTypes="0" containsString="0" containsNumber="1" containsInteger="1" minValue="21" maxValue="81"/>
    </cacheField>
    <cacheField name="Age Group" numFmtId="0">
      <sharedItems count="16">
        <s v="50-59"/>
        <s v="30-39"/>
        <s v="20-29"/>
        <s v="40-49"/>
        <s v="60-69"/>
        <s v="70 &amp; Above"/>
        <s v="56-60" u="1"/>
        <s v="26-30" u="1"/>
        <s v="61-65" u="1"/>
        <s v="31-35" u="1"/>
        <s v="45-50" u="1"/>
        <s v="50-55" u="1"/>
        <s v="66 &amp; Above" u="1"/>
        <s v="36-40" u="1"/>
        <s v="41-45" u="1"/>
        <s v="21-25" u="1"/>
      </sharedItems>
    </cacheField>
    <cacheField name="Diabetes" numFmtId="0">
      <sharedItems containsSemiMixedTypes="0" containsString="0" containsNumber="1" containsInteger="1" minValue="0" maxValue="1" count="2">
        <n v="1"/>
        <n v="0"/>
      </sharedItems>
    </cacheField>
    <cacheField name="Glucose Category" numFmtId="0">
      <sharedItems count="3">
        <s v="Prediabetes"/>
        <s v="Normal Sugar Level"/>
        <s v="Normal" u="1"/>
      </sharedItems>
    </cacheField>
    <cacheField name="Skin Thickness Category" numFmtId="0">
      <sharedItems count="4">
        <s v="Thick"/>
        <s v="Normal "/>
        <s v="Normal" u="1"/>
        <s v="High" u="1"/>
      </sharedItems>
    </cacheField>
    <cacheField name="Insulin Category" numFmtId="0">
      <sharedItems count="4">
        <s v="Healthy"/>
        <s v="Too High"/>
        <s v="Normal" u="1"/>
        <s v="High" u="1"/>
      </sharedItems>
    </cacheField>
    <cacheField name="Blood Pressure2" numFmtId="0" databaseField="0">
      <fieldGroup base="2">
        <discretePr count="47">
          <x v="0"/>
          <x v="0"/>
          <x v="0"/>
          <x v="0"/>
          <x v="0"/>
          <x v="0"/>
          <x v="0"/>
          <x v="1"/>
          <x v="1"/>
          <x v="0"/>
          <x v="0"/>
          <x v="1"/>
          <x v="0"/>
          <x v="1"/>
          <x v="1"/>
          <x v="1"/>
          <x v="0"/>
          <x v="1"/>
          <x v="0"/>
          <x v="0"/>
          <x v="0"/>
          <x v="0"/>
          <x v="1"/>
          <x v="0"/>
          <x v="0"/>
          <x v="1"/>
          <x v="1"/>
          <x v="0"/>
          <x v="0"/>
          <x v="0"/>
          <x v="1"/>
          <x v="0"/>
          <x v="1"/>
          <x v="0"/>
          <x v="0"/>
          <x v="1"/>
          <x v="1"/>
          <x v="1"/>
          <x v="0"/>
          <x v="1"/>
          <x v="1"/>
          <x v="0"/>
          <x v="0"/>
          <x v="0"/>
          <x v="1"/>
          <x v="1"/>
          <x v="0"/>
        </discretePr>
        <groupItems count="2">
          <s v="Group1"/>
          <s v="Group2"/>
        </groupItems>
      </fieldGroup>
    </cacheField>
    <cacheField name="Blood Pressure Category2" numFmtId="0" databaseField="0">
      <fieldGroup base="3">
        <discretePr count="4">
          <x v="0"/>
          <x v="1"/>
          <x v="1"/>
          <x v="1"/>
        </discretePr>
        <groupItems count="2">
          <s v="Normal BP"/>
          <s v="Group1"/>
        </groupItems>
      </fieldGroup>
    </cacheField>
    <cacheField name="BMI Category2" numFmtId="0" databaseField="0">
      <fieldGroup base="7">
        <discretePr count="5">
          <x v="1"/>
          <x v="1"/>
          <x v="0"/>
          <x v="1"/>
          <x v="0"/>
        </discretePr>
        <groupItems count="2">
          <s v="Group1"/>
          <s v="Group2"/>
        </groupItems>
      </fieldGroup>
    </cacheField>
  </cacheFields>
  <extLst>
    <ext xmlns:x14="http://schemas.microsoft.com/office/spreadsheetml/2009/9/main" uri="{725AE2AE-9491-48be-B2B4-4EB974FC3084}">
      <x14:pivotCacheDefinition pivotCacheId="11781095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8">
  <r>
    <n v="6"/>
    <x v="0"/>
    <x v="0"/>
    <x v="0"/>
    <x v="0"/>
    <x v="0"/>
    <x v="0"/>
    <x v="0"/>
    <x v="0"/>
    <n v="50"/>
    <x v="0"/>
    <x v="0"/>
    <x v="0"/>
    <x v="0"/>
    <x v="0"/>
  </r>
  <r>
    <n v="1"/>
    <x v="1"/>
    <x v="1"/>
    <x v="0"/>
    <x v="1"/>
    <x v="0"/>
    <x v="1"/>
    <x v="1"/>
    <x v="1"/>
    <n v="31"/>
    <x v="1"/>
    <x v="1"/>
    <x v="1"/>
    <x v="0"/>
    <x v="0"/>
  </r>
  <r>
    <n v="8"/>
    <x v="2"/>
    <x v="2"/>
    <x v="0"/>
    <x v="1"/>
    <x v="0"/>
    <x v="2"/>
    <x v="2"/>
    <x v="2"/>
    <n v="32"/>
    <x v="1"/>
    <x v="0"/>
    <x v="0"/>
    <x v="0"/>
    <x v="0"/>
  </r>
  <r>
    <n v="1"/>
    <x v="3"/>
    <x v="1"/>
    <x v="0"/>
    <x v="2"/>
    <x v="1"/>
    <x v="3"/>
    <x v="1"/>
    <x v="3"/>
    <n v="21"/>
    <x v="2"/>
    <x v="1"/>
    <x v="1"/>
    <x v="1"/>
    <x v="0"/>
  </r>
  <r>
    <n v="0"/>
    <x v="4"/>
    <x v="3"/>
    <x v="0"/>
    <x v="0"/>
    <x v="2"/>
    <x v="4"/>
    <x v="3"/>
    <x v="4"/>
    <n v="33"/>
    <x v="1"/>
    <x v="0"/>
    <x v="1"/>
    <x v="0"/>
    <x v="1"/>
  </r>
  <r>
    <n v="5"/>
    <x v="5"/>
    <x v="4"/>
    <x v="0"/>
    <x v="1"/>
    <x v="0"/>
    <x v="5"/>
    <x v="1"/>
    <x v="5"/>
    <n v="30"/>
    <x v="1"/>
    <x v="1"/>
    <x v="1"/>
    <x v="0"/>
    <x v="0"/>
  </r>
  <r>
    <n v="3"/>
    <x v="6"/>
    <x v="5"/>
    <x v="0"/>
    <x v="3"/>
    <x v="3"/>
    <x v="6"/>
    <x v="0"/>
    <x v="6"/>
    <n v="26"/>
    <x v="2"/>
    <x v="0"/>
    <x v="1"/>
    <x v="0"/>
    <x v="0"/>
  </r>
  <r>
    <n v="10"/>
    <x v="7"/>
    <x v="0"/>
    <x v="0"/>
    <x v="1"/>
    <x v="0"/>
    <x v="7"/>
    <x v="0"/>
    <x v="7"/>
    <n v="29"/>
    <x v="2"/>
    <x v="1"/>
    <x v="1"/>
    <x v="0"/>
    <x v="0"/>
  </r>
  <r>
    <n v="2"/>
    <x v="8"/>
    <x v="6"/>
    <x v="0"/>
    <x v="4"/>
    <x v="4"/>
    <x v="8"/>
    <x v="0"/>
    <x v="8"/>
    <n v="53"/>
    <x v="0"/>
    <x v="0"/>
    <x v="0"/>
    <x v="0"/>
    <x v="1"/>
  </r>
  <r>
    <n v="8"/>
    <x v="9"/>
    <x v="7"/>
    <x v="1"/>
    <x v="1"/>
    <x v="0"/>
    <x v="9"/>
    <x v="0"/>
    <x v="9"/>
    <n v="54"/>
    <x v="0"/>
    <x v="0"/>
    <x v="1"/>
    <x v="0"/>
    <x v="0"/>
  </r>
  <r>
    <n v="4"/>
    <x v="10"/>
    <x v="8"/>
    <x v="1"/>
    <x v="1"/>
    <x v="0"/>
    <x v="10"/>
    <x v="0"/>
    <x v="10"/>
    <n v="30"/>
    <x v="1"/>
    <x v="1"/>
    <x v="1"/>
    <x v="0"/>
    <x v="0"/>
  </r>
  <r>
    <n v="10"/>
    <x v="11"/>
    <x v="4"/>
    <x v="0"/>
    <x v="1"/>
    <x v="0"/>
    <x v="11"/>
    <x v="0"/>
    <x v="11"/>
    <n v="34"/>
    <x v="1"/>
    <x v="0"/>
    <x v="0"/>
    <x v="0"/>
    <x v="0"/>
  </r>
  <r>
    <n v="10"/>
    <x v="12"/>
    <x v="9"/>
    <x v="2"/>
    <x v="1"/>
    <x v="0"/>
    <x v="12"/>
    <x v="1"/>
    <x v="12"/>
    <n v="57"/>
    <x v="0"/>
    <x v="1"/>
    <x v="1"/>
    <x v="0"/>
    <x v="0"/>
  </r>
  <r>
    <n v="1"/>
    <x v="13"/>
    <x v="10"/>
    <x v="0"/>
    <x v="2"/>
    <x v="5"/>
    <x v="13"/>
    <x v="0"/>
    <x v="13"/>
    <n v="59"/>
    <x v="0"/>
    <x v="0"/>
    <x v="0"/>
    <x v="1"/>
    <x v="1"/>
  </r>
  <r>
    <n v="5"/>
    <x v="14"/>
    <x v="0"/>
    <x v="0"/>
    <x v="5"/>
    <x v="6"/>
    <x v="14"/>
    <x v="1"/>
    <x v="14"/>
    <n v="51"/>
    <x v="0"/>
    <x v="0"/>
    <x v="0"/>
    <x v="1"/>
    <x v="1"/>
  </r>
  <r>
    <n v="7"/>
    <x v="15"/>
    <x v="0"/>
    <x v="0"/>
    <x v="1"/>
    <x v="0"/>
    <x v="15"/>
    <x v="0"/>
    <x v="15"/>
    <n v="32"/>
    <x v="1"/>
    <x v="0"/>
    <x v="1"/>
    <x v="0"/>
    <x v="0"/>
  </r>
  <r>
    <n v="0"/>
    <x v="16"/>
    <x v="11"/>
    <x v="2"/>
    <x v="6"/>
    <x v="7"/>
    <x v="16"/>
    <x v="3"/>
    <x v="16"/>
    <n v="31"/>
    <x v="1"/>
    <x v="0"/>
    <x v="1"/>
    <x v="0"/>
    <x v="1"/>
  </r>
  <r>
    <n v="7"/>
    <x v="17"/>
    <x v="4"/>
    <x v="0"/>
    <x v="1"/>
    <x v="0"/>
    <x v="17"/>
    <x v="1"/>
    <x v="17"/>
    <n v="31"/>
    <x v="1"/>
    <x v="0"/>
    <x v="1"/>
    <x v="0"/>
    <x v="0"/>
  </r>
  <r>
    <n v="1"/>
    <x v="18"/>
    <x v="12"/>
    <x v="0"/>
    <x v="7"/>
    <x v="8"/>
    <x v="18"/>
    <x v="3"/>
    <x v="18"/>
    <n v="33"/>
    <x v="1"/>
    <x v="1"/>
    <x v="1"/>
    <x v="0"/>
    <x v="0"/>
  </r>
  <r>
    <n v="1"/>
    <x v="7"/>
    <x v="6"/>
    <x v="0"/>
    <x v="8"/>
    <x v="9"/>
    <x v="19"/>
    <x v="0"/>
    <x v="19"/>
    <n v="32"/>
    <x v="1"/>
    <x v="0"/>
    <x v="1"/>
    <x v="0"/>
    <x v="0"/>
  </r>
  <r>
    <n v="3"/>
    <x v="19"/>
    <x v="13"/>
    <x v="2"/>
    <x v="9"/>
    <x v="10"/>
    <x v="20"/>
    <x v="0"/>
    <x v="20"/>
    <n v="27"/>
    <x v="2"/>
    <x v="1"/>
    <x v="1"/>
    <x v="0"/>
    <x v="1"/>
  </r>
  <r>
    <n v="8"/>
    <x v="20"/>
    <x v="11"/>
    <x v="2"/>
    <x v="1"/>
    <x v="0"/>
    <x v="21"/>
    <x v="0"/>
    <x v="21"/>
    <n v="50"/>
    <x v="0"/>
    <x v="1"/>
    <x v="1"/>
    <x v="0"/>
    <x v="0"/>
  </r>
  <r>
    <n v="7"/>
    <x v="21"/>
    <x v="14"/>
    <x v="1"/>
    <x v="1"/>
    <x v="0"/>
    <x v="22"/>
    <x v="0"/>
    <x v="22"/>
    <n v="41"/>
    <x v="3"/>
    <x v="0"/>
    <x v="0"/>
    <x v="0"/>
    <x v="0"/>
  </r>
  <r>
    <n v="9"/>
    <x v="22"/>
    <x v="9"/>
    <x v="2"/>
    <x v="0"/>
    <x v="0"/>
    <x v="23"/>
    <x v="1"/>
    <x v="23"/>
    <n v="29"/>
    <x v="2"/>
    <x v="0"/>
    <x v="1"/>
    <x v="0"/>
    <x v="0"/>
  </r>
  <r>
    <n v="11"/>
    <x v="23"/>
    <x v="15"/>
    <x v="1"/>
    <x v="10"/>
    <x v="11"/>
    <x v="24"/>
    <x v="0"/>
    <x v="17"/>
    <n v="51"/>
    <x v="0"/>
    <x v="0"/>
    <x v="0"/>
    <x v="0"/>
    <x v="0"/>
  </r>
  <r>
    <n v="10"/>
    <x v="9"/>
    <x v="6"/>
    <x v="0"/>
    <x v="11"/>
    <x v="12"/>
    <x v="25"/>
    <x v="0"/>
    <x v="24"/>
    <n v="41"/>
    <x v="3"/>
    <x v="0"/>
    <x v="1"/>
    <x v="0"/>
    <x v="0"/>
  </r>
  <r>
    <n v="7"/>
    <x v="24"/>
    <x v="16"/>
    <x v="0"/>
    <x v="1"/>
    <x v="0"/>
    <x v="26"/>
    <x v="0"/>
    <x v="25"/>
    <n v="43"/>
    <x v="3"/>
    <x v="0"/>
    <x v="0"/>
    <x v="0"/>
    <x v="0"/>
  </r>
  <r>
    <n v="1"/>
    <x v="25"/>
    <x v="1"/>
    <x v="0"/>
    <x v="12"/>
    <x v="13"/>
    <x v="27"/>
    <x v="2"/>
    <x v="26"/>
    <n v="22"/>
    <x v="2"/>
    <x v="1"/>
    <x v="1"/>
    <x v="1"/>
    <x v="0"/>
  </r>
  <r>
    <n v="13"/>
    <x v="26"/>
    <x v="17"/>
    <x v="2"/>
    <x v="5"/>
    <x v="14"/>
    <x v="28"/>
    <x v="2"/>
    <x v="27"/>
    <n v="57"/>
    <x v="0"/>
    <x v="1"/>
    <x v="0"/>
    <x v="1"/>
    <x v="0"/>
  </r>
  <r>
    <n v="5"/>
    <x v="27"/>
    <x v="8"/>
    <x v="1"/>
    <x v="1"/>
    <x v="0"/>
    <x v="29"/>
    <x v="0"/>
    <x v="28"/>
    <n v="38"/>
    <x v="1"/>
    <x v="1"/>
    <x v="1"/>
    <x v="0"/>
    <x v="0"/>
  </r>
  <r>
    <n v="5"/>
    <x v="28"/>
    <x v="18"/>
    <x v="0"/>
    <x v="11"/>
    <x v="0"/>
    <x v="30"/>
    <x v="0"/>
    <x v="29"/>
    <n v="60"/>
    <x v="4"/>
    <x v="1"/>
    <x v="1"/>
    <x v="0"/>
    <x v="0"/>
  </r>
  <r>
    <n v="3"/>
    <x v="29"/>
    <x v="16"/>
    <x v="0"/>
    <x v="13"/>
    <x v="15"/>
    <x v="31"/>
    <x v="0"/>
    <x v="30"/>
    <n v="28"/>
    <x v="2"/>
    <x v="0"/>
    <x v="0"/>
    <x v="0"/>
    <x v="1"/>
  </r>
  <r>
    <n v="3"/>
    <x v="30"/>
    <x v="19"/>
    <x v="0"/>
    <x v="14"/>
    <x v="16"/>
    <x v="32"/>
    <x v="2"/>
    <x v="31"/>
    <n v="22"/>
    <x v="2"/>
    <x v="1"/>
    <x v="1"/>
    <x v="1"/>
    <x v="0"/>
  </r>
  <r>
    <n v="6"/>
    <x v="31"/>
    <x v="8"/>
    <x v="1"/>
    <x v="1"/>
    <x v="0"/>
    <x v="33"/>
    <x v="2"/>
    <x v="32"/>
    <n v="28"/>
    <x v="2"/>
    <x v="1"/>
    <x v="1"/>
    <x v="0"/>
    <x v="0"/>
  </r>
  <r>
    <n v="10"/>
    <x v="32"/>
    <x v="20"/>
    <x v="0"/>
    <x v="15"/>
    <x v="0"/>
    <x v="34"/>
    <x v="1"/>
    <x v="33"/>
    <n v="45"/>
    <x v="3"/>
    <x v="1"/>
    <x v="1"/>
    <x v="0"/>
    <x v="0"/>
  </r>
  <r>
    <n v="4"/>
    <x v="18"/>
    <x v="10"/>
    <x v="0"/>
    <x v="10"/>
    <x v="17"/>
    <x v="35"/>
    <x v="2"/>
    <x v="34"/>
    <n v="33"/>
    <x v="1"/>
    <x v="1"/>
    <x v="1"/>
    <x v="0"/>
    <x v="1"/>
  </r>
  <r>
    <n v="11"/>
    <x v="33"/>
    <x v="16"/>
    <x v="0"/>
    <x v="1"/>
    <x v="0"/>
    <x v="36"/>
    <x v="0"/>
    <x v="35"/>
    <n v="35"/>
    <x v="1"/>
    <x v="1"/>
    <x v="1"/>
    <x v="0"/>
    <x v="0"/>
  </r>
  <r>
    <n v="9"/>
    <x v="34"/>
    <x v="16"/>
    <x v="0"/>
    <x v="16"/>
    <x v="0"/>
    <x v="37"/>
    <x v="0"/>
    <x v="36"/>
    <n v="46"/>
    <x v="3"/>
    <x v="0"/>
    <x v="1"/>
    <x v="0"/>
    <x v="0"/>
  </r>
  <r>
    <n v="2"/>
    <x v="35"/>
    <x v="21"/>
    <x v="0"/>
    <x v="17"/>
    <x v="0"/>
    <x v="38"/>
    <x v="0"/>
    <x v="37"/>
    <n v="27"/>
    <x v="2"/>
    <x v="0"/>
    <x v="1"/>
    <x v="0"/>
    <x v="0"/>
  </r>
  <r>
    <n v="4"/>
    <x v="36"/>
    <x v="0"/>
    <x v="0"/>
    <x v="6"/>
    <x v="18"/>
    <x v="39"/>
    <x v="0"/>
    <x v="38"/>
    <n v="56"/>
    <x v="0"/>
    <x v="0"/>
    <x v="1"/>
    <x v="0"/>
    <x v="1"/>
  </r>
  <r>
    <n v="3"/>
    <x v="37"/>
    <x v="2"/>
    <x v="0"/>
    <x v="18"/>
    <x v="19"/>
    <x v="40"/>
    <x v="0"/>
    <x v="39"/>
    <n v="26"/>
    <x v="2"/>
    <x v="1"/>
    <x v="0"/>
    <x v="0"/>
    <x v="0"/>
  </r>
  <r>
    <n v="7"/>
    <x v="38"/>
    <x v="11"/>
    <x v="2"/>
    <x v="1"/>
    <x v="0"/>
    <x v="41"/>
    <x v="3"/>
    <x v="40"/>
    <n v="37"/>
    <x v="1"/>
    <x v="1"/>
    <x v="1"/>
    <x v="0"/>
    <x v="0"/>
  </r>
  <r>
    <n v="7"/>
    <x v="39"/>
    <x v="8"/>
    <x v="1"/>
    <x v="19"/>
    <x v="0"/>
    <x v="42"/>
    <x v="2"/>
    <x v="41"/>
    <n v="48"/>
    <x v="3"/>
    <x v="1"/>
    <x v="1"/>
    <x v="1"/>
    <x v="0"/>
  </r>
  <r>
    <n v="9"/>
    <x v="40"/>
    <x v="22"/>
    <x v="3"/>
    <x v="20"/>
    <x v="20"/>
    <x v="43"/>
    <x v="3"/>
    <x v="42"/>
    <n v="54"/>
    <x v="0"/>
    <x v="0"/>
    <x v="0"/>
    <x v="0"/>
    <x v="1"/>
  </r>
  <r>
    <n v="7"/>
    <x v="41"/>
    <x v="2"/>
    <x v="0"/>
    <x v="1"/>
    <x v="0"/>
    <x v="44"/>
    <x v="1"/>
    <x v="43"/>
    <n v="40"/>
    <x v="3"/>
    <x v="1"/>
    <x v="0"/>
    <x v="0"/>
    <x v="0"/>
  </r>
  <r>
    <n v="0"/>
    <x v="37"/>
    <x v="1"/>
    <x v="0"/>
    <x v="21"/>
    <x v="0"/>
    <x v="45"/>
    <x v="3"/>
    <x v="44"/>
    <n v="25"/>
    <x v="2"/>
    <x v="0"/>
    <x v="0"/>
    <x v="0"/>
    <x v="0"/>
  </r>
  <r>
    <n v="1"/>
    <x v="42"/>
    <x v="23"/>
    <x v="0"/>
    <x v="1"/>
    <x v="0"/>
    <x v="46"/>
    <x v="1"/>
    <x v="45"/>
    <n v="29"/>
    <x v="2"/>
    <x v="1"/>
    <x v="0"/>
    <x v="0"/>
    <x v="0"/>
  </r>
  <r>
    <n v="2"/>
    <x v="43"/>
    <x v="6"/>
    <x v="0"/>
    <x v="22"/>
    <x v="0"/>
    <x v="47"/>
    <x v="1"/>
    <x v="46"/>
    <n v="22"/>
    <x v="2"/>
    <x v="1"/>
    <x v="1"/>
    <x v="0"/>
    <x v="0"/>
  </r>
  <r>
    <n v="7"/>
    <x v="18"/>
    <x v="1"/>
    <x v="0"/>
    <x v="3"/>
    <x v="0"/>
    <x v="48"/>
    <x v="0"/>
    <x v="47"/>
    <n v="31"/>
    <x v="1"/>
    <x v="0"/>
    <x v="1"/>
    <x v="0"/>
    <x v="0"/>
  </r>
  <r>
    <n v="7"/>
    <x v="44"/>
    <x v="0"/>
    <x v="0"/>
    <x v="1"/>
    <x v="0"/>
    <x v="9"/>
    <x v="0"/>
    <x v="48"/>
    <n v="24"/>
    <x v="2"/>
    <x v="1"/>
    <x v="1"/>
    <x v="0"/>
    <x v="0"/>
  </r>
  <r>
    <n v="1"/>
    <x v="18"/>
    <x v="9"/>
    <x v="2"/>
    <x v="14"/>
    <x v="21"/>
    <x v="49"/>
    <x v="2"/>
    <x v="49"/>
    <n v="22"/>
    <x v="2"/>
    <x v="1"/>
    <x v="1"/>
    <x v="1"/>
    <x v="0"/>
  </r>
  <r>
    <n v="1"/>
    <x v="45"/>
    <x v="5"/>
    <x v="0"/>
    <x v="12"/>
    <x v="22"/>
    <x v="50"/>
    <x v="2"/>
    <x v="50"/>
    <n v="26"/>
    <x v="2"/>
    <x v="1"/>
    <x v="1"/>
    <x v="1"/>
    <x v="0"/>
  </r>
  <r>
    <n v="5"/>
    <x v="30"/>
    <x v="1"/>
    <x v="0"/>
    <x v="23"/>
    <x v="23"/>
    <x v="51"/>
    <x v="2"/>
    <x v="51"/>
    <n v="30"/>
    <x v="1"/>
    <x v="1"/>
    <x v="1"/>
    <x v="1"/>
    <x v="0"/>
  </r>
  <r>
    <n v="8"/>
    <x v="46"/>
    <x v="14"/>
    <x v="1"/>
    <x v="24"/>
    <x v="24"/>
    <x v="52"/>
    <x v="0"/>
    <x v="52"/>
    <n v="58"/>
    <x v="0"/>
    <x v="0"/>
    <x v="0"/>
    <x v="0"/>
    <x v="1"/>
  </r>
  <r>
    <n v="7"/>
    <x v="47"/>
    <x v="1"/>
    <x v="0"/>
    <x v="17"/>
    <x v="25"/>
    <x v="53"/>
    <x v="0"/>
    <x v="53"/>
    <n v="42"/>
    <x v="3"/>
    <x v="1"/>
    <x v="0"/>
    <x v="0"/>
    <x v="1"/>
  </r>
  <r>
    <n v="1"/>
    <x v="48"/>
    <x v="5"/>
    <x v="0"/>
    <x v="25"/>
    <x v="0"/>
    <x v="54"/>
    <x v="2"/>
    <x v="6"/>
    <n v="21"/>
    <x v="2"/>
    <x v="1"/>
    <x v="1"/>
    <x v="1"/>
    <x v="0"/>
  </r>
  <r>
    <n v="7"/>
    <x v="49"/>
    <x v="21"/>
    <x v="0"/>
    <x v="21"/>
    <x v="26"/>
    <x v="55"/>
    <x v="0"/>
    <x v="17"/>
    <n v="41"/>
    <x v="3"/>
    <x v="0"/>
    <x v="0"/>
    <x v="0"/>
    <x v="1"/>
  </r>
  <r>
    <n v="0"/>
    <x v="15"/>
    <x v="13"/>
    <x v="2"/>
    <x v="26"/>
    <x v="14"/>
    <x v="56"/>
    <x v="3"/>
    <x v="54"/>
    <n v="31"/>
    <x v="1"/>
    <x v="1"/>
    <x v="1"/>
    <x v="0"/>
    <x v="0"/>
  </r>
  <r>
    <n v="0"/>
    <x v="42"/>
    <x v="17"/>
    <x v="2"/>
    <x v="1"/>
    <x v="0"/>
    <x v="57"/>
    <x v="3"/>
    <x v="55"/>
    <n v="44"/>
    <x v="3"/>
    <x v="1"/>
    <x v="0"/>
    <x v="0"/>
    <x v="0"/>
  </r>
  <r>
    <n v="0"/>
    <x v="44"/>
    <x v="2"/>
    <x v="0"/>
    <x v="9"/>
    <x v="27"/>
    <x v="58"/>
    <x v="3"/>
    <x v="56"/>
    <n v="22"/>
    <x v="2"/>
    <x v="1"/>
    <x v="1"/>
    <x v="0"/>
    <x v="0"/>
  </r>
  <r>
    <n v="2"/>
    <x v="50"/>
    <x v="0"/>
    <x v="0"/>
    <x v="1"/>
    <x v="0"/>
    <x v="9"/>
    <x v="0"/>
    <x v="57"/>
    <n v="21"/>
    <x v="2"/>
    <x v="1"/>
    <x v="1"/>
    <x v="0"/>
    <x v="0"/>
  </r>
  <r>
    <n v="8"/>
    <x v="38"/>
    <x v="0"/>
    <x v="0"/>
    <x v="1"/>
    <x v="0"/>
    <x v="37"/>
    <x v="0"/>
    <x v="58"/>
    <n v="39"/>
    <x v="1"/>
    <x v="0"/>
    <x v="1"/>
    <x v="0"/>
    <x v="0"/>
  </r>
  <r>
    <n v="5"/>
    <x v="51"/>
    <x v="24"/>
    <x v="0"/>
    <x v="1"/>
    <x v="0"/>
    <x v="59"/>
    <x v="1"/>
    <x v="14"/>
    <n v="36"/>
    <x v="1"/>
    <x v="1"/>
    <x v="1"/>
    <x v="0"/>
    <x v="0"/>
  </r>
  <r>
    <n v="2"/>
    <x v="52"/>
    <x v="19"/>
    <x v="0"/>
    <x v="24"/>
    <x v="28"/>
    <x v="60"/>
    <x v="1"/>
    <x v="59"/>
    <n v="24"/>
    <x v="2"/>
    <x v="1"/>
    <x v="0"/>
    <x v="0"/>
    <x v="0"/>
  </r>
  <r>
    <n v="7"/>
    <x v="53"/>
    <x v="1"/>
    <x v="0"/>
    <x v="1"/>
    <x v="0"/>
    <x v="61"/>
    <x v="0"/>
    <x v="60"/>
    <n v="42"/>
    <x v="3"/>
    <x v="0"/>
    <x v="1"/>
    <x v="0"/>
    <x v="0"/>
  </r>
  <r>
    <n v="5"/>
    <x v="20"/>
    <x v="4"/>
    <x v="0"/>
    <x v="22"/>
    <x v="0"/>
    <x v="23"/>
    <x v="1"/>
    <x v="61"/>
    <n v="32"/>
    <x v="1"/>
    <x v="1"/>
    <x v="1"/>
    <x v="0"/>
    <x v="0"/>
  </r>
  <r>
    <n v="0"/>
    <x v="28"/>
    <x v="13"/>
    <x v="2"/>
    <x v="8"/>
    <x v="0"/>
    <x v="62"/>
    <x v="0"/>
    <x v="62"/>
    <n v="38"/>
    <x v="1"/>
    <x v="0"/>
    <x v="1"/>
    <x v="0"/>
    <x v="0"/>
  </r>
  <r>
    <n v="2"/>
    <x v="28"/>
    <x v="8"/>
    <x v="1"/>
    <x v="1"/>
    <x v="0"/>
    <x v="63"/>
    <x v="3"/>
    <x v="63"/>
    <n v="54"/>
    <x v="0"/>
    <x v="1"/>
    <x v="1"/>
    <x v="0"/>
    <x v="0"/>
  </r>
  <r>
    <n v="1"/>
    <x v="54"/>
    <x v="1"/>
    <x v="0"/>
    <x v="27"/>
    <x v="29"/>
    <x v="64"/>
    <x v="2"/>
    <x v="64"/>
    <n v="25"/>
    <x v="2"/>
    <x v="1"/>
    <x v="1"/>
    <x v="1"/>
    <x v="0"/>
  </r>
  <r>
    <n v="4"/>
    <x v="42"/>
    <x v="25"/>
    <x v="2"/>
    <x v="22"/>
    <x v="30"/>
    <x v="65"/>
    <x v="1"/>
    <x v="65"/>
    <n v="27"/>
    <x v="2"/>
    <x v="1"/>
    <x v="0"/>
    <x v="0"/>
    <x v="0"/>
  </r>
  <r>
    <n v="2"/>
    <x v="15"/>
    <x v="1"/>
    <x v="0"/>
    <x v="28"/>
    <x v="31"/>
    <x v="37"/>
    <x v="0"/>
    <x v="66"/>
    <n v="28"/>
    <x v="2"/>
    <x v="0"/>
    <x v="1"/>
    <x v="1"/>
    <x v="0"/>
  </r>
  <r>
    <n v="5"/>
    <x v="12"/>
    <x v="2"/>
    <x v="0"/>
    <x v="0"/>
    <x v="13"/>
    <x v="66"/>
    <x v="1"/>
    <x v="67"/>
    <n v="26"/>
    <x v="2"/>
    <x v="1"/>
    <x v="1"/>
    <x v="0"/>
    <x v="0"/>
  </r>
  <r>
    <n v="13"/>
    <x v="19"/>
    <x v="14"/>
    <x v="1"/>
    <x v="1"/>
    <x v="0"/>
    <x v="67"/>
    <x v="3"/>
    <x v="68"/>
    <n v="42"/>
    <x v="3"/>
    <x v="0"/>
    <x v="1"/>
    <x v="0"/>
    <x v="0"/>
  </r>
  <r>
    <n v="4"/>
    <x v="55"/>
    <x v="26"/>
    <x v="2"/>
    <x v="28"/>
    <x v="32"/>
    <x v="68"/>
    <x v="0"/>
    <x v="69"/>
    <n v="23"/>
    <x v="2"/>
    <x v="1"/>
    <x v="1"/>
    <x v="1"/>
    <x v="1"/>
  </r>
  <r>
    <n v="1"/>
    <x v="56"/>
    <x v="18"/>
    <x v="0"/>
    <x v="8"/>
    <x v="0"/>
    <x v="69"/>
    <x v="0"/>
    <x v="70"/>
    <n v="22"/>
    <x v="2"/>
    <x v="1"/>
    <x v="1"/>
    <x v="0"/>
    <x v="0"/>
  </r>
  <r>
    <n v="1"/>
    <x v="27"/>
    <x v="27"/>
    <x v="0"/>
    <x v="28"/>
    <x v="0"/>
    <x v="70"/>
    <x v="2"/>
    <x v="71"/>
    <n v="22"/>
    <x v="2"/>
    <x v="1"/>
    <x v="1"/>
    <x v="1"/>
    <x v="0"/>
  </r>
  <r>
    <n v="7"/>
    <x v="57"/>
    <x v="20"/>
    <x v="0"/>
    <x v="1"/>
    <x v="0"/>
    <x v="71"/>
    <x v="0"/>
    <x v="72"/>
    <n v="41"/>
    <x v="3"/>
    <x v="1"/>
    <x v="1"/>
    <x v="0"/>
    <x v="0"/>
  </r>
  <r>
    <n v="5"/>
    <x v="54"/>
    <x v="0"/>
    <x v="0"/>
    <x v="10"/>
    <x v="0"/>
    <x v="55"/>
    <x v="0"/>
    <x v="73"/>
    <n v="27"/>
    <x v="2"/>
    <x v="1"/>
    <x v="1"/>
    <x v="0"/>
    <x v="0"/>
  </r>
  <r>
    <n v="0"/>
    <x v="58"/>
    <x v="0"/>
    <x v="0"/>
    <x v="1"/>
    <x v="0"/>
    <x v="72"/>
    <x v="3"/>
    <x v="58"/>
    <n v="26"/>
    <x v="2"/>
    <x v="0"/>
    <x v="1"/>
    <x v="0"/>
    <x v="0"/>
  </r>
  <r>
    <n v="2"/>
    <x v="59"/>
    <x v="1"/>
    <x v="0"/>
    <x v="29"/>
    <x v="0"/>
    <x v="59"/>
    <x v="1"/>
    <x v="74"/>
    <n v="24"/>
    <x v="2"/>
    <x v="1"/>
    <x v="1"/>
    <x v="1"/>
    <x v="0"/>
  </r>
  <r>
    <n v="3"/>
    <x v="60"/>
    <x v="28"/>
    <x v="0"/>
    <x v="27"/>
    <x v="0"/>
    <x v="73"/>
    <x v="2"/>
    <x v="71"/>
    <n v="22"/>
    <x v="2"/>
    <x v="1"/>
    <x v="1"/>
    <x v="1"/>
    <x v="0"/>
  </r>
  <r>
    <n v="2"/>
    <x v="61"/>
    <x v="0"/>
    <x v="0"/>
    <x v="1"/>
    <x v="0"/>
    <x v="9"/>
    <x v="0"/>
    <x v="75"/>
    <n v="22"/>
    <x v="2"/>
    <x v="1"/>
    <x v="1"/>
    <x v="0"/>
    <x v="0"/>
  </r>
  <r>
    <n v="7"/>
    <x v="62"/>
    <x v="20"/>
    <x v="0"/>
    <x v="11"/>
    <x v="33"/>
    <x v="74"/>
    <x v="1"/>
    <x v="76"/>
    <n v="36"/>
    <x v="1"/>
    <x v="1"/>
    <x v="1"/>
    <x v="0"/>
    <x v="0"/>
  </r>
  <r>
    <n v="0"/>
    <x v="45"/>
    <x v="29"/>
    <x v="0"/>
    <x v="30"/>
    <x v="0"/>
    <x v="75"/>
    <x v="2"/>
    <x v="77"/>
    <n v="22"/>
    <x v="2"/>
    <x v="1"/>
    <x v="1"/>
    <x v="0"/>
    <x v="0"/>
  </r>
  <r>
    <n v="5"/>
    <x v="4"/>
    <x v="30"/>
    <x v="3"/>
    <x v="1"/>
    <x v="0"/>
    <x v="76"/>
    <x v="3"/>
    <x v="78"/>
    <n v="37"/>
    <x v="1"/>
    <x v="0"/>
    <x v="1"/>
    <x v="0"/>
    <x v="0"/>
  </r>
  <r>
    <n v="2"/>
    <x v="10"/>
    <x v="4"/>
    <x v="0"/>
    <x v="1"/>
    <x v="0"/>
    <x v="77"/>
    <x v="0"/>
    <x v="79"/>
    <n v="27"/>
    <x v="2"/>
    <x v="1"/>
    <x v="1"/>
    <x v="0"/>
    <x v="0"/>
  </r>
  <r>
    <n v="13"/>
    <x v="39"/>
    <x v="0"/>
    <x v="0"/>
    <x v="31"/>
    <x v="0"/>
    <x v="24"/>
    <x v="0"/>
    <x v="80"/>
    <n v="45"/>
    <x v="3"/>
    <x v="1"/>
    <x v="1"/>
    <x v="0"/>
    <x v="0"/>
  </r>
  <r>
    <n v="2"/>
    <x v="15"/>
    <x v="21"/>
    <x v="0"/>
    <x v="18"/>
    <x v="33"/>
    <x v="78"/>
    <x v="0"/>
    <x v="81"/>
    <n v="26"/>
    <x v="2"/>
    <x v="1"/>
    <x v="1"/>
    <x v="0"/>
    <x v="0"/>
  </r>
  <r>
    <n v="15"/>
    <x v="63"/>
    <x v="6"/>
    <x v="0"/>
    <x v="3"/>
    <x v="14"/>
    <x v="39"/>
    <x v="0"/>
    <x v="82"/>
    <n v="43"/>
    <x v="3"/>
    <x v="0"/>
    <x v="1"/>
    <x v="0"/>
    <x v="0"/>
  </r>
  <r>
    <n v="1"/>
    <x v="17"/>
    <x v="21"/>
    <x v="0"/>
    <x v="5"/>
    <x v="0"/>
    <x v="79"/>
    <x v="1"/>
    <x v="83"/>
    <n v="24"/>
    <x v="2"/>
    <x v="1"/>
    <x v="1"/>
    <x v="1"/>
    <x v="0"/>
  </r>
  <r>
    <n v="1"/>
    <x v="64"/>
    <x v="31"/>
    <x v="0"/>
    <x v="1"/>
    <x v="0"/>
    <x v="80"/>
    <x v="2"/>
    <x v="60"/>
    <n v="21"/>
    <x v="2"/>
    <x v="1"/>
    <x v="1"/>
    <x v="0"/>
    <x v="0"/>
  </r>
  <r>
    <n v="4"/>
    <x v="65"/>
    <x v="9"/>
    <x v="2"/>
    <x v="12"/>
    <x v="34"/>
    <x v="69"/>
    <x v="0"/>
    <x v="84"/>
    <n v="34"/>
    <x v="1"/>
    <x v="1"/>
    <x v="1"/>
    <x v="1"/>
    <x v="1"/>
  </r>
  <r>
    <n v="7"/>
    <x v="66"/>
    <x v="20"/>
    <x v="0"/>
    <x v="32"/>
    <x v="35"/>
    <x v="81"/>
    <x v="3"/>
    <x v="85"/>
    <n v="42"/>
    <x v="3"/>
    <x v="1"/>
    <x v="1"/>
    <x v="0"/>
    <x v="0"/>
  </r>
  <r>
    <n v="4"/>
    <x v="67"/>
    <x v="0"/>
    <x v="0"/>
    <x v="1"/>
    <x v="0"/>
    <x v="82"/>
    <x v="2"/>
    <x v="86"/>
    <n v="60"/>
    <x v="4"/>
    <x v="0"/>
    <x v="1"/>
    <x v="0"/>
    <x v="0"/>
  </r>
  <r>
    <n v="2"/>
    <x v="68"/>
    <x v="17"/>
    <x v="2"/>
    <x v="19"/>
    <x v="36"/>
    <x v="70"/>
    <x v="2"/>
    <x v="87"/>
    <n v="21"/>
    <x v="2"/>
    <x v="1"/>
    <x v="0"/>
    <x v="1"/>
    <x v="0"/>
  </r>
  <r>
    <n v="6"/>
    <x v="69"/>
    <x v="0"/>
    <x v="0"/>
    <x v="22"/>
    <x v="37"/>
    <x v="83"/>
    <x v="0"/>
    <x v="88"/>
    <n v="40"/>
    <x v="3"/>
    <x v="1"/>
    <x v="0"/>
    <x v="0"/>
    <x v="1"/>
  </r>
  <r>
    <n v="2"/>
    <x v="31"/>
    <x v="24"/>
    <x v="0"/>
    <x v="30"/>
    <x v="0"/>
    <x v="31"/>
    <x v="0"/>
    <x v="89"/>
    <n v="24"/>
    <x v="2"/>
    <x v="1"/>
    <x v="1"/>
    <x v="0"/>
    <x v="0"/>
  </r>
  <r>
    <n v="1"/>
    <x v="43"/>
    <x v="27"/>
    <x v="0"/>
    <x v="19"/>
    <x v="38"/>
    <x v="84"/>
    <x v="2"/>
    <x v="90"/>
    <n v="22"/>
    <x v="2"/>
    <x v="1"/>
    <x v="1"/>
    <x v="1"/>
    <x v="0"/>
  </r>
  <r>
    <n v="6"/>
    <x v="70"/>
    <x v="5"/>
    <x v="0"/>
    <x v="8"/>
    <x v="36"/>
    <x v="85"/>
    <x v="1"/>
    <x v="91"/>
    <n v="23"/>
    <x v="2"/>
    <x v="1"/>
    <x v="1"/>
    <x v="0"/>
    <x v="0"/>
  </r>
  <r>
    <n v="1"/>
    <x v="32"/>
    <x v="14"/>
    <x v="1"/>
    <x v="33"/>
    <x v="39"/>
    <x v="86"/>
    <x v="3"/>
    <x v="92"/>
    <n v="31"/>
    <x v="1"/>
    <x v="0"/>
    <x v="1"/>
    <x v="0"/>
    <x v="1"/>
  </r>
  <r>
    <n v="1"/>
    <x v="71"/>
    <x v="0"/>
    <x v="0"/>
    <x v="1"/>
    <x v="0"/>
    <x v="87"/>
    <x v="0"/>
    <x v="93"/>
    <n v="33"/>
    <x v="1"/>
    <x v="0"/>
    <x v="0"/>
    <x v="0"/>
    <x v="0"/>
  </r>
  <r>
    <n v="1"/>
    <x v="72"/>
    <x v="10"/>
    <x v="0"/>
    <x v="1"/>
    <x v="0"/>
    <x v="88"/>
    <x v="1"/>
    <x v="94"/>
    <n v="22"/>
    <x v="2"/>
    <x v="1"/>
    <x v="0"/>
    <x v="0"/>
    <x v="0"/>
  </r>
  <r>
    <n v="0"/>
    <x v="9"/>
    <x v="7"/>
    <x v="1"/>
    <x v="1"/>
    <x v="0"/>
    <x v="89"/>
    <x v="2"/>
    <x v="95"/>
    <n v="21"/>
    <x v="2"/>
    <x v="1"/>
    <x v="1"/>
    <x v="0"/>
    <x v="0"/>
  </r>
  <r>
    <n v="1"/>
    <x v="66"/>
    <x v="0"/>
    <x v="0"/>
    <x v="19"/>
    <x v="40"/>
    <x v="1"/>
    <x v="1"/>
    <x v="96"/>
    <n v="24"/>
    <x v="2"/>
    <x v="1"/>
    <x v="1"/>
    <x v="1"/>
    <x v="0"/>
  </r>
  <r>
    <n v="2"/>
    <x v="1"/>
    <x v="29"/>
    <x v="0"/>
    <x v="1"/>
    <x v="0"/>
    <x v="90"/>
    <x v="0"/>
    <x v="97"/>
    <n v="27"/>
    <x v="2"/>
    <x v="1"/>
    <x v="1"/>
    <x v="0"/>
    <x v="0"/>
  </r>
  <r>
    <n v="1"/>
    <x v="19"/>
    <x v="23"/>
    <x v="0"/>
    <x v="1"/>
    <x v="41"/>
    <x v="85"/>
    <x v="1"/>
    <x v="98"/>
    <n v="21"/>
    <x v="2"/>
    <x v="1"/>
    <x v="1"/>
    <x v="0"/>
    <x v="0"/>
  </r>
  <r>
    <n v="1"/>
    <x v="73"/>
    <x v="32"/>
    <x v="3"/>
    <x v="1"/>
    <x v="0"/>
    <x v="73"/>
    <x v="2"/>
    <x v="99"/>
    <n v="27"/>
    <x v="2"/>
    <x v="1"/>
    <x v="1"/>
    <x v="0"/>
    <x v="0"/>
  </r>
  <r>
    <n v="4"/>
    <x v="69"/>
    <x v="19"/>
    <x v="0"/>
    <x v="30"/>
    <x v="13"/>
    <x v="91"/>
    <x v="1"/>
    <x v="100"/>
    <n v="37"/>
    <x v="1"/>
    <x v="1"/>
    <x v="0"/>
    <x v="0"/>
    <x v="0"/>
  </r>
  <r>
    <n v="3"/>
    <x v="62"/>
    <x v="19"/>
    <x v="0"/>
    <x v="15"/>
    <x v="42"/>
    <x v="92"/>
    <x v="0"/>
    <x v="101"/>
    <n v="25"/>
    <x v="2"/>
    <x v="1"/>
    <x v="1"/>
    <x v="0"/>
    <x v="0"/>
  </r>
  <r>
    <n v="0"/>
    <x v="54"/>
    <x v="25"/>
    <x v="2"/>
    <x v="18"/>
    <x v="22"/>
    <x v="93"/>
    <x v="0"/>
    <x v="102"/>
    <n v="24"/>
    <x v="2"/>
    <x v="0"/>
    <x v="1"/>
    <x v="0"/>
    <x v="0"/>
  </r>
  <r>
    <n v="3"/>
    <x v="40"/>
    <x v="0"/>
    <x v="0"/>
    <x v="10"/>
    <x v="43"/>
    <x v="94"/>
    <x v="0"/>
    <x v="103"/>
    <n v="24"/>
    <x v="2"/>
    <x v="0"/>
    <x v="0"/>
    <x v="0"/>
    <x v="0"/>
  </r>
  <r>
    <n v="8"/>
    <x v="74"/>
    <x v="24"/>
    <x v="0"/>
    <x v="11"/>
    <x v="44"/>
    <x v="40"/>
    <x v="0"/>
    <x v="104"/>
    <n v="46"/>
    <x v="3"/>
    <x v="0"/>
    <x v="0"/>
    <x v="0"/>
    <x v="1"/>
  </r>
  <r>
    <n v="1"/>
    <x v="3"/>
    <x v="16"/>
    <x v="0"/>
    <x v="24"/>
    <x v="45"/>
    <x v="95"/>
    <x v="0"/>
    <x v="105"/>
    <n v="23"/>
    <x v="2"/>
    <x v="1"/>
    <x v="1"/>
    <x v="0"/>
    <x v="0"/>
  </r>
  <r>
    <n v="4"/>
    <x v="75"/>
    <x v="24"/>
    <x v="0"/>
    <x v="1"/>
    <x v="0"/>
    <x v="40"/>
    <x v="0"/>
    <x v="72"/>
    <n v="25"/>
    <x v="2"/>
    <x v="1"/>
    <x v="1"/>
    <x v="0"/>
    <x v="0"/>
  </r>
  <r>
    <n v="7"/>
    <x v="76"/>
    <x v="33"/>
    <x v="0"/>
    <x v="3"/>
    <x v="6"/>
    <x v="8"/>
    <x v="0"/>
    <x v="106"/>
    <n v="39"/>
    <x v="1"/>
    <x v="0"/>
    <x v="0"/>
    <x v="0"/>
    <x v="1"/>
  </r>
  <r>
    <n v="4"/>
    <x v="42"/>
    <x v="8"/>
    <x v="1"/>
    <x v="1"/>
    <x v="0"/>
    <x v="95"/>
    <x v="0"/>
    <x v="107"/>
    <n v="61"/>
    <x v="4"/>
    <x v="0"/>
    <x v="0"/>
    <x v="0"/>
    <x v="0"/>
  </r>
  <r>
    <n v="5"/>
    <x v="77"/>
    <x v="4"/>
    <x v="0"/>
    <x v="1"/>
    <x v="0"/>
    <x v="40"/>
    <x v="0"/>
    <x v="108"/>
    <n v="38"/>
    <x v="1"/>
    <x v="0"/>
    <x v="1"/>
    <x v="0"/>
    <x v="0"/>
  </r>
  <r>
    <n v="5"/>
    <x v="6"/>
    <x v="27"/>
    <x v="0"/>
    <x v="1"/>
    <x v="0"/>
    <x v="52"/>
    <x v="0"/>
    <x v="109"/>
    <n v="25"/>
    <x v="2"/>
    <x v="1"/>
    <x v="1"/>
    <x v="0"/>
    <x v="0"/>
  </r>
  <r>
    <n v="4"/>
    <x v="25"/>
    <x v="10"/>
    <x v="0"/>
    <x v="2"/>
    <x v="0"/>
    <x v="96"/>
    <x v="1"/>
    <x v="84"/>
    <n v="22"/>
    <x v="2"/>
    <x v="1"/>
    <x v="1"/>
    <x v="1"/>
    <x v="0"/>
  </r>
  <r>
    <n v="4"/>
    <x v="20"/>
    <x v="16"/>
    <x v="0"/>
    <x v="12"/>
    <x v="46"/>
    <x v="27"/>
    <x v="2"/>
    <x v="110"/>
    <n v="21"/>
    <x v="2"/>
    <x v="1"/>
    <x v="1"/>
    <x v="1"/>
    <x v="0"/>
  </r>
  <r>
    <n v="0"/>
    <x v="78"/>
    <x v="16"/>
    <x v="0"/>
    <x v="34"/>
    <x v="30"/>
    <x v="97"/>
    <x v="3"/>
    <x v="111"/>
    <n v="25"/>
    <x v="2"/>
    <x v="0"/>
    <x v="0"/>
    <x v="0"/>
    <x v="0"/>
  </r>
  <r>
    <n v="6"/>
    <x v="36"/>
    <x v="2"/>
    <x v="0"/>
    <x v="21"/>
    <x v="0"/>
    <x v="98"/>
    <x v="0"/>
    <x v="112"/>
    <n v="24"/>
    <x v="2"/>
    <x v="1"/>
    <x v="1"/>
    <x v="0"/>
    <x v="0"/>
  </r>
  <r>
    <n v="2"/>
    <x v="17"/>
    <x v="4"/>
    <x v="0"/>
    <x v="8"/>
    <x v="30"/>
    <x v="0"/>
    <x v="0"/>
    <x v="113"/>
    <n v="23"/>
    <x v="2"/>
    <x v="1"/>
    <x v="1"/>
    <x v="0"/>
    <x v="0"/>
  </r>
  <r>
    <n v="5"/>
    <x v="79"/>
    <x v="9"/>
    <x v="2"/>
    <x v="1"/>
    <x v="0"/>
    <x v="99"/>
    <x v="1"/>
    <x v="114"/>
    <n v="69"/>
    <x v="4"/>
    <x v="1"/>
    <x v="1"/>
    <x v="0"/>
    <x v="0"/>
  </r>
  <r>
    <n v="0"/>
    <x v="60"/>
    <x v="16"/>
    <x v="0"/>
    <x v="1"/>
    <x v="0"/>
    <x v="94"/>
    <x v="0"/>
    <x v="115"/>
    <n v="23"/>
    <x v="2"/>
    <x v="0"/>
    <x v="1"/>
    <x v="0"/>
    <x v="0"/>
  </r>
  <r>
    <n v="1"/>
    <x v="30"/>
    <x v="12"/>
    <x v="0"/>
    <x v="17"/>
    <x v="47"/>
    <x v="100"/>
    <x v="3"/>
    <x v="116"/>
    <n v="26"/>
    <x v="2"/>
    <x v="0"/>
    <x v="1"/>
    <x v="0"/>
    <x v="0"/>
  </r>
  <r>
    <n v="3"/>
    <x v="80"/>
    <x v="6"/>
    <x v="0"/>
    <x v="8"/>
    <x v="43"/>
    <x v="101"/>
    <x v="3"/>
    <x v="117"/>
    <n v="30"/>
    <x v="1"/>
    <x v="1"/>
    <x v="1"/>
    <x v="0"/>
    <x v="0"/>
  </r>
  <r>
    <n v="1"/>
    <x v="16"/>
    <x v="19"/>
    <x v="0"/>
    <x v="13"/>
    <x v="1"/>
    <x v="94"/>
    <x v="0"/>
    <x v="85"/>
    <n v="23"/>
    <x v="2"/>
    <x v="1"/>
    <x v="1"/>
    <x v="0"/>
    <x v="0"/>
  </r>
  <r>
    <n v="1"/>
    <x v="27"/>
    <x v="13"/>
    <x v="2"/>
    <x v="20"/>
    <x v="48"/>
    <x v="102"/>
    <x v="0"/>
    <x v="118"/>
    <n v="40"/>
    <x v="3"/>
    <x v="0"/>
    <x v="1"/>
    <x v="0"/>
    <x v="0"/>
  </r>
  <r>
    <n v="0"/>
    <x v="44"/>
    <x v="11"/>
    <x v="2"/>
    <x v="1"/>
    <x v="0"/>
    <x v="103"/>
    <x v="1"/>
    <x v="119"/>
    <n v="62"/>
    <x v="4"/>
    <x v="0"/>
    <x v="1"/>
    <x v="0"/>
    <x v="0"/>
  </r>
  <r>
    <n v="4"/>
    <x v="81"/>
    <x v="6"/>
    <x v="0"/>
    <x v="35"/>
    <x v="2"/>
    <x v="46"/>
    <x v="1"/>
    <x v="120"/>
    <n v="33"/>
    <x v="1"/>
    <x v="0"/>
    <x v="0"/>
    <x v="1"/>
    <x v="1"/>
  </r>
  <r>
    <n v="9"/>
    <x v="32"/>
    <x v="23"/>
    <x v="0"/>
    <x v="1"/>
    <x v="0"/>
    <x v="94"/>
    <x v="0"/>
    <x v="121"/>
    <n v="33"/>
    <x v="1"/>
    <x v="0"/>
    <x v="1"/>
    <x v="0"/>
    <x v="0"/>
  </r>
  <r>
    <n v="3"/>
    <x v="82"/>
    <x v="2"/>
    <x v="0"/>
    <x v="16"/>
    <x v="49"/>
    <x v="102"/>
    <x v="0"/>
    <x v="91"/>
    <n v="30"/>
    <x v="1"/>
    <x v="0"/>
    <x v="0"/>
    <x v="0"/>
    <x v="1"/>
  </r>
  <r>
    <n v="8"/>
    <x v="50"/>
    <x v="4"/>
    <x v="0"/>
    <x v="15"/>
    <x v="0"/>
    <x v="104"/>
    <x v="0"/>
    <x v="122"/>
    <n v="39"/>
    <x v="1"/>
    <x v="1"/>
    <x v="1"/>
    <x v="0"/>
    <x v="0"/>
  </r>
  <r>
    <n v="2"/>
    <x v="73"/>
    <x v="21"/>
    <x v="0"/>
    <x v="27"/>
    <x v="50"/>
    <x v="105"/>
    <x v="2"/>
    <x v="123"/>
    <n v="26"/>
    <x v="2"/>
    <x v="1"/>
    <x v="1"/>
    <x v="1"/>
    <x v="0"/>
  </r>
  <r>
    <n v="2"/>
    <x v="9"/>
    <x v="10"/>
    <x v="0"/>
    <x v="28"/>
    <x v="13"/>
    <x v="106"/>
    <x v="0"/>
    <x v="124"/>
    <n v="31"/>
    <x v="1"/>
    <x v="1"/>
    <x v="1"/>
    <x v="1"/>
    <x v="0"/>
  </r>
  <r>
    <n v="0"/>
    <x v="15"/>
    <x v="6"/>
    <x v="0"/>
    <x v="11"/>
    <x v="51"/>
    <x v="107"/>
    <x v="0"/>
    <x v="125"/>
    <n v="21"/>
    <x v="2"/>
    <x v="1"/>
    <x v="1"/>
    <x v="0"/>
    <x v="0"/>
  </r>
  <r>
    <n v="0"/>
    <x v="70"/>
    <x v="10"/>
    <x v="0"/>
    <x v="18"/>
    <x v="52"/>
    <x v="85"/>
    <x v="1"/>
    <x v="126"/>
    <n v="22"/>
    <x v="2"/>
    <x v="1"/>
    <x v="1"/>
    <x v="0"/>
    <x v="0"/>
  </r>
  <r>
    <n v="0"/>
    <x v="55"/>
    <x v="9"/>
    <x v="2"/>
    <x v="1"/>
    <x v="0"/>
    <x v="95"/>
    <x v="0"/>
    <x v="127"/>
    <n v="29"/>
    <x v="2"/>
    <x v="1"/>
    <x v="1"/>
    <x v="0"/>
    <x v="0"/>
  </r>
  <r>
    <n v="5"/>
    <x v="44"/>
    <x v="0"/>
    <x v="0"/>
    <x v="1"/>
    <x v="53"/>
    <x v="108"/>
    <x v="0"/>
    <x v="128"/>
    <n v="28"/>
    <x v="2"/>
    <x v="1"/>
    <x v="1"/>
    <x v="0"/>
    <x v="1"/>
  </r>
  <r>
    <n v="3"/>
    <x v="83"/>
    <x v="20"/>
    <x v="0"/>
    <x v="1"/>
    <x v="0"/>
    <x v="105"/>
    <x v="2"/>
    <x v="129"/>
    <n v="55"/>
    <x v="0"/>
    <x v="1"/>
    <x v="1"/>
    <x v="0"/>
    <x v="0"/>
  </r>
  <r>
    <n v="5"/>
    <x v="39"/>
    <x v="17"/>
    <x v="2"/>
    <x v="8"/>
    <x v="0"/>
    <x v="109"/>
    <x v="0"/>
    <x v="130"/>
    <n v="38"/>
    <x v="1"/>
    <x v="1"/>
    <x v="1"/>
    <x v="0"/>
    <x v="0"/>
  </r>
  <r>
    <n v="2"/>
    <x v="84"/>
    <x v="34"/>
    <x v="0"/>
    <x v="11"/>
    <x v="54"/>
    <x v="62"/>
    <x v="0"/>
    <x v="131"/>
    <n v="22"/>
    <x v="2"/>
    <x v="1"/>
    <x v="1"/>
    <x v="0"/>
    <x v="0"/>
  </r>
  <r>
    <n v="10"/>
    <x v="84"/>
    <x v="1"/>
    <x v="0"/>
    <x v="1"/>
    <x v="0"/>
    <x v="77"/>
    <x v="0"/>
    <x v="132"/>
    <n v="42"/>
    <x v="3"/>
    <x v="0"/>
    <x v="1"/>
    <x v="0"/>
    <x v="0"/>
  </r>
  <r>
    <n v="4"/>
    <x v="85"/>
    <x v="24"/>
    <x v="0"/>
    <x v="15"/>
    <x v="55"/>
    <x v="61"/>
    <x v="0"/>
    <x v="77"/>
    <n v="23"/>
    <x v="2"/>
    <x v="1"/>
    <x v="0"/>
    <x v="0"/>
    <x v="1"/>
  </r>
  <r>
    <n v="0"/>
    <x v="34"/>
    <x v="18"/>
    <x v="0"/>
    <x v="2"/>
    <x v="0"/>
    <x v="9"/>
    <x v="0"/>
    <x v="133"/>
    <n v="21"/>
    <x v="2"/>
    <x v="1"/>
    <x v="1"/>
    <x v="1"/>
    <x v="0"/>
  </r>
  <r>
    <n v="9"/>
    <x v="86"/>
    <x v="9"/>
    <x v="2"/>
    <x v="16"/>
    <x v="0"/>
    <x v="61"/>
    <x v="0"/>
    <x v="134"/>
    <n v="41"/>
    <x v="3"/>
    <x v="1"/>
    <x v="1"/>
    <x v="0"/>
    <x v="0"/>
  </r>
  <r>
    <n v="2"/>
    <x v="39"/>
    <x v="2"/>
    <x v="0"/>
    <x v="0"/>
    <x v="56"/>
    <x v="8"/>
    <x v="0"/>
    <x v="135"/>
    <n v="34"/>
    <x v="1"/>
    <x v="1"/>
    <x v="1"/>
    <x v="0"/>
    <x v="0"/>
  </r>
  <r>
    <n v="5"/>
    <x v="24"/>
    <x v="20"/>
    <x v="0"/>
    <x v="1"/>
    <x v="0"/>
    <x v="52"/>
    <x v="0"/>
    <x v="136"/>
    <n v="65"/>
    <x v="4"/>
    <x v="1"/>
    <x v="0"/>
    <x v="0"/>
    <x v="0"/>
  </r>
  <r>
    <n v="2"/>
    <x v="35"/>
    <x v="6"/>
    <x v="0"/>
    <x v="36"/>
    <x v="0"/>
    <x v="110"/>
    <x v="1"/>
    <x v="137"/>
    <n v="22"/>
    <x v="2"/>
    <x v="1"/>
    <x v="1"/>
    <x v="1"/>
    <x v="0"/>
  </r>
  <r>
    <n v="1"/>
    <x v="63"/>
    <x v="4"/>
    <x v="0"/>
    <x v="37"/>
    <x v="57"/>
    <x v="93"/>
    <x v="0"/>
    <x v="138"/>
    <n v="24"/>
    <x v="2"/>
    <x v="1"/>
    <x v="1"/>
    <x v="0"/>
    <x v="1"/>
  </r>
  <r>
    <n v="4"/>
    <x v="53"/>
    <x v="29"/>
    <x v="0"/>
    <x v="1"/>
    <x v="0"/>
    <x v="111"/>
    <x v="2"/>
    <x v="139"/>
    <n v="37"/>
    <x v="1"/>
    <x v="1"/>
    <x v="1"/>
    <x v="0"/>
    <x v="0"/>
  </r>
  <r>
    <n v="9"/>
    <x v="87"/>
    <x v="26"/>
    <x v="2"/>
    <x v="30"/>
    <x v="58"/>
    <x v="92"/>
    <x v="0"/>
    <x v="140"/>
    <n v="42"/>
    <x v="3"/>
    <x v="0"/>
    <x v="0"/>
    <x v="0"/>
    <x v="0"/>
  </r>
  <r>
    <n v="1"/>
    <x v="88"/>
    <x v="17"/>
    <x v="2"/>
    <x v="17"/>
    <x v="59"/>
    <x v="112"/>
    <x v="3"/>
    <x v="141"/>
    <n v="23"/>
    <x v="2"/>
    <x v="1"/>
    <x v="0"/>
    <x v="0"/>
    <x v="1"/>
  </r>
  <r>
    <n v="8"/>
    <x v="89"/>
    <x v="20"/>
    <x v="0"/>
    <x v="1"/>
    <x v="0"/>
    <x v="113"/>
    <x v="3"/>
    <x v="142"/>
    <n v="43"/>
    <x v="3"/>
    <x v="0"/>
    <x v="0"/>
    <x v="0"/>
    <x v="0"/>
  </r>
  <r>
    <n v="7"/>
    <x v="90"/>
    <x v="13"/>
    <x v="2"/>
    <x v="38"/>
    <x v="0"/>
    <x v="114"/>
    <x v="3"/>
    <x v="28"/>
    <n v="36"/>
    <x v="1"/>
    <x v="0"/>
    <x v="0"/>
    <x v="0"/>
    <x v="0"/>
  </r>
  <r>
    <n v="2"/>
    <x v="20"/>
    <x v="34"/>
    <x v="0"/>
    <x v="12"/>
    <x v="1"/>
    <x v="75"/>
    <x v="2"/>
    <x v="143"/>
    <n v="21"/>
    <x v="2"/>
    <x v="1"/>
    <x v="1"/>
    <x v="1"/>
    <x v="0"/>
  </r>
  <r>
    <n v="1"/>
    <x v="28"/>
    <x v="23"/>
    <x v="0"/>
    <x v="23"/>
    <x v="43"/>
    <x v="115"/>
    <x v="1"/>
    <x v="144"/>
    <n v="23"/>
    <x v="2"/>
    <x v="1"/>
    <x v="1"/>
    <x v="1"/>
    <x v="0"/>
  </r>
  <r>
    <n v="2"/>
    <x v="30"/>
    <x v="4"/>
    <x v="0"/>
    <x v="5"/>
    <x v="60"/>
    <x v="23"/>
    <x v="1"/>
    <x v="145"/>
    <n v="22"/>
    <x v="2"/>
    <x v="1"/>
    <x v="1"/>
    <x v="1"/>
    <x v="0"/>
  </r>
  <r>
    <n v="17"/>
    <x v="71"/>
    <x v="0"/>
    <x v="0"/>
    <x v="9"/>
    <x v="61"/>
    <x v="116"/>
    <x v="3"/>
    <x v="146"/>
    <n v="47"/>
    <x v="3"/>
    <x v="0"/>
    <x v="0"/>
    <x v="0"/>
    <x v="0"/>
  </r>
  <r>
    <n v="4"/>
    <x v="72"/>
    <x v="14"/>
    <x v="1"/>
    <x v="7"/>
    <x v="0"/>
    <x v="46"/>
    <x v="1"/>
    <x v="43"/>
    <n v="36"/>
    <x v="1"/>
    <x v="1"/>
    <x v="0"/>
    <x v="0"/>
    <x v="0"/>
  </r>
  <r>
    <n v="7"/>
    <x v="34"/>
    <x v="4"/>
    <x v="0"/>
    <x v="32"/>
    <x v="62"/>
    <x v="117"/>
    <x v="0"/>
    <x v="147"/>
    <n v="45"/>
    <x v="3"/>
    <x v="1"/>
    <x v="1"/>
    <x v="0"/>
    <x v="0"/>
  </r>
  <r>
    <n v="0"/>
    <x v="53"/>
    <x v="9"/>
    <x v="2"/>
    <x v="24"/>
    <x v="63"/>
    <x v="118"/>
    <x v="3"/>
    <x v="3"/>
    <n v="27"/>
    <x v="2"/>
    <x v="1"/>
    <x v="1"/>
    <x v="0"/>
    <x v="1"/>
  </r>
  <r>
    <n v="2"/>
    <x v="15"/>
    <x v="2"/>
    <x v="0"/>
    <x v="2"/>
    <x v="0"/>
    <x v="46"/>
    <x v="1"/>
    <x v="148"/>
    <n v="21"/>
    <x v="2"/>
    <x v="1"/>
    <x v="1"/>
    <x v="1"/>
    <x v="0"/>
  </r>
  <r>
    <n v="0"/>
    <x v="58"/>
    <x v="13"/>
    <x v="2"/>
    <x v="1"/>
    <x v="0"/>
    <x v="31"/>
    <x v="0"/>
    <x v="149"/>
    <n v="32"/>
    <x v="1"/>
    <x v="0"/>
    <x v="1"/>
    <x v="0"/>
    <x v="0"/>
  </r>
  <r>
    <n v="6"/>
    <x v="91"/>
    <x v="4"/>
    <x v="0"/>
    <x v="19"/>
    <x v="64"/>
    <x v="119"/>
    <x v="1"/>
    <x v="150"/>
    <n v="41"/>
    <x v="3"/>
    <x v="0"/>
    <x v="1"/>
    <x v="1"/>
    <x v="0"/>
  </r>
  <r>
    <n v="3"/>
    <x v="0"/>
    <x v="1"/>
    <x v="0"/>
    <x v="18"/>
    <x v="0"/>
    <x v="62"/>
    <x v="0"/>
    <x v="151"/>
    <n v="22"/>
    <x v="2"/>
    <x v="1"/>
    <x v="0"/>
    <x v="0"/>
    <x v="0"/>
  </r>
  <r>
    <n v="4"/>
    <x v="80"/>
    <x v="21"/>
    <x v="0"/>
    <x v="1"/>
    <x v="0"/>
    <x v="17"/>
    <x v="1"/>
    <x v="152"/>
    <n v="34"/>
    <x v="1"/>
    <x v="1"/>
    <x v="1"/>
    <x v="0"/>
    <x v="0"/>
  </r>
  <r>
    <n v="4"/>
    <x v="10"/>
    <x v="1"/>
    <x v="0"/>
    <x v="1"/>
    <x v="0"/>
    <x v="120"/>
    <x v="0"/>
    <x v="153"/>
    <n v="29"/>
    <x v="2"/>
    <x v="1"/>
    <x v="1"/>
    <x v="0"/>
    <x v="0"/>
  </r>
  <r>
    <n v="3"/>
    <x v="36"/>
    <x v="14"/>
    <x v="1"/>
    <x v="39"/>
    <x v="65"/>
    <x v="121"/>
    <x v="1"/>
    <x v="154"/>
    <n v="29"/>
    <x v="2"/>
    <x v="1"/>
    <x v="1"/>
    <x v="1"/>
    <x v="0"/>
  </r>
  <r>
    <n v="6"/>
    <x v="34"/>
    <x v="17"/>
    <x v="2"/>
    <x v="1"/>
    <x v="0"/>
    <x v="107"/>
    <x v="0"/>
    <x v="155"/>
    <n v="36"/>
    <x v="1"/>
    <x v="0"/>
    <x v="1"/>
    <x v="0"/>
    <x v="0"/>
  </r>
  <r>
    <n v="6"/>
    <x v="67"/>
    <x v="6"/>
    <x v="0"/>
    <x v="2"/>
    <x v="66"/>
    <x v="21"/>
    <x v="0"/>
    <x v="156"/>
    <n v="29"/>
    <x v="2"/>
    <x v="0"/>
    <x v="1"/>
    <x v="1"/>
    <x v="0"/>
  </r>
  <r>
    <n v="2"/>
    <x v="92"/>
    <x v="0"/>
    <x v="0"/>
    <x v="2"/>
    <x v="0"/>
    <x v="65"/>
    <x v="1"/>
    <x v="157"/>
    <n v="25"/>
    <x v="2"/>
    <x v="1"/>
    <x v="1"/>
    <x v="1"/>
    <x v="0"/>
  </r>
  <r>
    <n v="1"/>
    <x v="56"/>
    <x v="10"/>
    <x v="0"/>
    <x v="17"/>
    <x v="35"/>
    <x v="122"/>
    <x v="3"/>
    <x v="158"/>
    <n v="23"/>
    <x v="2"/>
    <x v="1"/>
    <x v="1"/>
    <x v="0"/>
    <x v="0"/>
  </r>
  <r>
    <n v="2"/>
    <x v="93"/>
    <x v="2"/>
    <x v="0"/>
    <x v="20"/>
    <x v="67"/>
    <x v="46"/>
    <x v="1"/>
    <x v="73"/>
    <n v="33"/>
    <x v="1"/>
    <x v="1"/>
    <x v="1"/>
    <x v="0"/>
    <x v="0"/>
  </r>
  <r>
    <n v="8"/>
    <x v="94"/>
    <x v="0"/>
    <x v="0"/>
    <x v="17"/>
    <x v="66"/>
    <x v="123"/>
    <x v="0"/>
    <x v="159"/>
    <n v="36"/>
    <x v="1"/>
    <x v="0"/>
    <x v="0"/>
    <x v="0"/>
    <x v="0"/>
  </r>
  <r>
    <n v="6"/>
    <x v="1"/>
    <x v="20"/>
    <x v="0"/>
    <x v="1"/>
    <x v="0"/>
    <x v="95"/>
    <x v="0"/>
    <x v="160"/>
    <n v="42"/>
    <x v="3"/>
    <x v="1"/>
    <x v="1"/>
    <x v="0"/>
    <x v="0"/>
  </r>
  <r>
    <n v="0"/>
    <x v="55"/>
    <x v="22"/>
    <x v="3"/>
    <x v="40"/>
    <x v="66"/>
    <x v="124"/>
    <x v="3"/>
    <x v="161"/>
    <n v="26"/>
    <x v="2"/>
    <x v="0"/>
    <x v="1"/>
    <x v="0"/>
    <x v="0"/>
  </r>
  <r>
    <n v="5"/>
    <x v="23"/>
    <x v="20"/>
    <x v="0"/>
    <x v="1"/>
    <x v="0"/>
    <x v="125"/>
    <x v="3"/>
    <x v="162"/>
    <n v="47"/>
    <x v="3"/>
    <x v="1"/>
    <x v="0"/>
    <x v="0"/>
    <x v="0"/>
  </r>
  <r>
    <n v="5"/>
    <x v="95"/>
    <x v="17"/>
    <x v="2"/>
    <x v="1"/>
    <x v="0"/>
    <x v="48"/>
    <x v="0"/>
    <x v="163"/>
    <n v="37"/>
    <x v="1"/>
    <x v="0"/>
    <x v="1"/>
    <x v="0"/>
    <x v="0"/>
  </r>
  <r>
    <n v="6"/>
    <x v="92"/>
    <x v="9"/>
    <x v="2"/>
    <x v="1"/>
    <x v="0"/>
    <x v="27"/>
    <x v="2"/>
    <x v="164"/>
    <n v="32"/>
    <x v="1"/>
    <x v="1"/>
    <x v="1"/>
    <x v="0"/>
    <x v="0"/>
  </r>
  <r>
    <n v="0"/>
    <x v="22"/>
    <x v="2"/>
    <x v="0"/>
    <x v="19"/>
    <x v="52"/>
    <x v="126"/>
    <x v="0"/>
    <x v="165"/>
    <n v="23"/>
    <x v="2"/>
    <x v="1"/>
    <x v="1"/>
    <x v="1"/>
    <x v="0"/>
  </r>
  <r>
    <n v="1"/>
    <x v="27"/>
    <x v="4"/>
    <x v="0"/>
    <x v="28"/>
    <x v="23"/>
    <x v="127"/>
    <x v="1"/>
    <x v="166"/>
    <n v="21"/>
    <x v="2"/>
    <x v="1"/>
    <x v="1"/>
    <x v="1"/>
    <x v="0"/>
  </r>
  <r>
    <n v="5"/>
    <x v="48"/>
    <x v="10"/>
    <x v="0"/>
    <x v="1"/>
    <x v="0"/>
    <x v="99"/>
    <x v="1"/>
    <x v="129"/>
    <n v="27"/>
    <x v="2"/>
    <x v="1"/>
    <x v="1"/>
    <x v="0"/>
    <x v="0"/>
  </r>
  <r>
    <n v="4"/>
    <x v="52"/>
    <x v="4"/>
    <x v="0"/>
    <x v="1"/>
    <x v="0"/>
    <x v="34"/>
    <x v="1"/>
    <x v="167"/>
    <n v="40"/>
    <x v="3"/>
    <x v="1"/>
    <x v="0"/>
    <x v="0"/>
    <x v="0"/>
  </r>
  <r>
    <n v="7"/>
    <x v="96"/>
    <x v="21"/>
    <x v="0"/>
    <x v="30"/>
    <x v="0"/>
    <x v="128"/>
    <x v="0"/>
    <x v="168"/>
    <n v="41"/>
    <x v="3"/>
    <x v="0"/>
    <x v="0"/>
    <x v="0"/>
    <x v="0"/>
  </r>
  <r>
    <n v="8"/>
    <x v="97"/>
    <x v="21"/>
    <x v="0"/>
    <x v="13"/>
    <x v="44"/>
    <x v="13"/>
    <x v="0"/>
    <x v="169"/>
    <n v="60"/>
    <x v="4"/>
    <x v="0"/>
    <x v="0"/>
    <x v="0"/>
    <x v="1"/>
  </r>
  <r>
    <n v="1"/>
    <x v="83"/>
    <x v="35"/>
    <x v="1"/>
    <x v="9"/>
    <x v="68"/>
    <x v="69"/>
    <x v="0"/>
    <x v="170"/>
    <n v="33"/>
    <x v="1"/>
    <x v="0"/>
    <x v="1"/>
    <x v="0"/>
    <x v="0"/>
  </r>
  <r>
    <n v="8"/>
    <x v="28"/>
    <x v="16"/>
    <x v="0"/>
    <x v="21"/>
    <x v="61"/>
    <x v="103"/>
    <x v="1"/>
    <x v="171"/>
    <n v="31"/>
    <x v="1"/>
    <x v="0"/>
    <x v="1"/>
    <x v="0"/>
    <x v="0"/>
  </r>
  <r>
    <n v="5"/>
    <x v="12"/>
    <x v="9"/>
    <x v="2"/>
    <x v="0"/>
    <x v="69"/>
    <x v="31"/>
    <x v="0"/>
    <x v="120"/>
    <n v="25"/>
    <x v="2"/>
    <x v="0"/>
    <x v="1"/>
    <x v="0"/>
    <x v="0"/>
  </r>
  <r>
    <n v="3"/>
    <x v="36"/>
    <x v="24"/>
    <x v="0"/>
    <x v="1"/>
    <x v="0"/>
    <x v="129"/>
    <x v="2"/>
    <x v="172"/>
    <n v="21"/>
    <x v="2"/>
    <x v="1"/>
    <x v="1"/>
    <x v="0"/>
    <x v="0"/>
  </r>
  <r>
    <n v="9"/>
    <x v="65"/>
    <x v="6"/>
    <x v="0"/>
    <x v="38"/>
    <x v="1"/>
    <x v="130"/>
    <x v="0"/>
    <x v="173"/>
    <n v="40"/>
    <x v="3"/>
    <x v="1"/>
    <x v="1"/>
    <x v="0"/>
    <x v="0"/>
  </r>
  <r>
    <n v="7"/>
    <x v="41"/>
    <x v="1"/>
    <x v="0"/>
    <x v="1"/>
    <x v="0"/>
    <x v="131"/>
    <x v="0"/>
    <x v="174"/>
    <n v="36"/>
    <x v="1"/>
    <x v="0"/>
    <x v="0"/>
    <x v="0"/>
    <x v="0"/>
  </r>
  <r>
    <n v="11"/>
    <x v="98"/>
    <x v="0"/>
    <x v="0"/>
    <x v="1"/>
    <x v="0"/>
    <x v="132"/>
    <x v="3"/>
    <x v="175"/>
    <n v="40"/>
    <x v="3"/>
    <x v="0"/>
    <x v="1"/>
    <x v="0"/>
    <x v="0"/>
  </r>
  <r>
    <n v="8"/>
    <x v="1"/>
    <x v="31"/>
    <x v="0"/>
    <x v="28"/>
    <x v="0"/>
    <x v="51"/>
    <x v="2"/>
    <x v="176"/>
    <n v="42"/>
    <x v="3"/>
    <x v="1"/>
    <x v="1"/>
    <x v="1"/>
    <x v="0"/>
  </r>
  <r>
    <n v="5"/>
    <x v="29"/>
    <x v="11"/>
    <x v="2"/>
    <x v="9"/>
    <x v="70"/>
    <x v="26"/>
    <x v="0"/>
    <x v="177"/>
    <n v="29"/>
    <x v="2"/>
    <x v="0"/>
    <x v="0"/>
    <x v="0"/>
    <x v="1"/>
  </r>
  <r>
    <n v="1"/>
    <x v="44"/>
    <x v="19"/>
    <x v="0"/>
    <x v="1"/>
    <x v="0"/>
    <x v="133"/>
    <x v="2"/>
    <x v="178"/>
    <n v="21"/>
    <x v="2"/>
    <x v="1"/>
    <x v="1"/>
    <x v="0"/>
    <x v="0"/>
  </r>
  <r>
    <n v="3"/>
    <x v="17"/>
    <x v="24"/>
    <x v="0"/>
    <x v="27"/>
    <x v="35"/>
    <x v="134"/>
    <x v="2"/>
    <x v="158"/>
    <n v="23"/>
    <x v="2"/>
    <x v="0"/>
    <x v="1"/>
    <x v="1"/>
    <x v="0"/>
  </r>
  <r>
    <n v="4"/>
    <x v="28"/>
    <x v="2"/>
    <x v="0"/>
    <x v="38"/>
    <x v="47"/>
    <x v="135"/>
    <x v="0"/>
    <x v="179"/>
    <n v="26"/>
    <x v="2"/>
    <x v="0"/>
    <x v="1"/>
    <x v="0"/>
    <x v="0"/>
  </r>
  <r>
    <n v="4"/>
    <x v="0"/>
    <x v="10"/>
    <x v="0"/>
    <x v="22"/>
    <x v="71"/>
    <x v="136"/>
    <x v="0"/>
    <x v="180"/>
    <n v="29"/>
    <x v="2"/>
    <x v="0"/>
    <x v="0"/>
    <x v="0"/>
    <x v="1"/>
  </r>
  <r>
    <n v="0"/>
    <x v="60"/>
    <x v="9"/>
    <x v="2"/>
    <x v="41"/>
    <x v="0"/>
    <x v="6"/>
    <x v="0"/>
    <x v="181"/>
    <n v="21"/>
    <x v="2"/>
    <x v="1"/>
    <x v="1"/>
    <x v="1"/>
    <x v="0"/>
  </r>
  <r>
    <n v="1"/>
    <x v="33"/>
    <x v="17"/>
    <x v="2"/>
    <x v="1"/>
    <x v="0"/>
    <x v="137"/>
    <x v="3"/>
    <x v="182"/>
    <n v="28"/>
    <x v="2"/>
    <x v="1"/>
    <x v="1"/>
    <x v="0"/>
    <x v="0"/>
  </r>
  <r>
    <n v="0"/>
    <x v="84"/>
    <x v="21"/>
    <x v="0"/>
    <x v="28"/>
    <x v="0"/>
    <x v="110"/>
    <x v="1"/>
    <x v="183"/>
    <n v="32"/>
    <x v="1"/>
    <x v="1"/>
    <x v="1"/>
    <x v="1"/>
    <x v="0"/>
  </r>
  <r>
    <n v="2"/>
    <x v="20"/>
    <x v="6"/>
    <x v="0"/>
    <x v="41"/>
    <x v="72"/>
    <x v="84"/>
    <x v="2"/>
    <x v="41"/>
    <n v="27"/>
    <x v="2"/>
    <x v="1"/>
    <x v="1"/>
    <x v="1"/>
    <x v="0"/>
  </r>
  <r>
    <n v="6"/>
    <x v="18"/>
    <x v="0"/>
    <x v="0"/>
    <x v="3"/>
    <x v="73"/>
    <x v="55"/>
    <x v="0"/>
    <x v="81"/>
    <n v="55"/>
    <x v="0"/>
    <x v="1"/>
    <x v="1"/>
    <x v="0"/>
    <x v="1"/>
  </r>
  <r>
    <n v="5"/>
    <x v="36"/>
    <x v="0"/>
    <x v="0"/>
    <x v="30"/>
    <x v="0"/>
    <x v="138"/>
    <x v="2"/>
    <x v="184"/>
    <n v="27"/>
    <x v="2"/>
    <x v="1"/>
    <x v="1"/>
    <x v="0"/>
    <x v="0"/>
  </r>
  <r>
    <n v="8"/>
    <x v="21"/>
    <x v="16"/>
    <x v="0"/>
    <x v="1"/>
    <x v="74"/>
    <x v="139"/>
    <x v="0"/>
    <x v="185"/>
    <n v="57"/>
    <x v="0"/>
    <x v="0"/>
    <x v="0"/>
    <x v="0"/>
    <x v="1"/>
  </r>
  <r>
    <n v="5"/>
    <x v="78"/>
    <x v="36"/>
    <x v="3"/>
    <x v="1"/>
    <x v="0"/>
    <x v="55"/>
    <x v="0"/>
    <x v="186"/>
    <n v="52"/>
    <x v="0"/>
    <x v="0"/>
    <x v="0"/>
    <x v="0"/>
    <x v="0"/>
  </r>
  <r>
    <n v="1"/>
    <x v="73"/>
    <x v="2"/>
    <x v="0"/>
    <x v="22"/>
    <x v="75"/>
    <x v="36"/>
    <x v="0"/>
    <x v="187"/>
    <n v="21"/>
    <x v="2"/>
    <x v="1"/>
    <x v="1"/>
    <x v="0"/>
    <x v="0"/>
  </r>
  <r>
    <n v="7"/>
    <x v="99"/>
    <x v="11"/>
    <x v="2"/>
    <x v="10"/>
    <x v="0"/>
    <x v="140"/>
    <x v="0"/>
    <x v="188"/>
    <n v="41"/>
    <x v="3"/>
    <x v="0"/>
    <x v="0"/>
    <x v="0"/>
    <x v="0"/>
  </r>
  <r>
    <n v="2"/>
    <x v="66"/>
    <x v="10"/>
    <x v="0"/>
    <x v="29"/>
    <x v="0"/>
    <x v="127"/>
    <x v="1"/>
    <x v="189"/>
    <n v="25"/>
    <x v="2"/>
    <x v="1"/>
    <x v="1"/>
    <x v="1"/>
    <x v="0"/>
  </r>
  <r>
    <n v="0"/>
    <x v="24"/>
    <x v="25"/>
    <x v="2"/>
    <x v="31"/>
    <x v="0"/>
    <x v="141"/>
    <x v="3"/>
    <x v="190"/>
    <n v="24"/>
    <x v="2"/>
    <x v="1"/>
    <x v="0"/>
    <x v="0"/>
    <x v="0"/>
  </r>
  <r>
    <n v="7"/>
    <x v="94"/>
    <x v="37"/>
    <x v="1"/>
    <x v="15"/>
    <x v="0"/>
    <x v="98"/>
    <x v="0"/>
    <x v="191"/>
    <n v="60"/>
    <x v="4"/>
    <x v="1"/>
    <x v="0"/>
    <x v="0"/>
    <x v="0"/>
  </r>
  <r>
    <n v="0"/>
    <x v="100"/>
    <x v="29"/>
    <x v="0"/>
    <x v="11"/>
    <x v="66"/>
    <x v="142"/>
    <x v="3"/>
    <x v="192"/>
    <n v="24"/>
    <x v="2"/>
    <x v="0"/>
    <x v="0"/>
    <x v="0"/>
    <x v="0"/>
  </r>
  <r>
    <n v="9"/>
    <x v="59"/>
    <x v="17"/>
    <x v="2"/>
    <x v="3"/>
    <x v="6"/>
    <x v="98"/>
    <x v="0"/>
    <x v="112"/>
    <n v="36"/>
    <x v="1"/>
    <x v="0"/>
    <x v="1"/>
    <x v="0"/>
    <x v="1"/>
  </r>
  <r>
    <n v="12"/>
    <x v="72"/>
    <x v="6"/>
    <x v="0"/>
    <x v="32"/>
    <x v="76"/>
    <x v="143"/>
    <x v="3"/>
    <x v="193"/>
    <n v="38"/>
    <x v="1"/>
    <x v="0"/>
    <x v="0"/>
    <x v="0"/>
    <x v="1"/>
  </r>
  <r>
    <n v="5"/>
    <x v="28"/>
    <x v="24"/>
    <x v="0"/>
    <x v="9"/>
    <x v="77"/>
    <x v="144"/>
    <x v="0"/>
    <x v="194"/>
    <n v="25"/>
    <x v="2"/>
    <x v="0"/>
    <x v="1"/>
    <x v="0"/>
    <x v="0"/>
  </r>
  <r>
    <n v="6"/>
    <x v="9"/>
    <x v="21"/>
    <x v="0"/>
    <x v="8"/>
    <x v="78"/>
    <x v="15"/>
    <x v="0"/>
    <x v="195"/>
    <n v="32"/>
    <x v="1"/>
    <x v="1"/>
    <x v="1"/>
    <x v="0"/>
    <x v="0"/>
  </r>
  <r>
    <n v="5"/>
    <x v="1"/>
    <x v="4"/>
    <x v="0"/>
    <x v="29"/>
    <x v="0"/>
    <x v="23"/>
    <x v="1"/>
    <x v="196"/>
    <n v="32"/>
    <x v="1"/>
    <x v="0"/>
    <x v="1"/>
    <x v="1"/>
    <x v="0"/>
  </r>
  <r>
    <n v="5"/>
    <x v="59"/>
    <x v="1"/>
    <x v="0"/>
    <x v="1"/>
    <x v="0"/>
    <x v="145"/>
    <x v="0"/>
    <x v="85"/>
    <n v="41"/>
    <x v="3"/>
    <x v="0"/>
    <x v="1"/>
    <x v="0"/>
    <x v="0"/>
  </r>
  <r>
    <n v="0"/>
    <x v="101"/>
    <x v="10"/>
    <x v="0"/>
    <x v="1"/>
    <x v="79"/>
    <x v="19"/>
    <x v="0"/>
    <x v="197"/>
    <n v="21"/>
    <x v="2"/>
    <x v="0"/>
    <x v="0"/>
    <x v="0"/>
    <x v="1"/>
  </r>
  <r>
    <n v="2"/>
    <x v="29"/>
    <x v="14"/>
    <x v="1"/>
    <x v="1"/>
    <x v="0"/>
    <x v="31"/>
    <x v="0"/>
    <x v="198"/>
    <n v="66"/>
    <x v="4"/>
    <x v="0"/>
    <x v="0"/>
    <x v="0"/>
    <x v="0"/>
  </r>
  <r>
    <n v="7"/>
    <x v="22"/>
    <x v="0"/>
    <x v="0"/>
    <x v="1"/>
    <x v="0"/>
    <x v="115"/>
    <x v="1"/>
    <x v="199"/>
    <n v="37"/>
    <x v="1"/>
    <x v="1"/>
    <x v="1"/>
    <x v="0"/>
    <x v="0"/>
  </r>
  <r>
    <n v="7"/>
    <x v="68"/>
    <x v="10"/>
    <x v="0"/>
    <x v="10"/>
    <x v="73"/>
    <x v="146"/>
    <x v="1"/>
    <x v="141"/>
    <n v="61"/>
    <x v="4"/>
    <x v="1"/>
    <x v="0"/>
    <x v="0"/>
    <x v="1"/>
  </r>
  <r>
    <n v="1"/>
    <x v="15"/>
    <x v="1"/>
    <x v="0"/>
    <x v="12"/>
    <x v="80"/>
    <x v="147"/>
    <x v="2"/>
    <x v="200"/>
    <n v="26"/>
    <x v="2"/>
    <x v="1"/>
    <x v="1"/>
    <x v="1"/>
    <x v="0"/>
  </r>
  <r>
    <n v="1"/>
    <x v="92"/>
    <x v="20"/>
    <x v="0"/>
    <x v="22"/>
    <x v="81"/>
    <x v="19"/>
    <x v="0"/>
    <x v="201"/>
    <n v="22"/>
    <x v="2"/>
    <x v="1"/>
    <x v="1"/>
    <x v="0"/>
    <x v="0"/>
  </r>
  <r>
    <n v="0"/>
    <x v="45"/>
    <x v="16"/>
    <x v="0"/>
    <x v="1"/>
    <x v="0"/>
    <x v="148"/>
    <x v="0"/>
    <x v="202"/>
    <n v="26"/>
    <x v="2"/>
    <x v="1"/>
    <x v="1"/>
    <x v="0"/>
    <x v="0"/>
  </r>
  <r>
    <n v="3"/>
    <x v="78"/>
    <x v="34"/>
    <x v="0"/>
    <x v="7"/>
    <x v="0"/>
    <x v="117"/>
    <x v="0"/>
    <x v="203"/>
    <n v="24"/>
    <x v="2"/>
    <x v="0"/>
    <x v="0"/>
    <x v="0"/>
    <x v="0"/>
  </r>
  <r>
    <n v="4"/>
    <x v="8"/>
    <x v="6"/>
    <x v="0"/>
    <x v="21"/>
    <x v="82"/>
    <x v="149"/>
    <x v="0"/>
    <x v="204"/>
    <n v="31"/>
    <x v="1"/>
    <x v="1"/>
    <x v="0"/>
    <x v="0"/>
    <x v="1"/>
  </r>
  <r>
    <n v="0"/>
    <x v="27"/>
    <x v="9"/>
    <x v="2"/>
    <x v="15"/>
    <x v="60"/>
    <x v="150"/>
    <x v="3"/>
    <x v="205"/>
    <n v="24"/>
    <x v="2"/>
    <x v="1"/>
    <x v="1"/>
    <x v="0"/>
    <x v="0"/>
  </r>
  <r>
    <n v="4"/>
    <x v="68"/>
    <x v="26"/>
    <x v="2"/>
    <x v="1"/>
    <x v="0"/>
    <x v="151"/>
    <x v="3"/>
    <x v="206"/>
    <n v="22"/>
    <x v="2"/>
    <x v="0"/>
    <x v="0"/>
    <x v="0"/>
    <x v="0"/>
  </r>
  <r>
    <n v="6"/>
    <x v="67"/>
    <x v="9"/>
    <x v="2"/>
    <x v="16"/>
    <x v="83"/>
    <x v="152"/>
    <x v="3"/>
    <x v="207"/>
    <n v="46"/>
    <x v="3"/>
    <x v="0"/>
    <x v="1"/>
    <x v="0"/>
    <x v="1"/>
  </r>
  <r>
    <n v="1"/>
    <x v="56"/>
    <x v="9"/>
    <x v="2"/>
    <x v="18"/>
    <x v="45"/>
    <x v="60"/>
    <x v="1"/>
    <x v="68"/>
    <n v="22"/>
    <x v="2"/>
    <x v="1"/>
    <x v="1"/>
    <x v="0"/>
    <x v="0"/>
  </r>
  <r>
    <n v="4"/>
    <x v="32"/>
    <x v="21"/>
    <x v="0"/>
    <x v="1"/>
    <x v="0"/>
    <x v="153"/>
    <x v="0"/>
    <x v="208"/>
    <n v="29"/>
    <x v="2"/>
    <x v="1"/>
    <x v="1"/>
    <x v="0"/>
    <x v="0"/>
  </r>
  <r>
    <n v="3"/>
    <x v="61"/>
    <x v="21"/>
    <x v="0"/>
    <x v="30"/>
    <x v="84"/>
    <x v="46"/>
    <x v="1"/>
    <x v="209"/>
    <n v="23"/>
    <x v="2"/>
    <x v="1"/>
    <x v="1"/>
    <x v="0"/>
    <x v="0"/>
  </r>
  <r>
    <n v="4"/>
    <x v="40"/>
    <x v="0"/>
    <x v="0"/>
    <x v="1"/>
    <x v="0"/>
    <x v="154"/>
    <x v="3"/>
    <x v="210"/>
    <n v="26"/>
    <x v="2"/>
    <x v="0"/>
    <x v="0"/>
    <x v="0"/>
    <x v="0"/>
  </r>
  <r>
    <n v="7"/>
    <x v="97"/>
    <x v="11"/>
    <x v="2"/>
    <x v="23"/>
    <x v="17"/>
    <x v="128"/>
    <x v="0"/>
    <x v="46"/>
    <n v="51"/>
    <x v="0"/>
    <x v="0"/>
    <x v="0"/>
    <x v="1"/>
    <x v="1"/>
  </r>
  <r>
    <n v="0"/>
    <x v="94"/>
    <x v="14"/>
    <x v="1"/>
    <x v="22"/>
    <x v="0"/>
    <x v="155"/>
    <x v="3"/>
    <x v="211"/>
    <n v="23"/>
    <x v="2"/>
    <x v="0"/>
    <x v="0"/>
    <x v="0"/>
    <x v="0"/>
  </r>
  <r>
    <n v="9"/>
    <x v="102"/>
    <x v="11"/>
    <x v="2"/>
    <x v="23"/>
    <x v="0"/>
    <x v="107"/>
    <x v="0"/>
    <x v="212"/>
    <n v="32"/>
    <x v="1"/>
    <x v="0"/>
    <x v="0"/>
    <x v="1"/>
    <x v="0"/>
  </r>
  <r>
    <n v="0"/>
    <x v="91"/>
    <x v="16"/>
    <x v="0"/>
    <x v="1"/>
    <x v="0"/>
    <x v="156"/>
    <x v="4"/>
    <x v="213"/>
    <n v="27"/>
    <x v="2"/>
    <x v="1"/>
    <x v="1"/>
    <x v="0"/>
    <x v="0"/>
  </r>
  <r>
    <n v="1"/>
    <x v="103"/>
    <x v="2"/>
    <x v="0"/>
    <x v="20"/>
    <x v="0"/>
    <x v="157"/>
    <x v="1"/>
    <x v="105"/>
    <n v="21"/>
    <x v="2"/>
    <x v="1"/>
    <x v="1"/>
    <x v="0"/>
    <x v="0"/>
  </r>
  <r>
    <n v="4"/>
    <x v="103"/>
    <x v="6"/>
    <x v="0"/>
    <x v="3"/>
    <x v="3"/>
    <x v="130"/>
    <x v="0"/>
    <x v="214"/>
    <n v="22"/>
    <x v="2"/>
    <x v="1"/>
    <x v="1"/>
    <x v="0"/>
    <x v="0"/>
  </r>
  <r>
    <n v="3"/>
    <x v="12"/>
    <x v="33"/>
    <x v="0"/>
    <x v="1"/>
    <x v="0"/>
    <x v="5"/>
    <x v="1"/>
    <x v="215"/>
    <n v="22"/>
    <x v="2"/>
    <x v="0"/>
    <x v="1"/>
    <x v="0"/>
    <x v="0"/>
  </r>
  <r>
    <n v="6"/>
    <x v="22"/>
    <x v="5"/>
    <x v="0"/>
    <x v="29"/>
    <x v="34"/>
    <x v="12"/>
    <x v="1"/>
    <x v="216"/>
    <n v="33"/>
    <x v="1"/>
    <x v="0"/>
    <x v="1"/>
    <x v="1"/>
    <x v="1"/>
  </r>
  <r>
    <n v="2"/>
    <x v="42"/>
    <x v="16"/>
    <x v="0"/>
    <x v="0"/>
    <x v="85"/>
    <x v="38"/>
    <x v="0"/>
    <x v="217"/>
    <n v="29"/>
    <x v="2"/>
    <x v="1"/>
    <x v="0"/>
    <x v="0"/>
    <x v="1"/>
  </r>
  <r>
    <n v="9"/>
    <x v="99"/>
    <x v="25"/>
    <x v="2"/>
    <x v="12"/>
    <x v="0"/>
    <x v="15"/>
    <x v="0"/>
    <x v="218"/>
    <n v="49"/>
    <x v="3"/>
    <x v="0"/>
    <x v="0"/>
    <x v="1"/>
    <x v="0"/>
  </r>
  <r>
    <n v="10"/>
    <x v="32"/>
    <x v="21"/>
    <x v="0"/>
    <x v="1"/>
    <x v="0"/>
    <x v="95"/>
    <x v="0"/>
    <x v="60"/>
    <n v="41"/>
    <x v="3"/>
    <x v="1"/>
    <x v="1"/>
    <x v="0"/>
    <x v="0"/>
  </r>
  <r>
    <n v="0"/>
    <x v="104"/>
    <x v="14"/>
    <x v="1"/>
    <x v="10"/>
    <x v="86"/>
    <x v="132"/>
    <x v="3"/>
    <x v="219"/>
    <n v="23"/>
    <x v="2"/>
    <x v="1"/>
    <x v="0"/>
    <x v="0"/>
    <x v="1"/>
  </r>
  <r>
    <n v="9"/>
    <x v="77"/>
    <x v="6"/>
    <x v="0"/>
    <x v="10"/>
    <x v="87"/>
    <x v="21"/>
    <x v="0"/>
    <x v="220"/>
    <n v="34"/>
    <x v="1"/>
    <x v="1"/>
    <x v="1"/>
    <x v="0"/>
    <x v="1"/>
  </r>
  <r>
    <n v="1"/>
    <x v="36"/>
    <x v="26"/>
    <x v="2"/>
    <x v="5"/>
    <x v="0"/>
    <x v="13"/>
    <x v="0"/>
    <x v="221"/>
    <n v="23"/>
    <x v="2"/>
    <x v="1"/>
    <x v="1"/>
    <x v="1"/>
    <x v="0"/>
  </r>
  <r>
    <n v="9"/>
    <x v="39"/>
    <x v="34"/>
    <x v="0"/>
    <x v="1"/>
    <x v="0"/>
    <x v="95"/>
    <x v="0"/>
    <x v="222"/>
    <n v="42"/>
    <x v="3"/>
    <x v="1"/>
    <x v="1"/>
    <x v="0"/>
    <x v="0"/>
  </r>
  <r>
    <n v="2"/>
    <x v="55"/>
    <x v="11"/>
    <x v="2"/>
    <x v="1"/>
    <x v="0"/>
    <x v="47"/>
    <x v="1"/>
    <x v="223"/>
    <n v="27"/>
    <x v="2"/>
    <x v="1"/>
    <x v="1"/>
    <x v="0"/>
    <x v="0"/>
  </r>
  <r>
    <n v="2"/>
    <x v="35"/>
    <x v="9"/>
    <x v="2"/>
    <x v="35"/>
    <x v="67"/>
    <x v="51"/>
    <x v="2"/>
    <x v="224"/>
    <n v="24"/>
    <x v="2"/>
    <x v="1"/>
    <x v="1"/>
    <x v="1"/>
    <x v="0"/>
  </r>
  <r>
    <n v="0"/>
    <x v="105"/>
    <x v="21"/>
    <x v="0"/>
    <x v="3"/>
    <x v="0"/>
    <x v="144"/>
    <x v="0"/>
    <x v="207"/>
    <n v="25"/>
    <x v="2"/>
    <x v="1"/>
    <x v="1"/>
    <x v="0"/>
    <x v="0"/>
  </r>
  <r>
    <n v="12"/>
    <x v="31"/>
    <x v="24"/>
    <x v="0"/>
    <x v="42"/>
    <x v="88"/>
    <x v="34"/>
    <x v="1"/>
    <x v="225"/>
    <n v="44"/>
    <x v="3"/>
    <x v="0"/>
    <x v="1"/>
    <x v="1"/>
    <x v="1"/>
  </r>
  <r>
    <n v="1"/>
    <x v="60"/>
    <x v="2"/>
    <x v="0"/>
    <x v="0"/>
    <x v="0"/>
    <x v="0"/>
    <x v="0"/>
    <x v="104"/>
    <n v="21"/>
    <x v="2"/>
    <x v="0"/>
    <x v="1"/>
    <x v="0"/>
    <x v="0"/>
  </r>
  <r>
    <n v="3"/>
    <x v="36"/>
    <x v="23"/>
    <x v="0"/>
    <x v="21"/>
    <x v="0"/>
    <x v="13"/>
    <x v="0"/>
    <x v="226"/>
    <n v="30"/>
    <x v="1"/>
    <x v="1"/>
    <x v="1"/>
    <x v="0"/>
    <x v="0"/>
  </r>
  <r>
    <n v="2"/>
    <x v="53"/>
    <x v="21"/>
    <x v="0"/>
    <x v="29"/>
    <x v="0"/>
    <x v="85"/>
    <x v="1"/>
    <x v="227"/>
    <n v="25"/>
    <x v="2"/>
    <x v="1"/>
    <x v="1"/>
    <x v="1"/>
    <x v="0"/>
  </r>
  <r>
    <n v="1"/>
    <x v="106"/>
    <x v="5"/>
    <x v="0"/>
    <x v="41"/>
    <x v="89"/>
    <x v="158"/>
    <x v="1"/>
    <x v="228"/>
    <n v="24"/>
    <x v="2"/>
    <x v="1"/>
    <x v="0"/>
    <x v="1"/>
    <x v="1"/>
  </r>
  <r>
    <n v="11"/>
    <x v="74"/>
    <x v="16"/>
    <x v="0"/>
    <x v="30"/>
    <x v="90"/>
    <x v="94"/>
    <x v="0"/>
    <x v="229"/>
    <n v="51"/>
    <x v="0"/>
    <x v="0"/>
    <x v="0"/>
    <x v="0"/>
    <x v="0"/>
  </r>
  <r>
    <n v="3"/>
    <x v="107"/>
    <x v="21"/>
    <x v="0"/>
    <x v="12"/>
    <x v="66"/>
    <x v="136"/>
    <x v="0"/>
    <x v="166"/>
    <n v="34"/>
    <x v="1"/>
    <x v="1"/>
    <x v="0"/>
    <x v="1"/>
    <x v="0"/>
  </r>
  <r>
    <n v="3"/>
    <x v="52"/>
    <x v="0"/>
    <x v="0"/>
    <x v="1"/>
    <x v="0"/>
    <x v="15"/>
    <x v="0"/>
    <x v="87"/>
    <n v="27"/>
    <x v="2"/>
    <x v="0"/>
    <x v="0"/>
    <x v="0"/>
    <x v="0"/>
  </r>
  <r>
    <n v="4"/>
    <x v="54"/>
    <x v="6"/>
    <x v="0"/>
    <x v="3"/>
    <x v="0"/>
    <x v="159"/>
    <x v="0"/>
    <x v="230"/>
    <n v="24"/>
    <x v="2"/>
    <x v="1"/>
    <x v="1"/>
    <x v="0"/>
    <x v="0"/>
  </r>
  <r>
    <n v="3"/>
    <x v="68"/>
    <x v="9"/>
    <x v="2"/>
    <x v="12"/>
    <x v="0"/>
    <x v="77"/>
    <x v="0"/>
    <x v="231"/>
    <n v="63"/>
    <x v="4"/>
    <x v="1"/>
    <x v="0"/>
    <x v="1"/>
    <x v="0"/>
  </r>
  <r>
    <n v="4"/>
    <x v="65"/>
    <x v="24"/>
    <x v="0"/>
    <x v="1"/>
    <x v="0"/>
    <x v="69"/>
    <x v="0"/>
    <x v="232"/>
    <n v="35"/>
    <x v="1"/>
    <x v="0"/>
    <x v="1"/>
    <x v="0"/>
    <x v="0"/>
  </r>
  <r>
    <n v="5"/>
    <x v="73"/>
    <x v="4"/>
    <x v="0"/>
    <x v="19"/>
    <x v="91"/>
    <x v="0"/>
    <x v="0"/>
    <x v="233"/>
    <n v="43"/>
    <x v="3"/>
    <x v="1"/>
    <x v="1"/>
    <x v="1"/>
    <x v="0"/>
  </r>
  <r>
    <n v="0"/>
    <x v="33"/>
    <x v="0"/>
    <x v="0"/>
    <x v="1"/>
    <x v="0"/>
    <x v="160"/>
    <x v="0"/>
    <x v="234"/>
    <n v="25"/>
    <x v="2"/>
    <x v="0"/>
    <x v="1"/>
    <x v="0"/>
    <x v="0"/>
  </r>
  <r>
    <n v="2"/>
    <x v="83"/>
    <x v="2"/>
    <x v="0"/>
    <x v="17"/>
    <x v="0"/>
    <x v="161"/>
    <x v="3"/>
    <x v="235"/>
    <n v="24"/>
    <x v="2"/>
    <x v="1"/>
    <x v="1"/>
    <x v="0"/>
    <x v="0"/>
  </r>
  <r>
    <n v="0"/>
    <x v="34"/>
    <x v="34"/>
    <x v="0"/>
    <x v="1"/>
    <x v="0"/>
    <x v="162"/>
    <x v="1"/>
    <x v="236"/>
    <n v="21"/>
    <x v="2"/>
    <x v="1"/>
    <x v="1"/>
    <x v="0"/>
    <x v="0"/>
  </r>
  <r>
    <n v="2"/>
    <x v="42"/>
    <x v="0"/>
    <x v="0"/>
    <x v="1"/>
    <x v="0"/>
    <x v="163"/>
    <x v="1"/>
    <x v="237"/>
    <n v="28"/>
    <x v="2"/>
    <x v="0"/>
    <x v="0"/>
    <x v="0"/>
    <x v="0"/>
  </r>
  <r>
    <n v="10"/>
    <x v="45"/>
    <x v="26"/>
    <x v="2"/>
    <x v="16"/>
    <x v="0"/>
    <x v="164"/>
    <x v="3"/>
    <x v="238"/>
    <n v="38"/>
    <x v="1"/>
    <x v="0"/>
    <x v="1"/>
    <x v="0"/>
    <x v="0"/>
  </r>
  <r>
    <n v="2"/>
    <x v="84"/>
    <x v="24"/>
    <x v="0"/>
    <x v="3"/>
    <x v="80"/>
    <x v="115"/>
    <x v="1"/>
    <x v="239"/>
    <n v="21"/>
    <x v="2"/>
    <x v="1"/>
    <x v="1"/>
    <x v="0"/>
    <x v="0"/>
  </r>
  <r>
    <n v="3"/>
    <x v="32"/>
    <x v="20"/>
    <x v="0"/>
    <x v="1"/>
    <x v="0"/>
    <x v="54"/>
    <x v="2"/>
    <x v="17"/>
    <n v="40"/>
    <x v="3"/>
    <x v="1"/>
    <x v="1"/>
    <x v="0"/>
    <x v="0"/>
  </r>
  <r>
    <n v="1"/>
    <x v="43"/>
    <x v="20"/>
    <x v="0"/>
    <x v="37"/>
    <x v="84"/>
    <x v="36"/>
    <x v="0"/>
    <x v="240"/>
    <n v="21"/>
    <x v="2"/>
    <x v="1"/>
    <x v="1"/>
    <x v="0"/>
    <x v="0"/>
  </r>
  <r>
    <n v="13"/>
    <x v="39"/>
    <x v="6"/>
    <x v="0"/>
    <x v="1"/>
    <x v="0"/>
    <x v="98"/>
    <x v="0"/>
    <x v="241"/>
    <n v="52"/>
    <x v="0"/>
    <x v="1"/>
    <x v="1"/>
    <x v="0"/>
    <x v="0"/>
  </r>
  <r>
    <n v="2"/>
    <x v="15"/>
    <x v="6"/>
    <x v="0"/>
    <x v="43"/>
    <x v="92"/>
    <x v="57"/>
    <x v="3"/>
    <x v="242"/>
    <n v="25"/>
    <x v="2"/>
    <x v="1"/>
    <x v="1"/>
    <x v="0"/>
    <x v="0"/>
  </r>
  <r>
    <n v="7"/>
    <x v="39"/>
    <x v="10"/>
    <x v="0"/>
    <x v="20"/>
    <x v="0"/>
    <x v="79"/>
    <x v="1"/>
    <x v="243"/>
    <n v="29"/>
    <x v="2"/>
    <x v="0"/>
    <x v="1"/>
    <x v="0"/>
    <x v="0"/>
  </r>
  <r>
    <n v="0"/>
    <x v="91"/>
    <x v="2"/>
    <x v="0"/>
    <x v="2"/>
    <x v="93"/>
    <x v="165"/>
    <x v="1"/>
    <x v="244"/>
    <n v="23"/>
    <x v="2"/>
    <x v="1"/>
    <x v="1"/>
    <x v="1"/>
    <x v="0"/>
  </r>
  <r>
    <n v="5"/>
    <x v="53"/>
    <x v="4"/>
    <x v="0"/>
    <x v="1"/>
    <x v="0"/>
    <x v="166"/>
    <x v="2"/>
    <x v="245"/>
    <n v="57"/>
    <x v="0"/>
    <x v="1"/>
    <x v="1"/>
    <x v="0"/>
    <x v="0"/>
  </r>
  <r>
    <n v="2"/>
    <x v="84"/>
    <x v="24"/>
    <x v="0"/>
    <x v="25"/>
    <x v="94"/>
    <x v="167"/>
    <x v="1"/>
    <x v="246"/>
    <n v="22"/>
    <x v="2"/>
    <x v="1"/>
    <x v="1"/>
    <x v="1"/>
    <x v="1"/>
  </r>
  <r>
    <n v="0"/>
    <x v="42"/>
    <x v="6"/>
    <x v="0"/>
    <x v="1"/>
    <x v="0"/>
    <x v="168"/>
    <x v="0"/>
    <x v="64"/>
    <n v="28"/>
    <x v="2"/>
    <x v="0"/>
    <x v="0"/>
    <x v="0"/>
    <x v="0"/>
  </r>
  <r>
    <n v="10"/>
    <x v="55"/>
    <x v="16"/>
    <x v="0"/>
    <x v="30"/>
    <x v="95"/>
    <x v="128"/>
    <x v="0"/>
    <x v="247"/>
    <n v="39"/>
    <x v="1"/>
    <x v="1"/>
    <x v="1"/>
    <x v="0"/>
    <x v="0"/>
  </r>
  <r>
    <n v="7"/>
    <x v="38"/>
    <x v="13"/>
    <x v="2"/>
    <x v="12"/>
    <x v="58"/>
    <x v="77"/>
    <x v="0"/>
    <x v="95"/>
    <n v="37"/>
    <x v="1"/>
    <x v="1"/>
    <x v="1"/>
    <x v="1"/>
    <x v="0"/>
  </r>
  <r>
    <n v="7"/>
    <x v="108"/>
    <x v="26"/>
    <x v="2"/>
    <x v="1"/>
    <x v="0"/>
    <x v="131"/>
    <x v="0"/>
    <x v="83"/>
    <n v="47"/>
    <x v="3"/>
    <x v="0"/>
    <x v="0"/>
    <x v="0"/>
    <x v="0"/>
  </r>
  <r>
    <n v="2"/>
    <x v="84"/>
    <x v="9"/>
    <x v="2"/>
    <x v="1"/>
    <x v="0"/>
    <x v="169"/>
    <x v="1"/>
    <x v="248"/>
    <n v="52"/>
    <x v="0"/>
    <x v="0"/>
    <x v="1"/>
    <x v="0"/>
    <x v="0"/>
  </r>
  <r>
    <n v="7"/>
    <x v="63"/>
    <x v="4"/>
    <x v="0"/>
    <x v="11"/>
    <x v="43"/>
    <x v="170"/>
    <x v="1"/>
    <x v="123"/>
    <n v="51"/>
    <x v="0"/>
    <x v="1"/>
    <x v="1"/>
    <x v="0"/>
    <x v="0"/>
  </r>
  <r>
    <n v="5"/>
    <x v="74"/>
    <x v="11"/>
    <x v="2"/>
    <x v="38"/>
    <x v="96"/>
    <x v="171"/>
    <x v="0"/>
    <x v="249"/>
    <n v="34"/>
    <x v="1"/>
    <x v="1"/>
    <x v="0"/>
    <x v="0"/>
    <x v="1"/>
  </r>
  <r>
    <n v="1"/>
    <x v="22"/>
    <x v="26"/>
    <x v="2"/>
    <x v="21"/>
    <x v="39"/>
    <x v="164"/>
    <x v="3"/>
    <x v="250"/>
    <n v="29"/>
    <x v="2"/>
    <x v="0"/>
    <x v="1"/>
    <x v="0"/>
    <x v="1"/>
  </r>
  <r>
    <n v="4"/>
    <x v="73"/>
    <x v="23"/>
    <x v="0"/>
    <x v="36"/>
    <x v="50"/>
    <x v="172"/>
    <x v="2"/>
    <x v="251"/>
    <n v="26"/>
    <x v="2"/>
    <x v="1"/>
    <x v="1"/>
    <x v="1"/>
    <x v="0"/>
  </r>
  <r>
    <n v="5"/>
    <x v="84"/>
    <x v="0"/>
    <x v="0"/>
    <x v="44"/>
    <x v="97"/>
    <x v="173"/>
    <x v="0"/>
    <x v="23"/>
    <n v="33"/>
    <x v="1"/>
    <x v="1"/>
    <x v="1"/>
    <x v="0"/>
    <x v="0"/>
  </r>
  <r>
    <n v="0"/>
    <x v="6"/>
    <x v="13"/>
    <x v="2"/>
    <x v="1"/>
    <x v="40"/>
    <x v="108"/>
    <x v="0"/>
    <x v="252"/>
    <n v="21"/>
    <x v="2"/>
    <x v="1"/>
    <x v="1"/>
    <x v="0"/>
    <x v="0"/>
  </r>
  <r>
    <n v="0"/>
    <x v="17"/>
    <x v="24"/>
    <x v="0"/>
    <x v="8"/>
    <x v="98"/>
    <x v="24"/>
    <x v="0"/>
    <x v="253"/>
    <n v="25"/>
    <x v="2"/>
    <x v="0"/>
    <x v="1"/>
    <x v="0"/>
    <x v="0"/>
  </r>
  <r>
    <n v="2"/>
    <x v="83"/>
    <x v="20"/>
    <x v="0"/>
    <x v="16"/>
    <x v="99"/>
    <x v="18"/>
    <x v="3"/>
    <x v="196"/>
    <n v="31"/>
    <x v="1"/>
    <x v="0"/>
    <x v="1"/>
    <x v="0"/>
    <x v="1"/>
  </r>
  <r>
    <n v="1"/>
    <x v="83"/>
    <x v="27"/>
    <x v="0"/>
    <x v="4"/>
    <x v="85"/>
    <x v="57"/>
    <x v="3"/>
    <x v="254"/>
    <n v="24"/>
    <x v="2"/>
    <x v="0"/>
    <x v="1"/>
    <x v="0"/>
    <x v="1"/>
  </r>
  <r>
    <n v="0"/>
    <x v="108"/>
    <x v="5"/>
    <x v="0"/>
    <x v="1"/>
    <x v="0"/>
    <x v="111"/>
    <x v="2"/>
    <x v="17"/>
    <n v="65"/>
    <x v="4"/>
    <x v="1"/>
    <x v="0"/>
    <x v="0"/>
    <x v="0"/>
  </r>
  <r>
    <n v="6"/>
    <x v="72"/>
    <x v="24"/>
    <x v="0"/>
    <x v="15"/>
    <x v="78"/>
    <x v="140"/>
    <x v="0"/>
    <x v="255"/>
    <n v="28"/>
    <x v="2"/>
    <x v="1"/>
    <x v="0"/>
    <x v="0"/>
    <x v="0"/>
  </r>
  <r>
    <n v="2"/>
    <x v="42"/>
    <x v="6"/>
    <x v="0"/>
    <x v="7"/>
    <x v="100"/>
    <x v="47"/>
    <x v="1"/>
    <x v="28"/>
    <n v="29"/>
    <x v="2"/>
    <x v="0"/>
    <x v="0"/>
    <x v="0"/>
    <x v="1"/>
  </r>
  <r>
    <n v="0"/>
    <x v="19"/>
    <x v="11"/>
    <x v="2"/>
    <x v="1"/>
    <x v="101"/>
    <x v="174"/>
    <x v="0"/>
    <x v="256"/>
    <n v="24"/>
    <x v="2"/>
    <x v="1"/>
    <x v="1"/>
    <x v="0"/>
    <x v="1"/>
  </r>
  <r>
    <n v="14"/>
    <x v="15"/>
    <x v="20"/>
    <x v="0"/>
    <x v="18"/>
    <x v="102"/>
    <x v="24"/>
    <x v="0"/>
    <x v="257"/>
    <n v="46"/>
    <x v="3"/>
    <x v="0"/>
    <x v="1"/>
    <x v="0"/>
    <x v="1"/>
  </r>
  <r>
    <n v="8"/>
    <x v="59"/>
    <x v="0"/>
    <x v="0"/>
    <x v="1"/>
    <x v="0"/>
    <x v="147"/>
    <x v="2"/>
    <x v="258"/>
    <n v="58"/>
    <x v="0"/>
    <x v="1"/>
    <x v="1"/>
    <x v="0"/>
    <x v="0"/>
  </r>
  <r>
    <n v="0"/>
    <x v="109"/>
    <x v="0"/>
    <x v="0"/>
    <x v="1"/>
    <x v="0"/>
    <x v="9"/>
    <x v="0"/>
    <x v="259"/>
    <n v="30"/>
    <x v="1"/>
    <x v="0"/>
    <x v="0"/>
    <x v="0"/>
    <x v="0"/>
  </r>
  <r>
    <n v="2"/>
    <x v="69"/>
    <x v="19"/>
    <x v="0"/>
    <x v="10"/>
    <x v="43"/>
    <x v="31"/>
    <x v="0"/>
    <x v="240"/>
    <n v="25"/>
    <x v="2"/>
    <x v="0"/>
    <x v="0"/>
    <x v="0"/>
    <x v="0"/>
  </r>
  <r>
    <n v="5"/>
    <x v="110"/>
    <x v="17"/>
    <x v="2"/>
    <x v="9"/>
    <x v="103"/>
    <x v="144"/>
    <x v="0"/>
    <x v="260"/>
    <n v="35"/>
    <x v="1"/>
    <x v="1"/>
    <x v="1"/>
    <x v="0"/>
    <x v="0"/>
  </r>
  <r>
    <n v="5"/>
    <x v="7"/>
    <x v="35"/>
    <x v="1"/>
    <x v="1"/>
    <x v="0"/>
    <x v="175"/>
    <x v="3"/>
    <x v="199"/>
    <n v="28"/>
    <x v="2"/>
    <x v="0"/>
    <x v="1"/>
    <x v="0"/>
    <x v="0"/>
  </r>
  <r>
    <n v="3"/>
    <x v="47"/>
    <x v="16"/>
    <x v="0"/>
    <x v="1"/>
    <x v="0"/>
    <x v="176"/>
    <x v="2"/>
    <x v="99"/>
    <n v="37"/>
    <x v="1"/>
    <x v="1"/>
    <x v="0"/>
    <x v="0"/>
    <x v="0"/>
  </r>
  <r>
    <n v="2"/>
    <x v="80"/>
    <x v="16"/>
    <x v="0"/>
    <x v="16"/>
    <x v="62"/>
    <x v="177"/>
    <x v="0"/>
    <x v="261"/>
    <n v="29"/>
    <x v="2"/>
    <x v="1"/>
    <x v="1"/>
    <x v="0"/>
    <x v="0"/>
  </r>
  <r>
    <n v="10"/>
    <x v="108"/>
    <x v="21"/>
    <x v="0"/>
    <x v="2"/>
    <x v="104"/>
    <x v="178"/>
    <x v="1"/>
    <x v="262"/>
    <n v="47"/>
    <x v="3"/>
    <x v="0"/>
    <x v="0"/>
    <x v="1"/>
    <x v="0"/>
  </r>
  <r>
    <n v="0"/>
    <x v="4"/>
    <x v="21"/>
    <x v="0"/>
    <x v="35"/>
    <x v="105"/>
    <x v="32"/>
    <x v="2"/>
    <x v="221"/>
    <n v="21"/>
    <x v="2"/>
    <x v="1"/>
    <x v="1"/>
    <x v="1"/>
    <x v="0"/>
  </r>
  <r>
    <n v="0"/>
    <x v="83"/>
    <x v="21"/>
    <x v="0"/>
    <x v="5"/>
    <x v="106"/>
    <x v="8"/>
    <x v="0"/>
    <x v="263"/>
    <n v="25"/>
    <x v="2"/>
    <x v="0"/>
    <x v="1"/>
    <x v="1"/>
    <x v="1"/>
  </r>
  <r>
    <n v="2"/>
    <x v="77"/>
    <x v="21"/>
    <x v="0"/>
    <x v="30"/>
    <x v="107"/>
    <x v="37"/>
    <x v="0"/>
    <x v="264"/>
    <n v="30"/>
    <x v="1"/>
    <x v="0"/>
    <x v="1"/>
    <x v="0"/>
    <x v="1"/>
  </r>
  <r>
    <n v="6"/>
    <x v="64"/>
    <x v="1"/>
    <x v="0"/>
    <x v="8"/>
    <x v="0"/>
    <x v="179"/>
    <x v="1"/>
    <x v="265"/>
    <n v="41"/>
    <x v="3"/>
    <x v="1"/>
    <x v="1"/>
    <x v="0"/>
    <x v="0"/>
  </r>
  <r>
    <n v="0"/>
    <x v="39"/>
    <x v="6"/>
    <x v="0"/>
    <x v="16"/>
    <x v="105"/>
    <x v="26"/>
    <x v="0"/>
    <x v="185"/>
    <n v="22"/>
    <x v="2"/>
    <x v="1"/>
    <x v="1"/>
    <x v="0"/>
    <x v="0"/>
  </r>
  <r>
    <n v="2"/>
    <x v="74"/>
    <x v="4"/>
    <x v="0"/>
    <x v="36"/>
    <x v="9"/>
    <x v="1"/>
    <x v="1"/>
    <x v="266"/>
    <n v="27"/>
    <x v="2"/>
    <x v="0"/>
    <x v="0"/>
    <x v="1"/>
    <x v="0"/>
  </r>
  <r>
    <n v="3"/>
    <x v="60"/>
    <x v="5"/>
    <x v="0"/>
    <x v="25"/>
    <x v="108"/>
    <x v="91"/>
    <x v="1"/>
    <x v="267"/>
    <n v="25"/>
    <x v="2"/>
    <x v="1"/>
    <x v="1"/>
    <x v="1"/>
    <x v="0"/>
  </r>
  <r>
    <n v="7"/>
    <x v="28"/>
    <x v="9"/>
    <x v="2"/>
    <x v="15"/>
    <x v="0"/>
    <x v="128"/>
    <x v="0"/>
    <x v="268"/>
    <n v="43"/>
    <x v="3"/>
    <x v="0"/>
    <x v="1"/>
    <x v="0"/>
    <x v="0"/>
  </r>
  <r>
    <n v="2"/>
    <x v="59"/>
    <x v="21"/>
    <x v="0"/>
    <x v="29"/>
    <x v="1"/>
    <x v="29"/>
    <x v="0"/>
    <x v="269"/>
    <n v="26"/>
    <x v="2"/>
    <x v="1"/>
    <x v="1"/>
    <x v="1"/>
    <x v="0"/>
  </r>
  <r>
    <n v="3"/>
    <x v="20"/>
    <x v="9"/>
    <x v="2"/>
    <x v="14"/>
    <x v="36"/>
    <x v="180"/>
    <x v="2"/>
    <x v="223"/>
    <n v="30"/>
    <x v="1"/>
    <x v="1"/>
    <x v="1"/>
    <x v="1"/>
    <x v="0"/>
  </r>
  <r>
    <n v="3"/>
    <x v="111"/>
    <x v="4"/>
    <x v="0"/>
    <x v="1"/>
    <x v="0"/>
    <x v="8"/>
    <x v="0"/>
    <x v="270"/>
    <n v="29"/>
    <x v="2"/>
    <x v="0"/>
    <x v="0"/>
    <x v="0"/>
    <x v="0"/>
  </r>
  <r>
    <n v="3"/>
    <x v="7"/>
    <x v="1"/>
    <x v="0"/>
    <x v="21"/>
    <x v="13"/>
    <x v="181"/>
    <x v="0"/>
    <x v="180"/>
    <n v="28"/>
    <x v="2"/>
    <x v="1"/>
    <x v="1"/>
    <x v="0"/>
    <x v="0"/>
  </r>
  <r>
    <n v="6"/>
    <x v="96"/>
    <x v="20"/>
    <x v="0"/>
    <x v="1"/>
    <x v="0"/>
    <x v="182"/>
    <x v="2"/>
    <x v="271"/>
    <n v="59"/>
    <x v="0"/>
    <x v="0"/>
    <x v="0"/>
    <x v="0"/>
    <x v="0"/>
  </r>
  <r>
    <n v="4"/>
    <x v="55"/>
    <x v="10"/>
    <x v="0"/>
    <x v="39"/>
    <x v="109"/>
    <x v="163"/>
    <x v="1"/>
    <x v="272"/>
    <n v="31"/>
    <x v="1"/>
    <x v="1"/>
    <x v="1"/>
    <x v="1"/>
    <x v="1"/>
  </r>
  <r>
    <n v="3"/>
    <x v="59"/>
    <x v="4"/>
    <x v="0"/>
    <x v="8"/>
    <x v="0"/>
    <x v="31"/>
    <x v="0"/>
    <x v="273"/>
    <n v="25"/>
    <x v="2"/>
    <x v="0"/>
    <x v="1"/>
    <x v="0"/>
    <x v="0"/>
  </r>
  <r>
    <n v="0"/>
    <x v="77"/>
    <x v="6"/>
    <x v="0"/>
    <x v="28"/>
    <x v="0"/>
    <x v="44"/>
    <x v="1"/>
    <x v="17"/>
    <n v="36"/>
    <x v="1"/>
    <x v="0"/>
    <x v="1"/>
    <x v="1"/>
    <x v="0"/>
  </r>
  <r>
    <n v="13"/>
    <x v="90"/>
    <x v="14"/>
    <x v="1"/>
    <x v="10"/>
    <x v="110"/>
    <x v="99"/>
    <x v="1"/>
    <x v="274"/>
    <n v="43"/>
    <x v="3"/>
    <x v="0"/>
    <x v="0"/>
    <x v="0"/>
    <x v="0"/>
  </r>
  <r>
    <n v="2"/>
    <x v="59"/>
    <x v="18"/>
    <x v="0"/>
    <x v="3"/>
    <x v="0"/>
    <x v="148"/>
    <x v="0"/>
    <x v="275"/>
    <n v="21"/>
    <x v="2"/>
    <x v="1"/>
    <x v="1"/>
    <x v="0"/>
    <x v="0"/>
  </r>
  <r>
    <n v="1"/>
    <x v="112"/>
    <x v="0"/>
    <x v="0"/>
    <x v="23"/>
    <x v="2"/>
    <x v="5"/>
    <x v="1"/>
    <x v="276"/>
    <n v="24"/>
    <x v="2"/>
    <x v="1"/>
    <x v="0"/>
    <x v="1"/>
    <x v="1"/>
  </r>
  <r>
    <n v="1"/>
    <x v="32"/>
    <x v="2"/>
    <x v="0"/>
    <x v="3"/>
    <x v="64"/>
    <x v="68"/>
    <x v="0"/>
    <x v="255"/>
    <n v="30"/>
    <x v="1"/>
    <x v="0"/>
    <x v="1"/>
    <x v="0"/>
    <x v="0"/>
  </r>
  <r>
    <n v="10"/>
    <x v="94"/>
    <x v="6"/>
    <x v="0"/>
    <x v="1"/>
    <x v="0"/>
    <x v="68"/>
    <x v="0"/>
    <x v="231"/>
    <n v="37"/>
    <x v="1"/>
    <x v="1"/>
    <x v="0"/>
    <x v="0"/>
    <x v="0"/>
  </r>
  <r>
    <n v="2"/>
    <x v="34"/>
    <x v="26"/>
    <x v="2"/>
    <x v="13"/>
    <x v="78"/>
    <x v="183"/>
    <x v="3"/>
    <x v="277"/>
    <n v="23"/>
    <x v="2"/>
    <x v="0"/>
    <x v="1"/>
    <x v="0"/>
    <x v="0"/>
  </r>
  <r>
    <n v="6"/>
    <x v="44"/>
    <x v="6"/>
    <x v="0"/>
    <x v="3"/>
    <x v="111"/>
    <x v="107"/>
    <x v="0"/>
    <x v="278"/>
    <n v="37"/>
    <x v="1"/>
    <x v="1"/>
    <x v="1"/>
    <x v="0"/>
    <x v="0"/>
  </r>
  <r>
    <n v="8"/>
    <x v="16"/>
    <x v="0"/>
    <x v="0"/>
    <x v="5"/>
    <x v="0"/>
    <x v="184"/>
    <x v="2"/>
    <x v="279"/>
    <n v="46"/>
    <x v="3"/>
    <x v="1"/>
    <x v="1"/>
    <x v="1"/>
    <x v="0"/>
  </r>
  <r>
    <n v="2"/>
    <x v="92"/>
    <x v="19"/>
    <x v="0"/>
    <x v="41"/>
    <x v="112"/>
    <x v="123"/>
    <x v="0"/>
    <x v="280"/>
    <n v="25"/>
    <x v="2"/>
    <x v="1"/>
    <x v="1"/>
    <x v="1"/>
    <x v="0"/>
  </r>
  <r>
    <n v="1"/>
    <x v="37"/>
    <x v="0"/>
    <x v="0"/>
    <x v="1"/>
    <x v="0"/>
    <x v="18"/>
    <x v="3"/>
    <x v="220"/>
    <n v="41"/>
    <x v="3"/>
    <x v="0"/>
    <x v="0"/>
    <x v="0"/>
    <x v="0"/>
  </r>
  <r>
    <n v="12"/>
    <x v="39"/>
    <x v="9"/>
    <x v="2"/>
    <x v="1"/>
    <x v="0"/>
    <x v="147"/>
    <x v="2"/>
    <x v="142"/>
    <n v="44"/>
    <x v="3"/>
    <x v="1"/>
    <x v="1"/>
    <x v="0"/>
    <x v="0"/>
  </r>
  <r>
    <n v="1"/>
    <x v="54"/>
    <x v="10"/>
    <x v="0"/>
    <x v="19"/>
    <x v="68"/>
    <x v="138"/>
    <x v="2"/>
    <x v="112"/>
    <n v="22"/>
    <x v="2"/>
    <x v="1"/>
    <x v="1"/>
    <x v="1"/>
    <x v="0"/>
  </r>
  <r>
    <n v="0"/>
    <x v="104"/>
    <x v="16"/>
    <x v="0"/>
    <x v="44"/>
    <x v="113"/>
    <x v="113"/>
    <x v="3"/>
    <x v="248"/>
    <n v="26"/>
    <x v="2"/>
    <x v="1"/>
    <x v="0"/>
    <x v="0"/>
    <x v="1"/>
  </r>
  <r>
    <n v="0"/>
    <x v="27"/>
    <x v="0"/>
    <x v="0"/>
    <x v="1"/>
    <x v="0"/>
    <x v="106"/>
    <x v="0"/>
    <x v="281"/>
    <n v="44"/>
    <x v="3"/>
    <x v="1"/>
    <x v="1"/>
    <x v="0"/>
    <x v="0"/>
  </r>
  <r>
    <n v="5"/>
    <x v="7"/>
    <x v="16"/>
    <x v="0"/>
    <x v="1"/>
    <x v="0"/>
    <x v="95"/>
    <x v="0"/>
    <x v="282"/>
    <n v="44"/>
    <x v="3"/>
    <x v="0"/>
    <x v="1"/>
    <x v="0"/>
    <x v="0"/>
  </r>
  <r>
    <n v="9"/>
    <x v="90"/>
    <x v="20"/>
    <x v="0"/>
    <x v="24"/>
    <x v="114"/>
    <x v="98"/>
    <x v="0"/>
    <x v="283"/>
    <n v="33"/>
    <x v="1"/>
    <x v="0"/>
    <x v="0"/>
    <x v="0"/>
    <x v="1"/>
  </r>
  <r>
    <n v="7"/>
    <x v="113"/>
    <x v="11"/>
    <x v="2"/>
    <x v="1"/>
    <x v="0"/>
    <x v="185"/>
    <x v="0"/>
    <x v="284"/>
    <n v="41"/>
    <x v="3"/>
    <x v="0"/>
    <x v="0"/>
    <x v="0"/>
    <x v="0"/>
  </r>
  <r>
    <n v="1"/>
    <x v="95"/>
    <x v="6"/>
    <x v="0"/>
    <x v="27"/>
    <x v="62"/>
    <x v="158"/>
    <x v="1"/>
    <x v="285"/>
    <n v="22"/>
    <x v="2"/>
    <x v="1"/>
    <x v="1"/>
    <x v="1"/>
    <x v="0"/>
  </r>
  <r>
    <n v="1"/>
    <x v="54"/>
    <x v="4"/>
    <x v="0"/>
    <x v="23"/>
    <x v="115"/>
    <x v="158"/>
    <x v="1"/>
    <x v="286"/>
    <n v="36"/>
    <x v="1"/>
    <x v="1"/>
    <x v="1"/>
    <x v="1"/>
    <x v="0"/>
  </r>
  <r>
    <n v="1"/>
    <x v="27"/>
    <x v="21"/>
    <x v="0"/>
    <x v="0"/>
    <x v="0"/>
    <x v="69"/>
    <x v="0"/>
    <x v="287"/>
    <n v="22"/>
    <x v="2"/>
    <x v="1"/>
    <x v="1"/>
    <x v="0"/>
    <x v="0"/>
  </r>
  <r>
    <n v="5"/>
    <x v="32"/>
    <x v="26"/>
    <x v="2"/>
    <x v="1"/>
    <x v="0"/>
    <x v="53"/>
    <x v="0"/>
    <x v="189"/>
    <n v="33"/>
    <x v="1"/>
    <x v="1"/>
    <x v="1"/>
    <x v="0"/>
    <x v="0"/>
  </r>
  <r>
    <n v="8"/>
    <x v="54"/>
    <x v="0"/>
    <x v="0"/>
    <x v="1"/>
    <x v="0"/>
    <x v="186"/>
    <x v="0"/>
    <x v="288"/>
    <n v="57"/>
    <x v="0"/>
    <x v="1"/>
    <x v="1"/>
    <x v="0"/>
    <x v="0"/>
  </r>
  <r>
    <n v="8"/>
    <x v="19"/>
    <x v="13"/>
    <x v="2"/>
    <x v="13"/>
    <x v="116"/>
    <x v="78"/>
    <x v="0"/>
    <x v="289"/>
    <n v="49"/>
    <x v="3"/>
    <x v="1"/>
    <x v="1"/>
    <x v="0"/>
    <x v="0"/>
  </r>
  <r>
    <n v="1"/>
    <x v="12"/>
    <x v="38"/>
    <x v="0"/>
    <x v="5"/>
    <x v="8"/>
    <x v="85"/>
    <x v="1"/>
    <x v="109"/>
    <n v="22"/>
    <x v="2"/>
    <x v="1"/>
    <x v="1"/>
    <x v="1"/>
    <x v="0"/>
  </r>
  <r>
    <n v="3"/>
    <x v="5"/>
    <x v="0"/>
    <x v="0"/>
    <x v="1"/>
    <x v="0"/>
    <x v="182"/>
    <x v="2"/>
    <x v="178"/>
    <n v="23"/>
    <x v="2"/>
    <x v="1"/>
    <x v="1"/>
    <x v="0"/>
    <x v="0"/>
  </r>
  <r>
    <n v="3"/>
    <x v="20"/>
    <x v="24"/>
    <x v="0"/>
    <x v="5"/>
    <x v="98"/>
    <x v="187"/>
    <x v="2"/>
    <x v="290"/>
    <n v="26"/>
    <x v="2"/>
    <x v="1"/>
    <x v="1"/>
    <x v="1"/>
    <x v="0"/>
  </r>
  <r>
    <n v="5"/>
    <x v="27"/>
    <x v="9"/>
    <x v="2"/>
    <x v="3"/>
    <x v="0"/>
    <x v="188"/>
    <x v="3"/>
    <x v="291"/>
    <n v="37"/>
    <x v="1"/>
    <x v="0"/>
    <x v="1"/>
    <x v="0"/>
    <x v="0"/>
  </r>
  <r>
    <n v="4"/>
    <x v="31"/>
    <x v="9"/>
    <x v="2"/>
    <x v="1"/>
    <x v="0"/>
    <x v="189"/>
    <x v="3"/>
    <x v="77"/>
    <n v="29"/>
    <x v="2"/>
    <x v="1"/>
    <x v="1"/>
    <x v="0"/>
    <x v="0"/>
  </r>
  <r>
    <n v="4"/>
    <x v="4"/>
    <x v="11"/>
    <x v="2"/>
    <x v="1"/>
    <x v="0"/>
    <x v="95"/>
    <x v="0"/>
    <x v="292"/>
    <n v="30"/>
    <x v="1"/>
    <x v="1"/>
    <x v="1"/>
    <x v="0"/>
    <x v="0"/>
  </r>
  <r>
    <n v="3"/>
    <x v="114"/>
    <x v="17"/>
    <x v="2"/>
    <x v="30"/>
    <x v="0"/>
    <x v="190"/>
    <x v="0"/>
    <x v="293"/>
    <n v="46"/>
    <x v="3"/>
    <x v="1"/>
    <x v="1"/>
    <x v="0"/>
    <x v="0"/>
  </r>
  <r>
    <n v="1"/>
    <x v="35"/>
    <x v="24"/>
    <x v="0"/>
    <x v="39"/>
    <x v="117"/>
    <x v="191"/>
    <x v="1"/>
    <x v="294"/>
    <n v="24"/>
    <x v="2"/>
    <x v="1"/>
    <x v="1"/>
    <x v="1"/>
    <x v="0"/>
  </r>
  <r>
    <n v="3"/>
    <x v="35"/>
    <x v="20"/>
    <x v="0"/>
    <x v="1"/>
    <x v="0"/>
    <x v="63"/>
    <x v="3"/>
    <x v="295"/>
    <n v="21"/>
    <x v="2"/>
    <x v="1"/>
    <x v="1"/>
    <x v="0"/>
    <x v="0"/>
  </r>
  <r>
    <n v="9"/>
    <x v="104"/>
    <x v="13"/>
    <x v="2"/>
    <x v="1"/>
    <x v="0"/>
    <x v="131"/>
    <x v="0"/>
    <x v="296"/>
    <n v="49"/>
    <x v="3"/>
    <x v="0"/>
    <x v="0"/>
    <x v="0"/>
    <x v="0"/>
  </r>
  <r>
    <n v="1"/>
    <x v="9"/>
    <x v="5"/>
    <x v="0"/>
    <x v="32"/>
    <x v="118"/>
    <x v="94"/>
    <x v="0"/>
    <x v="54"/>
    <n v="28"/>
    <x v="2"/>
    <x v="0"/>
    <x v="1"/>
    <x v="0"/>
    <x v="1"/>
  </r>
  <r>
    <n v="13"/>
    <x v="55"/>
    <x v="0"/>
    <x v="0"/>
    <x v="8"/>
    <x v="0"/>
    <x v="185"/>
    <x v="0"/>
    <x v="297"/>
    <n v="44"/>
    <x v="3"/>
    <x v="0"/>
    <x v="1"/>
    <x v="0"/>
    <x v="0"/>
  </r>
  <r>
    <n v="12"/>
    <x v="30"/>
    <x v="4"/>
    <x v="0"/>
    <x v="32"/>
    <x v="16"/>
    <x v="7"/>
    <x v="0"/>
    <x v="298"/>
    <n v="48"/>
    <x v="3"/>
    <x v="1"/>
    <x v="1"/>
    <x v="0"/>
    <x v="0"/>
  </r>
  <r>
    <n v="1"/>
    <x v="21"/>
    <x v="16"/>
    <x v="0"/>
    <x v="13"/>
    <x v="119"/>
    <x v="192"/>
    <x v="0"/>
    <x v="264"/>
    <n v="29"/>
    <x v="2"/>
    <x v="0"/>
    <x v="0"/>
    <x v="0"/>
    <x v="1"/>
  </r>
  <r>
    <n v="5"/>
    <x v="13"/>
    <x v="2"/>
    <x v="0"/>
    <x v="10"/>
    <x v="53"/>
    <x v="95"/>
    <x v="0"/>
    <x v="68"/>
    <n v="29"/>
    <x v="2"/>
    <x v="0"/>
    <x v="0"/>
    <x v="0"/>
    <x v="1"/>
  </r>
  <r>
    <n v="5"/>
    <x v="29"/>
    <x v="6"/>
    <x v="0"/>
    <x v="1"/>
    <x v="0"/>
    <x v="193"/>
    <x v="1"/>
    <x v="99"/>
    <n v="63"/>
    <x v="4"/>
    <x v="1"/>
    <x v="0"/>
    <x v="0"/>
    <x v="0"/>
  </r>
  <r>
    <n v="5"/>
    <x v="18"/>
    <x v="30"/>
    <x v="3"/>
    <x v="16"/>
    <x v="0"/>
    <x v="194"/>
    <x v="0"/>
    <x v="48"/>
    <n v="65"/>
    <x v="4"/>
    <x v="1"/>
    <x v="1"/>
    <x v="0"/>
    <x v="0"/>
  </r>
  <r>
    <n v="4"/>
    <x v="42"/>
    <x v="20"/>
    <x v="0"/>
    <x v="1"/>
    <x v="0"/>
    <x v="78"/>
    <x v="0"/>
    <x v="256"/>
    <n v="67"/>
    <x v="4"/>
    <x v="0"/>
    <x v="0"/>
    <x v="0"/>
    <x v="0"/>
  </r>
  <r>
    <n v="4"/>
    <x v="24"/>
    <x v="4"/>
    <x v="0"/>
    <x v="18"/>
    <x v="120"/>
    <x v="126"/>
    <x v="0"/>
    <x v="299"/>
    <n v="30"/>
    <x v="1"/>
    <x v="1"/>
    <x v="0"/>
    <x v="0"/>
    <x v="1"/>
  </r>
  <r>
    <n v="5"/>
    <x v="20"/>
    <x v="33"/>
    <x v="0"/>
    <x v="30"/>
    <x v="8"/>
    <x v="40"/>
    <x v="0"/>
    <x v="300"/>
    <n v="30"/>
    <x v="1"/>
    <x v="1"/>
    <x v="1"/>
    <x v="0"/>
    <x v="0"/>
  </r>
  <r>
    <n v="6"/>
    <x v="77"/>
    <x v="0"/>
    <x v="0"/>
    <x v="1"/>
    <x v="0"/>
    <x v="34"/>
    <x v="1"/>
    <x v="148"/>
    <n v="29"/>
    <x v="2"/>
    <x v="0"/>
    <x v="1"/>
    <x v="0"/>
    <x v="0"/>
  </r>
  <r>
    <n v="0"/>
    <x v="45"/>
    <x v="2"/>
    <x v="0"/>
    <x v="36"/>
    <x v="0"/>
    <x v="176"/>
    <x v="2"/>
    <x v="292"/>
    <n v="21"/>
    <x v="2"/>
    <x v="1"/>
    <x v="1"/>
    <x v="1"/>
    <x v="0"/>
  </r>
  <r>
    <n v="3"/>
    <x v="66"/>
    <x v="26"/>
    <x v="2"/>
    <x v="41"/>
    <x v="121"/>
    <x v="163"/>
    <x v="1"/>
    <x v="301"/>
    <n v="22"/>
    <x v="2"/>
    <x v="1"/>
    <x v="1"/>
    <x v="1"/>
    <x v="0"/>
  </r>
  <r>
    <n v="1"/>
    <x v="38"/>
    <x v="39"/>
    <x v="3"/>
    <x v="30"/>
    <x v="13"/>
    <x v="61"/>
    <x v="0"/>
    <x v="302"/>
    <n v="45"/>
    <x v="3"/>
    <x v="0"/>
    <x v="1"/>
    <x v="0"/>
    <x v="0"/>
  </r>
  <r>
    <n v="3"/>
    <x v="81"/>
    <x v="17"/>
    <x v="2"/>
    <x v="45"/>
    <x v="122"/>
    <x v="195"/>
    <x v="0"/>
    <x v="303"/>
    <n v="25"/>
    <x v="2"/>
    <x v="0"/>
    <x v="0"/>
    <x v="0"/>
    <x v="1"/>
  </r>
  <r>
    <n v="0"/>
    <x v="16"/>
    <x v="2"/>
    <x v="0"/>
    <x v="2"/>
    <x v="123"/>
    <x v="9"/>
    <x v="0"/>
    <x v="304"/>
    <n v="21"/>
    <x v="2"/>
    <x v="1"/>
    <x v="1"/>
    <x v="1"/>
    <x v="0"/>
  </r>
  <r>
    <n v="0"/>
    <x v="50"/>
    <x v="2"/>
    <x v="0"/>
    <x v="29"/>
    <x v="121"/>
    <x v="144"/>
    <x v="0"/>
    <x v="305"/>
    <n v="21"/>
    <x v="2"/>
    <x v="1"/>
    <x v="1"/>
    <x v="1"/>
    <x v="0"/>
  </r>
  <r>
    <n v="2"/>
    <x v="44"/>
    <x v="19"/>
    <x v="0"/>
    <x v="32"/>
    <x v="1"/>
    <x v="126"/>
    <x v="0"/>
    <x v="306"/>
    <n v="25"/>
    <x v="2"/>
    <x v="1"/>
    <x v="1"/>
    <x v="0"/>
    <x v="0"/>
  </r>
  <r>
    <n v="2"/>
    <x v="32"/>
    <x v="34"/>
    <x v="0"/>
    <x v="44"/>
    <x v="124"/>
    <x v="196"/>
    <x v="0"/>
    <x v="307"/>
    <n v="28"/>
    <x v="2"/>
    <x v="1"/>
    <x v="1"/>
    <x v="0"/>
    <x v="0"/>
  </r>
  <r>
    <n v="12"/>
    <x v="100"/>
    <x v="17"/>
    <x v="2"/>
    <x v="44"/>
    <x v="53"/>
    <x v="194"/>
    <x v="0"/>
    <x v="308"/>
    <n v="58"/>
    <x v="0"/>
    <x v="0"/>
    <x v="0"/>
    <x v="0"/>
    <x v="1"/>
  </r>
  <r>
    <n v="0"/>
    <x v="115"/>
    <x v="17"/>
    <x v="2"/>
    <x v="12"/>
    <x v="125"/>
    <x v="115"/>
    <x v="1"/>
    <x v="166"/>
    <n v="22"/>
    <x v="2"/>
    <x v="1"/>
    <x v="1"/>
    <x v="1"/>
    <x v="0"/>
  </r>
  <r>
    <n v="1"/>
    <x v="92"/>
    <x v="10"/>
    <x v="0"/>
    <x v="16"/>
    <x v="97"/>
    <x v="117"/>
    <x v="0"/>
    <x v="309"/>
    <n v="22"/>
    <x v="2"/>
    <x v="1"/>
    <x v="1"/>
    <x v="0"/>
    <x v="0"/>
  </r>
  <r>
    <n v="4"/>
    <x v="87"/>
    <x v="18"/>
    <x v="0"/>
    <x v="1"/>
    <x v="0"/>
    <x v="197"/>
    <x v="3"/>
    <x v="207"/>
    <n v="32"/>
    <x v="1"/>
    <x v="0"/>
    <x v="0"/>
    <x v="0"/>
    <x v="0"/>
  </r>
  <r>
    <n v="0"/>
    <x v="70"/>
    <x v="40"/>
    <x v="3"/>
    <x v="21"/>
    <x v="126"/>
    <x v="67"/>
    <x v="3"/>
    <x v="310"/>
    <n v="35"/>
    <x v="1"/>
    <x v="1"/>
    <x v="1"/>
    <x v="0"/>
    <x v="0"/>
  </r>
  <r>
    <n v="1"/>
    <x v="17"/>
    <x v="0"/>
    <x v="0"/>
    <x v="8"/>
    <x v="21"/>
    <x v="107"/>
    <x v="0"/>
    <x v="311"/>
    <n v="24"/>
    <x v="2"/>
    <x v="1"/>
    <x v="1"/>
    <x v="0"/>
    <x v="0"/>
  </r>
  <r>
    <n v="0"/>
    <x v="44"/>
    <x v="21"/>
    <x v="0"/>
    <x v="29"/>
    <x v="0"/>
    <x v="198"/>
    <x v="2"/>
    <x v="182"/>
    <n v="22"/>
    <x v="2"/>
    <x v="1"/>
    <x v="1"/>
    <x v="1"/>
    <x v="0"/>
  </r>
  <r>
    <n v="1"/>
    <x v="28"/>
    <x v="10"/>
    <x v="0"/>
    <x v="46"/>
    <x v="99"/>
    <x v="60"/>
    <x v="1"/>
    <x v="312"/>
    <n v="21"/>
    <x v="2"/>
    <x v="1"/>
    <x v="1"/>
    <x v="1"/>
    <x v="1"/>
  </r>
  <r>
    <n v="1"/>
    <x v="35"/>
    <x v="24"/>
    <x v="0"/>
    <x v="19"/>
    <x v="127"/>
    <x v="162"/>
    <x v="1"/>
    <x v="313"/>
    <n v="25"/>
    <x v="2"/>
    <x v="1"/>
    <x v="1"/>
    <x v="1"/>
    <x v="0"/>
  </r>
  <r>
    <n v="1"/>
    <x v="9"/>
    <x v="6"/>
    <x v="0"/>
    <x v="20"/>
    <x v="14"/>
    <x v="133"/>
    <x v="2"/>
    <x v="314"/>
    <n v="25"/>
    <x v="2"/>
    <x v="1"/>
    <x v="1"/>
    <x v="0"/>
    <x v="0"/>
  </r>
  <r>
    <n v="1"/>
    <x v="22"/>
    <x v="33"/>
    <x v="0"/>
    <x v="27"/>
    <x v="51"/>
    <x v="199"/>
    <x v="2"/>
    <x v="24"/>
    <n v="24"/>
    <x v="2"/>
    <x v="1"/>
    <x v="1"/>
    <x v="1"/>
    <x v="0"/>
  </r>
  <r>
    <n v="5"/>
    <x v="5"/>
    <x v="4"/>
    <x v="0"/>
    <x v="1"/>
    <x v="0"/>
    <x v="9"/>
    <x v="0"/>
    <x v="315"/>
    <n v="35"/>
    <x v="1"/>
    <x v="0"/>
    <x v="1"/>
    <x v="0"/>
    <x v="0"/>
  </r>
  <r>
    <n v="8"/>
    <x v="44"/>
    <x v="40"/>
    <x v="3"/>
    <x v="13"/>
    <x v="0"/>
    <x v="18"/>
    <x v="3"/>
    <x v="316"/>
    <n v="45"/>
    <x v="3"/>
    <x v="0"/>
    <x v="1"/>
    <x v="0"/>
    <x v="0"/>
  </r>
  <r>
    <n v="5"/>
    <x v="69"/>
    <x v="17"/>
    <x v="2"/>
    <x v="11"/>
    <x v="63"/>
    <x v="69"/>
    <x v="0"/>
    <x v="117"/>
    <n v="58"/>
    <x v="0"/>
    <x v="0"/>
    <x v="0"/>
    <x v="0"/>
    <x v="1"/>
  </r>
  <r>
    <n v="3"/>
    <x v="15"/>
    <x v="21"/>
    <x v="0"/>
    <x v="2"/>
    <x v="128"/>
    <x v="31"/>
    <x v="0"/>
    <x v="317"/>
    <n v="28"/>
    <x v="2"/>
    <x v="1"/>
    <x v="1"/>
    <x v="1"/>
    <x v="0"/>
  </r>
  <r>
    <n v="1"/>
    <x v="15"/>
    <x v="1"/>
    <x v="0"/>
    <x v="1"/>
    <x v="129"/>
    <x v="69"/>
    <x v="0"/>
    <x v="318"/>
    <n v="42"/>
    <x v="3"/>
    <x v="1"/>
    <x v="1"/>
    <x v="0"/>
    <x v="1"/>
  </r>
  <r>
    <n v="5"/>
    <x v="14"/>
    <x v="16"/>
    <x v="0"/>
    <x v="1"/>
    <x v="0"/>
    <x v="200"/>
    <x v="3"/>
    <x v="251"/>
    <n v="27"/>
    <x v="2"/>
    <x v="0"/>
    <x v="0"/>
    <x v="0"/>
    <x v="0"/>
  </r>
  <r>
    <n v="1"/>
    <x v="58"/>
    <x v="2"/>
    <x v="0"/>
    <x v="35"/>
    <x v="130"/>
    <x v="201"/>
    <x v="2"/>
    <x v="287"/>
    <n v="21"/>
    <x v="2"/>
    <x v="1"/>
    <x v="1"/>
    <x v="1"/>
    <x v="1"/>
  </r>
  <r>
    <n v="4"/>
    <x v="5"/>
    <x v="0"/>
    <x v="0"/>
    <x v="39"/>
    <x v="75"/>
    <x v="202"/>
    <x v="2"/>
    <x v="319"/>
    <n v="37"/>
    <x v="1"/>
    <x v="1"/>
    <x v="1"/>
    <x v="1"/>
    <x v="0"/>
  </r>
  <r>
    <n v="4"/>
    <x v="29"/>
    <x v="20"/>
    <x v="0"/>
    <x v="1"/>
    <x v="0"/>
    <x v="37"/>
    <x v="0"/>
    <x v="320"/>
    <n v="31"/>
    <x v="1"/>
    <x v="0"/>
    <x v="0"/>
    <x v="0"/>
    <x v="0"/>
  </r>
  <r>
    <n v="2"/>
    <x v="116"/>
    <x v="19"/>
    <x v="0"/>
    <x v="20"/>
    <x v="131"/>
    <x v="127"/>
    <x v="1"/>
    <x v="321"/>
    <n v="25"/>
    <x v="2"/>
    <x v="1"/>
    <x v="1"/>
    <x v="0"/>
    <x v="1"/>
  </r>
  <r>
    <n v="3"/>
    <x v="73"/>
    <x v="23"/>
    <x v="0"/>
    <x v="24"/>
    <x v="12"/>
    <x v="70"/>
    <x v="2"/>
    <x v="322"/>
    <n v="39"/>
    <x v="1"/>
    <x v="1"/>
    <x v="1"/>
    <x v="0"/>
    <x v="0"/>
  </r>
  <r>
    <n v="0"/>
    <x v="58"/>
    <x v="1"/>
    <x v="0"/>
    <x v="32"/>
    <x v="0"/>
    <x v="92"/>
    <x v="0"/>
    <x v="323"/>
    <n v="22"/>
    <x v="2"/>
    <x v="0"/>
    <x v="1"/>
    <x v="0"/>
    <x v="0"/>
  </r>
  <r>
    <n v="3"/>
    <x v="117"/>
    <x v="6"/>
    <x v="0"/>
    <x v="1"/>
    <x v="0"/>
    <x v="105"/>
    <x v="2"/>
    <x v="287"/>
    <n v="25"/>
    <x v="2"/>
    <x v="1"/>
    <x v="1"/>
    <x v="0"/>
    <x v="0"/>
  </r>
  <r>
    <n v="3"/>
    <x v="106"/>
    <x v="6"/>
    <x v="0"/>
    <x v="15"/>
    <x v="0"/>
    <x v="126"/>
    <x v="0"/>
    <x v="324"/>
    <n v="25"/>
    <x v="2"/>
    <x v="0"/>
    <x v="0"/>
    <x v="0"/>
    <x v="0"/>
  </r>
  <r>
    <n v="4"/>
    <x v="54"/>
    <x v="2"/>
    <x v="0"/>
    <x v="1"/>
    <x v="0"/>
    <x v="69"/>
    <x v="0"/>
    <x v="325"/>
    <n v="31"/>
    <x v="1"/>
    <x v="0"/>
    <x v="1"/>
    <x v="0"/>
    <x v="0"/>
  </r>
  <r>
    <n v="6"/>
    <x v="4"/>
    <x v="41"/>
    <x v="0"/>
    <x v="1"/>
    <x v="0"/>
    <x v="50"/>
    <x v="2"/>
    <x v="186"/>
    <n v="55"/>
    <x v="0"/>
    <x v="1"/>
    <x v="1"/>
    <x v="0"/>
    <x v="0"/>
  </r>
  <r>
    <n v="5"/>
    <x v="63"/>
    <x v="11"/>
    <x v="2"/>
    <x v="9"/>
    <x v="3"/>
    <x v="153"/>
    <x v="0"/>
    <x v="130"/>
    <n v="35"/>
    <x v="1"/>
    <x v="0"/>
    <x v="1"/>
    <x v="0"/>
    <x v="0"/>
  </r>
  <r>
    <n v="9"/>
    <x v="118"/>
    <x v="20"/>
    <x v="0"/>
    <x v="18"/>
    <x v="0"/>
    <x v="31"/>
    <x v="0"/>
    <x v="247"/>
    <n v="38"/>
    <x v="1"/>
    <x v="1"/>
    <x v="1"/>
    <x v="0"/>
    <x v="0"/>
  </r>
  <r>
    <n v="5"/>
    <x v="11"/>
    <x v="2"/>
    <x v="0"/>
    <x v="1"/>
    <x v="0"/>
    <x v="37"/>
    <x v="0"/>
    <x v="326"/>
    <n v="41"/>
    <x v="3"/>
    <x v="0"/>
    <x v="0"/>
    <x v="0"/>
    <x v="0"/>
  </r>
  <r>
    <n v="2"/>
    <x v="65"/>
    <x v="27"/>
    <x v="0"/>
    <x v="3"/>
    <x v="132"/>
    <x v="203"/>
    <x v="3"/>
    <x v="256"/>
    <n v="26"/>
    <x v="2"/>
    <x v="1"/>
    <x v="1"/>
    <x v="0"/>
    <x v="0"/>
  </r>
  <r>
    <n v="4"/>
    <x v="7"/>
    <x v="0"/>
    <x v="0"/>
    <x v="1"/>
    <x v="0"/>
    <x v="65"/>
    <x v="1"/>
    <x v="327"/>
    <n v="46"/>
    <x v="3"/>
    <x v="0"/>
    <x v="1"/>
    <x v="0"/>
    <x v="0"/>
  </r>
  <r>
    <n v="0"/>
    <x v="45"/>
    <x v="24"/>
    <x v="0"/>
    <x v="1"/>
    <x v="0"/>
    <x v="111"/>
    <x v="2"/>
    <x v="101"/>
    <n v="25"/>
    <x v="2"/>
    <x v="1"/>
    <x v="1"/>
    <x v="0"/>
    <x v="0"/>
  </r>
  <r>
    <n v="8"/>
    <x v="8"/>
    <x v="4"/>
    <x v="0"/>
    <x v="1"/>
    <x v="0"/>
    <x v="158"/>
    <x v="1"/>
    <x v="328"/>
    <n v="39"/>
    <x v="1"/>
    <x v="0"/>
    <x v="0"/>
    <x v="0"/>
    <x v="0"/>
  </r>
  <r>
    <n v="1"/>
    <x v="119"/>
    <x v="21"/>
    <x v="0"/>
    <x v="47"/>
    <x v="133"/>
    <x v="204"/>
    <x v="3"/>
    <x v="329"/>
    <n v="28"/>
    <x v="2"/>
    <x v="0"/>
    <x v="0"/>
    <x v="0"/>
    <x v="1"/>
  </r>
  <r>
    <n v="6"/>
    <x v="34"/>
    <x v="14"/>
    <x v="1"/>
    <x v="21"/>
    <x v="0"/>
    <x v="148"/>
    <x v="0"/>
    <x v="330"/>
    <n v="28"/>
    <x v="2"/>
    <x v="1"/>
    <x v="1"/>
    <x v="0"/>
    <x v="0"/>
  </r>
  <r>
    <n v="1"/>
    <x v="59"/>
    <x v="0"/>
    <x v="0"/>
    <x v="8"/>
    <x v="34"/>
    <x v="190"/>
    <x v="0"/>
    <x v="308"/>
    <n v="25"/>
    <x v="2"/>
    <x v="1"/>
    <x v="1"/>
    <x v="0"/>
    <x v="1"/>
  </r>
  <r>
    <n v="1"/>
    <x v="23"/>
    <x v="11"/>
    <x v="2"/>
    <x v="2"/>
    <x v="134"/>
    <x v="204"/>
    <x v="3"/>
    <x v="331"/>
    <n v="22"/>
    <x v="2"/>
    <x v="1"/>
    <x v="0"/>
    <x v="1"/>
    <x v="1"/>
  </r>
  <r>
    <n v="1"/>
    <x v="23"/>
    <x v="4"/>
    <x v="0"/>
    <x v="29"/>
    <x v="135"/>
    <x v="179"/>
    <x v="1"/>
    <x v="151"/>
    <n v="21"/>
    <x v="2"/>
    <x v="1"/>
    <x v="0"/>
    <x v="1"/>
    <x v="0"/>
  </r>
  <r>
    <n v="0"/>
    <x v="33"/>
    <x v="10"/>
    <x v="0"/>
    <x v="0"/>
    <x v="118"/>
    <x v="19"/>
    <x v="0"/>
    <x v="332"/>
    <n v="21"/>
    <x v="2"/>
    <x v="0"/>
    <x v="1"/>
    <x v="0"/>
    <x v="1"/>
  </r>
  <r>
    <n v="3"/>
    <x v="81"/>
    <x v="11"/>
    <x v="2"/>
    <x v="10"/>
    <x v="136"/>
    <x v="148"/>
    <x v="0"/>
    <x v="60"/>
    <n v="22"/>
    <x v="2"/>
    <x v="0"/>
    <x v="0"/>
    <x v="0"/>
    <x v="1"/>
  </r>
  <r>
    <n v="1"/>
    <x v="25"/>
    <x v="21"/>
    <x v="0"/>
    <x v="23"/>
    <x v="0"/>
    <x v="191"/>
    <x v="1"/>
    <x v="333"/>
    <n v="22"/>
    <x v="2"/>
    <x v="1"/>
    <x v="1"/>
    <x v="1"/>
    <x v="0"/>
  </r>
  <r>
    <n v="4"/>
    <x v="69"/>
    <x v="17"/>
    <x v="2"/>
    <x v="3"/>
    <x v="0"/>
    <x v="78"/>
    <x v="0"/>
    <x v="334"/>
    <n v="37"/>
    <x v="1"/>
    <x v="0"/>
    <x v="0"/>
    <x v="0"/>
    <x v="0"/>
  </r>
  <r>
    <n v="1"/>
    <x v="62"/>
    <x v="21"/>
    <x v="0"/>
    <x v="1"/>
    <x v="0"/>
    <x v="205"/>
    <x v="4"/>
    <x v="335"/>
    <n v="27"/>
    <x v="2"/>
    <x v="1"/>
    <x v="1"/>
    <x v="0"/>
    <x v="0"/>
  </r>
  <r>
    <n v="3"/>
    <x v="55"/>
    <x v="2"/>
    <x v="0"/>
    <x v="1"/>
    <x v="12"/>
    <x v="206"/>
    <x v="1"/>
    <x v="336"/>
    <n v="28"/>
    <x v="2"/>
    <x v="0"/>
    <x v="1"/>
    <x v="0"/>
    <x v="0"/>
  </r>
  <r>
    <n v="1"/>
    <x v="22"/>
    <x v="13"/>
    <x v="2"/>
    <x v="9"/>
    <x v="137"/>
    <x v="207"/>
    <x v="3"/>
    <x v="337"/>
    <n v="26"/>
    <x v="2"/>
    <x v="1"/>
    <x v="1"/>
    <x v="0"/>
    <x v="1"/>
  </r>
  <r>
    <n v="2"/>
    <x v="120"/>
    <x v="21"/>
    <x v="0"/>
    <x v="19"/>
    <x v="38"/>
    <x v="170"/>
    <x v="1"/>
    <x v="338"/>
    <n v="21"/>
    <x v="2"/>
    <x v="1"/>
    <x v="1"/>
    <x v="1"/>
    <x v="0"/>
  </r>
  <r>
    <n v="0"/>
    <x v="34"/>
    <x v="2"/>
    <x v="0"/>
    <x v="40"/>
    <x v="65"/>
    <x v="112"/>
    <x v="3"/>
    <x v="116"/>
    <n v="21"/>
    <x v="2"/>
    <x v="1"/>
    <x v="1"/>
    <x v="0"/>
    <x v="0"/>
  </r>
  <r>
    <n v="2"/>
    <x v="7"/>
    <x v="2"/>
    <x v="0"/>
    <x v="29"/>
    <x v="0"/>
    <x v="107"/>
    <x v="0"/>
    <x v="339"/>
    <n v="21"/>
    <x v="2"/>
    <x v="1"/>
    <x v="1"/>
    <x v="1"/>
    <x v="0"/>
  </r>
  <r>
    <n v="8"/>
    <x v="72"/>
    <x v="20"/>
    <x v="0"/>
    <x v="3"/>
    <x v="70"/>
    <x v="101"/>
    <x v="3"/>
    <x v="340"/>
    <n v="36"/>
    <x v="1"/>
    <x v="0"/>
    <x v="0"/>
    <x v="0"/>
    <x v="1"/>
  </r>
  <r>
    <n v="4"/>
    <x v="99"/>
    <x v="20"/>
    <x v="0"/>
    <x v="21"/>
    <x v="138"/>
    <x v="208"/>
    <x v="0"/>
    <x v="341"/>
    <n v="31"/>
    <x v="1"/>
    <x v="0"/>
    <x v="0"/>
    <x v="0"/>
    <x v="1"/>
  </r>
  <r>
    <n v="0"/>
    <x v="120"/>
    <x v="0"/>
    <x v="0"/>
    <x v="1"/>
    <x v="0"/>
    <x v="9"/>
    <x v="0"/>
    <x v="151"/>
    <n v="25"/>
    <x v="2"/>
    <x v="1"/>
    <x v="1"/>
    <x v="0"/>
    <x v="0"/>
  </r>
  <r>
    <n v="1"/>
    <x v="97"/>
    <x v="2"/>
    <x v="0"/>
    <x v="8"/>
    <x v="106"/>
    <x v="29"/>
    <x v="0"/>
    <x v="342"/>
    <n v="38"/>
    <x v="1"/>
    <x v="0"/>
    <x v="0"/>
    <x v="0"/>
    <x v="1"/>
  </r>
  <r>
    <n v="0"/>
    <x v="98"/>
    <x v="15"/>
    <x v="1"/>
    <x v="40"/>
    <x v="48"/>
    <x v="112"/>
    <x v="3"/>
    <x v="223"/>
    <n v="26"/>
    <x v="2"/>
    <x v="1"/>
    <x v="1"/>
    <x v="0"/>
    <x v="0"/>
  </r>
  <r>
    <n v="1"/>
    <x v="54"/>
    <x v="17"/>
    <x v="2"/>
    <x v="18"/>
    <x v="106"/>
    <x v="153"/>
    <x v="0"/>
    <x v="343"/>
    <n v="43"/>
    <x v="3"/>
    <x v="0"/>
    <x v="1"/>
    <x v="0"/>
    <x v="1"/>
  </r>
  <r>
    <n v="2"/>
    <x v="20"/>
    <x v="0"/>
    <x v="0"/>
    <x v="1"/>
    <x v="0"/>
    <x v="28"/>
    <x v="2"/>
    <x v="344"/>
    <n v="23"/>
    <x v="2"/>
    <x v="1"/>
    <x v="1"/>
    <x v="0"/>
    <x v="0"/>
  </r>
  <r>
    <n v="3"/>
    <x v="3"/>
    <x v="4"/>
    <x v="0"/>
    <x v="41"/>
    <x v="108"/>
    <x v="131"/>
    <x v="0"/>
    <x v="16"/>
    <n v="38"/>
    <x v="1"/>
    <x v="1"/>
    <x v="1"/>
    <x v="1"/>
    <x v="0"/>
  </r>
  <r>
    <n v="1"/>
    <x v="64"/>
    <x v="4"/>
    <x v="0"/>
    <x v="14"/>
    <x v="139"/>
    <x v="15"/>
    <x v="0"/>
    <x v="272"/>
    <n v="22"/>
    <x v="2"/>
    <x v="1"/>
    <x v="1"/>
    <x v="1"/>
    <x v="0"/>
  </r>
  <r>
    <n v="2"/>
    <x v="12"/>
    <x v="18"/>
    <x v="0"/>
    <x v="1"/>
    <x v="0"/>
    <x v="5"/>
    <x v="1"/>
    <x v="3"/>
    <n v="29"/>
    <x v="2"/>
    <x v="1"/>
    <x v="1"/>
    <x v="0"/>
    <x v="0"/>
  </r>
  <r>
    <n v="1"/>
    <x v="35"/>
    <x v="21"/>
    <x v="0"/>
    <x v="46"/>
    <x v="0"/>
    <x v="209"/>
    <x v="2"/>
    <x v="345"/>
    <n v="36"/>
    <x v="1"/>
    <x v="1"/>
    <x v="1"/>
    <x v="1"/>
    <x v="0"/>
  </r>
  <r>
    <n v="0"/>
    <x v="52"/>
    <x v="0"/>
    <x v="0"/>
    <x v="1"/>
    <x v="0"/>
    <x v="204"/>
    <x v="3"/>
    <x v="24"/>
    <n v="29"/>
    <x v="2"/>
    <x v="0"/>
    <x v="0"/>
    <x v="0"/>
    <x v="0"/>
  </r>
  <r>
    <n v="12"/>
    <x v="100"/>
    <x v="25"/>
    <x v="2"/>
    <x v="10"/>
    <x v="0"/>
    <x v="93"/>
    <x v="0"/>
    <x v="167"/>
    <n v="41"/>
    <x v="3"/>
    <x v="1"/>
    <x v="0"/>
    <x v="0"/>
    <x v="0"/>
  </r>
  <r>
    <n v="5"/>
    <x v="24"/>
    <x v="18"/>
    <x v="0"/>
    <x v="1"/>
    <x v="0"/>
    <x v="119"/>
    <x v="1"/>
    <x v="252"/>
    <n v="28"/>
    <x v="2"/>
    <x v="1"/>
    <x v="0"/>
    <x v="0"/>
    <x v="0"/>
  </r>
  <r>
    <n v="1"/>
    <x v="25"/>
    <x v="6"/>
    <x v="0"/>
    <x v="12"/>
    <x v="0"/>
    <x v="205"/>
    <x v="4"/>
    <x v="346"/>
    <n v="21"/>
    <x v="2"/>
    <x v="1"/>
    <x v="1"/>
    <x v="1"/>
    <x v="0"/>
  </r>
  <r>
    <n v="6"/>
    <x v="17"/>
    <x v="13"/>
    <x v="2"/>
    <x v="1"/>
    <x v="0"/>
    <x v="186"/>
    <x v="0"/>
    <x v="347"/>
    <n v="31"/>
    <x v="1"/>
    <x v="1"/>
    <x v="1"/>
    <x v="0"/>
    <x v="0"/>
  </r>
  <r>
    <n v="0"/>
    <x v="13"/>
    <x v="36"/>
    <x v="3"/>
    <x v="18"/>
    <x v="0"/>
    <x v="92"/>
    <x v="0"/>
    <x v="348"/>
    <n v="41"/>
    <x v="3"/>
    <x v="0"/>
    <x v="0"/>
    <x v="0"/>
    <x v="0"/>
  </r>
  <r>
    <n v="2"/>
    <x v="62"/>
    <x v="1"/>
    <x v="0"/>
    <x v="2"/>
    <x v="51"/>
    <x v="210"/>
    <x v="0"/>
    <x v="349"/>
    <n v="22"/>
    <x v="2"/>
    <x v="1"/>
    <x v="1"/>
    <x v="1"/>
    <x v="0"/>
  </r>
  <r>
    <n v="4"/>
    <x v="27"/>
    <x v="2"/>
    <x v="0"/>
    <x v="22"/>
    <x v="78"/>
    <x v="36"/>
    <x v="0"/>
    <x v="350"/>
    <n v="24"/>
    <x v="2"/>
    <x v="1"/>
    <x v="1"/>
    <x v="0"/>
    <x v="0"/>
  </r>
  <r>
    <n v="8"/>
    <x v="84"/>
    <x v="6"/>
    <x v="0"/>
    <x v="1"/>
    <x v="0"/>
    <x v="8"/>
    <x v="0"/>
    <x v="351"/>
    <n v="33"/>
    <x v="1"/>
    <x v="0"/>
    <x v="1"/>
    <x v="0"/>
    <x v="0"/>
  </r>
  <r>
    <n v="4"/>
    <x v="27"/>
    <x v="24"/>
    <x v="0"/>
    <x v="39"/>
    <x v="0"/>
    <x v="46"/>
    <x v="1"/>
    <x v="222"/>
    <n v="30"/>
    <x v="1"/>
    <x v="0"/>
    <x v="1"/>
    <x v="1"/>
    <x v="0"/>
  </r>
  <r>
    <n v="0"/>
    <x v="37"/>
    <x v="20"/>
    <x v="0"/>
    <x v="48"/>
    <x v="140"/>
    <x v="211"/>
    <x v="3"/>
    <x v="352"/>
    <n v="25"/>
    <x v="2"/>
    <x v="0"/>
    <x v="0"/>
    <x v="0"/>
    <x v="0"/>
  </r>
  <r>
    <n v="1"/>
    <x v="15"/>
    <x v="0"/>
    <x v="0"/>
    <x v="39"/>
    <x v="19"/>
    <x v="167"/>
    <x v="1"/>
    <x v="353"/>
    <n v="28"/>
    <x v="2"/>
    <x v="1"/>
    <x v="1"/>
    <x v="1"/>
    <x v="0"/>
  </r>
  <r>
    <n v="0"/>
    <x v="54"/>
    <x v="9"/>
    <x v="2"/>
    <x v="4"/>
    <x v="52"/>
    <x v="192"/>
    <x v="0"/>
    <x v="354"/>
    <n v="26"/>
    <x v="2"/>
    <x v="1"/>
    <x v="1"/>
    <x v="0"/>
    <x v="0"/>
  </r>
  <r>
    <n v="0"/>
    <x v="91"/>
    <x v="2"/>
    <x v="0"/>
    <x v="16"/>
    <x v="36"/>
    <x v="0"/>
    <x v="0"/>
    <x v="355"/>
    <n v="22"/>
    <x v="2"/>
    <x v="0"/>
    <x v="1"/>
    <x v="0"/>
    <x v="0"/>
  </r>
  <r>
    <n v="0"/>
    <x v="80"/>
    <x v="4"/>
    <x v="0"/>
    <x v="19"/>
    <x v="54"/>
    <x v="8"/>
    <x v="0"/>
    <x v="356"/>
    <n v="26"/>
    <x v="2"/>
    <x v="1"/>
    <x v="1"/>
    <x v="1"/>
    <x v="0"/>
  </r>
  <r>
    <n v="1"/>
    <x v="117"/>
    <x v="2"/>
    <x v="0"/>
    <x v="27"/>
    <x v="141"/>
    <x v="212"/>
    <x v="2"/>
    <x v="357"/>
    <n v="23"/>
    <x v="2"/>
    <x v="1"/>
    <x v="1"/>
    <x v="1"/>
    <x v="0"/>
  </r>
  <r>
    <n v="2"/>
    <x v="67"/>
    <x v="6"/>
    <x v="0"/>
    <x v="1"/>
    <x v="0"/>
    <x v="65"/>
    <x v="1"/>
    <x v="156"/>
    <n v="23"/>
    <x v="2"/>
    <x v="0"/>
    <x v="1"/>
    <x v="0"/>
    <x v="0"/>
  </r>
  <r>
    <n v="0"/>
    <x v="103"/>
    <x v="21"/>
    <x v="0"/>
    <x v="3"/>
    <x v="70"/>
    <x v="185"/>
    <x v="0"/>
    <x v="358"/>
    <n v="25"/>
    <x v="2"/>
    <x v="1"/>
    <x v="1"/>
    <x v="0"/>
    <x v="1"/>
  </r>
  <r>
    <n v="2"/>
    <x v="22"/>
    <x v="0"/>
    <x v="0"/>
    <x v="1"/>
    <x v="0"/>
    <x v="64"/>
    <x v="2"/>
    <x v="359"/>
    <n v="72"/>
    <x v="5"/>
    <x v="1"/>
    <x v="1"/>
    <x v="0"/>
    <x v="0"/>
  </r>
  <r>
    <n v="2"/>
    <x v="15"/>
    <x v="33"/>
    <x v="0"/>
    <x v="30"/>
    <x v="62"/>
    <x v="145"/>
    <x v="0"/>
    <x v="360"/>
    <n v="24"/>
    <x v="2"/>
    <x v="1"/>
    <x v="1"/>
    <x v="0"/>
    <x v="0"/>
  </r>
  <r>
    <n v="14"/>
    <x v="121"/>
    <x v="24"/>
    <x v="0"/>
    <x v="8"/>
    <x v="0"/>
    <x v="0"/>
    <x v="0"/>
    <x v="361"/>
    <n v="38"/>
    <x v="1"/>
    <x v="0"/>
    <x v="0"/>
    <x v="0"/>
    <x v="0"/>
  </r>
  <r>
    <n v="1"/>
    <x v="98"/>
    <x v="33"/>
    <x v="0"/>
    <x v="1"/>
    <x v="0"/>
    <x v="213"/>
    <x v="1"/>
    <x v="141"/>
    <n v="62"/>
    <x v="4"/>
    <x v="1"/>
    <x v="1"/>
    <x v="0"/>
    <x v="0"/>
  </r>
  <r>
    <n v="5"/>
    <x v="105"/>
    <x v="21"/>
    <x v="0"/>
    <x v="30"/>
    <x v="33"/>
    <x v="214"/>
    <x v="0"/>
    <x v="362"/>
    <n v="24"/>
    <x v="2"/>
    <x v="1"/>
    <x v="1"/>
    <x v="0"/>
    <x v="0"/>
  </r>
  <r>
    <n v="10"/>
    <x v="0"/>
    <x v="11"/>
    <x v="2"/>
    <x v="45"/>
    <x v="142"/>
    <x v="10"/>
    <x v="0"/>
    <x v="363"/>
    <n v="51"/>
    <x v="0"/>
    <x v="0"/>
    <x v="0"/>
    <x v="0"/>
    <x v="1"/>
  </r>
  <r>
    <n v="9"/>
    <x v="67"/>
    <x v="4"/>
    <x v="0"/>
    <x v="10"/>
    <x v="139"/>
    <x v="158"/>
    <x v="1"/>
    <x v="364"/>
    <n v="81"/>
    <x v="5"/>
    <x v="1"/>
    <x v="1"/>
    <x v="0"/>
    <x v="0"/>
  </r>
  <r>
    <n v="9"/>
    <x v="80"/>
    <x v="0"/>
    <x v="0"/>
    <x v="29"/>
    <x v="80"/>
    <x v="172"/>
    <x v="2"/>
    <x v="365"/>
    <n v="48"/>
    <x v="3"/>
    <x v="1"/>
    <x v="1"/>
    <x v="1"/>
    <x v="0"/>
  </r>
  <r>
    <n v="1"/>
    <x v="43"/>
    <x v="24"/>
    <x v="0"/>
    <x v="1"/>
    <x v="0"/>
    <x v="187"/>
    <x v="2"/>
    <x v="366"/>
    <n v="26"/>
    <x v="2"/>
    <x v="1"/>
    <x v="1"/>
    <x v="0"/>
    <x v="0"/>
  </r>
  <r>
    <n v="8"/>
    <x v="61"/>
    <x v="6"/>
    <x v="0"/>
    <x v="32"/>
    <x v="50"/>
    <x v="7"/>
    <x v="0"/>
    <x v="367"/>
    <n v="39"/>
    <x v="1"/>
    <x v="1"/>
    <x v="1"/>
    <x v="0"/>
    <x v="0"/>
  </r>
  <r>
    <n v="5"/>
    <x v="30"/>
    <x v="20"/>
    <x v="0"/>
    <x v="8"/>
    <x v="0"/>
    <x v="34"/>
    <x v="1"/>
    <x v="60"/>
    <n v="37"/>
    <x v="1"/>
    <x v="1"/>
    <x v="1"/>
    <x v="0"/>
    <x v="0"/>
  </r>
  <r>
    <n v="10"/>
    <x v="7"/>
    <x v="35"/>
    <x v="1"/>
    <x v="1"/>
    <x v="0"/>
    <x v="35"/>
    <x v="2"/>
    <x v="368"/>
    <n v="34"/>
    <x v="1"/>
    <x v="1"/>
    <x v="1"/>
    <x v="0"/>
    <x v="0"/>
  </r>
  <r>
    <n v="0"/>
    <x v="77"/>
    <x v="23"/>
    <x v="0"/>
    <x v="27"/>
    <x v="62"/>
    <x v="187"/>
    <x v="2"/>
    <x v="117"/>
    <n v="21"/>
    <x v="2"/>
    <x v="1"/>
    <x v="1"/>
    <x v="1"/>
    <x v="0"/>
  </r>
  <r>
    <n v="0"/>
    <x v="61"/>
    <x v="34"/>
    <x v="0"/>
    <x v="25"/>
    <x v="22"/>
    <x v="165"/>
    <x v="1"/>
    <x v="369"/>
    <n v="22"/>
    <x v="2"/>
    <x v="1"/>
    <x v="1"/>
    <x v="1"/>
    <x v="0"/>
  </r>
  <r>
    <n v="0"/>
    <x v="25"/>
    <x v="2"/>
    <x v="0"/>
    <x v="13"/>
    <x v="30"/>
    <x v="186"/>
    <x v="0"/>
    <x v="370"/>
    <n v="25"/>
    <x v="2"/>
    <x v="1"/>
    <x v="1"/>
    <x v="0"/>
    <x v="0"/>
  </r>
  <r>
    <n v="8"/>
    <x v="80"/>
    <x v="0"/>
    <x v="0"/>
    <x v="1"/>
    <x v="0"/>
    <x v="15"/>
    <x v="0"/>
    <x v="18"/>
    <n v="38"/>
    <x v="1"/>
    <x v="0"/>
    <x v="1"/>
    <x v="0"/>
    <x v="0"/>
  </r>
  <r>
    <n v="6"/>
    <x v="85"/>
    <x v="20"/>
    <x v="0"/>
    <x v="9"/>
    <x v="13"/>
    <x v="215"/>
    <x v="3"/>
    <x v="371"/>
    <n v="27"/>
    <x v="2"/>
    <x v="1"/>
    <x v="0"/>
    <x v="0"/>
    <x v="0"/>
  </r>
  <r>
    <n v="1"/>
    <x v="69"/>
    <x v="17"/>
    <x v="2"/>
    <x v="32"/>
    <x v="0"/>
    <x v="216"/>
    <x v="3"/>
    <x v="372"/>
    <n v="28"/>
    <x v="2"/>
    <x v="1"/>
    <x v="0"/>
    <x v="0"/>
    <x v="0"/>
  </r>
  <r>
    <n v="0"/>
    <x v="4"/>
    <x v="6"/>
    <x v="0"/>
    <x v="7"/>
    <x v="0"/>
    <x v="36"/>
    <x v="0"/>
    <x v="373"/>
    <n v="22"/>
    <x v="2"/>
    <x v="1"/>
    <x v="1"/>
    <x v="0"/>
    <x v="0"/>
  </r>
  <r>
    <n v="0"/>
    <x v="22"/>
    <x v="1"/>
    <x v="0"/>
    <x v="22"/>
    <x v="0"/>
    <x v="217"/>
    <x v="0"/>
    <x v="248"/>
    <n v="22"/>
    <x v="2"/>
    <x v="1"/>
    <x v="1"/>
    <x v="0"/>
    <x v="0"/>
  </r>
  <r>
    <n v="7"/>
    <x v="63"/>
    <x v="14"/>
    <x v="1"/>
    <x v="1"/>
    <x v="0"/>
    <x v="119"/>
    <x v="1"/>
    <x v="374"/>
    <n v="50"/>
    <x v="0"/>
    <x v="1"/>
    <x v="1"/>
    <x v="0"/>
    <x v="0"/>
  </r>
  <r>
    <n v="4"/>
    <x v="53"/>
    <x v="2"/>
    <x v="0"/>
    <x v="1"/>
    <x v="0"/>
    <x v="65"/>
    <x v="1"/>
    <x v="375"/>
    <n v="24"/>
    <x v="2"/>
    <x v="1"/>
    <x v="1"/>
    <x v="0"/>
    <x v="0"/>
  </r>
  <r>
    <n v="0"/>
    <x v="4"/>
    <x v="11"/>
    <x v="2"/>
    <x v="22"/>
    <x v="0"/>
    <x v="110"/>
    <x v="1"/>
    <x v="69"/>
    <n v="59"/>
    <x v="0"/>
    <x v="1"/>
    <x v="1"/>
    <x v="0"/>
    <x v="0"/>
  </r>
  <r>
    <n v="2"/>
    <x v="44"/>
    <x v="9"/>
    <x v="2"/>
    <x v="4"/>
    <x v="143"/>
    <x v="52"/>
    <x v="0"/>
    <x v="376"/>
    <n v="29"/>
    <x v="2"/>
    <x v="0"/>
    <x v="1"/>
    <x v="0"/>
    <x v="1"/>
  </r>
  <r>
    <n v="7"/>
    <x v="53"/>
    <x v="16"/>
    <x v="0"/>
    <x v="36"/>
    <x v="14"/>
    <x v="82"/>
    <x v="2"/>
    <x v="377"/>
    <n v="31"/>
    <x v="1"/>
    <x v="1"/>
    <x v="1"/>
    <x v="1"/>
    <x v="0"/>
  </r>
  <r>
    <n v="8"/>
    <x v="19"/>
    <x v="4"/>
    <x v="0"/>
    <x v="7"/>
    <x v="97"/>
    <x v="158"/>
    <x v="1"/>
    <x v="378"/>
    <n v="39"/>
    <x v="1"/>
    <x v="1"/>
    <x v="1"/>
    <x v="0"/>
    <x v="0"/>
  </r>
  <r>
    <n v="4"/>
    <x v="79"/>
    <x v="26"/>
    <x v="2"/>
    <x v="15"/>
    <x v="0"/>
    <x v="47"/>
    <x v="1"/>
    <x v="379"/>
    <n v="63"/>
    <x v="4"/>
    <x v="1"/>
    <x v="1"/>
    <x v="0"/>
    <x v="0"/>
  </r>
  <r>
    <n v="3"/>
    <x v="29"/>
    <x v="6"/>
    <x v="0"/>
    <x v="8"/>
    <x v="144"/>
    <x v="140"/>
    <x v="0"/>
    <x v="47"/>
    <n v="35"/>
    <x v="1"/>
    <x v="0"/>
    <x v="0"/>
    <x v="0"/>
    <x v="1"/>
  </r>
  <r>
    <n v="0"/>
    <x v="65"/>
    <x v="13"/>
    <x v="2"/>
    <x v="16"/>
    <x v="0"/>
    <x v="218"/>
    <x v="0"/>
    <x v="273"/>
    <n v="29"/>
    <x v="2"/>
    <x v="1"/>
    <x v="1"/>
    <x v="0"/>
    <x v="0"/>
  </r>
  <r>
    <n v="4"/>
    <x v="1"/>
    <x v="19"/>
    <x v="0"/>
    <x v="29"/>
    <x v="50"/>
    <x v="165"/>
    <x v="1"/>
    <x v="301"/>
    <n v="28"/>
    <x v="2"/>
    <x v="1"/>
    <x v="1"/>
    <x v="1"/>
    <x v="0"/>
  </r>
  <r>
    <n v="0"/>
    <x v="50"/>
    <x v="17"/>
    <x v="2"/>
    <x v="15"/>
    <x v="0"/>
    <x v="38"/>
    <x v="0"/>
    <x v="343"/>
    <n v="23"/>
    <x v="2"/>
    <x v="1"/>
    <x v="1"/>
    <x v="0"/>
    <x v="0"/>
  </r>
  <r>
    <n v="0"/>
    <x v="26"/>
    <x v="0"/>
    <x v="0"/>
    <x v="1"/>
    <x v="0"/>
    <x v="118"/>
    <x v="3"/>
    <x v="380"/>
    <n v="31"/>
    <x v="1"/>
    <x v="0"/>
    <x v="0"/>
    <x v="0"/>
    <x v="0"/>
  </r>
  <r>
    <n v="0"/>
    <x v="98"/>
    <x v="21"/>
    <x v="0"/>
    <x v="17"/>
    <x v="145"/>
    <x v="219"/>
    <x v="3"/>
    <x v="381"/>
    <n v="24"/>
    <x v="2"/>
    <x v="0"/>
    <x v="1"/>
    <x v="0"/>
    <x v="1"/>
  </r>
  <r>
    <n v="1"/>
    <x v="12"/>
    <x v="24"/>
    <x v="0"/>
    <x v="9"/>
    <x v="146"/>
    <x v="220"/>
    <x v="3"/>
    <x v="382"/>
    <n v="21"/>
    <x v="2"/>
    <x v="1"/>
    <x v="1"/>
    <x v="0"/>
    <x v="1"/>
  </r>
  <r>
    <n v="0"/>
    <x v="81"/>
    <x v="20"/>
    <x v="0"/>
    <x v="3"/>
    <x v="147"/>
    <x v="221"/>
    <x v="3"/>
    <x v="383"/>
    <n v="58"/>
    <x v="0"/>
    <x v="1"/>
    <x v="0"/>
    <x v="0"/>
    <x v="1"/>
  </r>
  <r>
    <n v="4"/>
    <x v="20"/>
    <x v="0"/>
    <x v="0"/>
    <x v="36"/>
    <x v="0"/>
    <x v="5"/>
    <x v="1"/>
    <x v="43"/>
    <n v="28"/>
    <x v="2"/>
    <x v="1"/>
    <x v="1"/>
    <x v="1"/>
    <x v="0"/>
  </r>
  <r>
    <n v="8"/>
    <x v="96"/>
    <x v="9"/>
    <x v="2"/>
    <x v="1"/>
    <x v="0"/>
    <x v="88"/>
    <x v="1"/>
    <x v="16"/>
    <n v="67"/>
    <x v="4"/>
    <x v="1"/>
    <x v="0"/>
    <x v="0"/>
    <x v="0"/>
  </r>
  <r>
    <n v="2"/>
    <x v="62"/>
    <x v="29"/>
    <x v="0"/>
    <x v="30"/>
    <x v="121"/>
    <x v="186"/>
    <x v="0"/>
    <x v="384"/>
    <n v="24"/>
    <x v="2"/>
    <x v="1"/>
    <x v="1"/>
    <x v="0"/>
    <x v="0"/>
  </r>
  <r>
    <n v="2"/>
    <x v="3"/>
    <x v="14"/>
    <x v="1"/>
    <x v="8"/>
    <x v="0"/>
    <x v="222"/>
    <x v="0"/>
    <x v="385"/>
    <n v="42"/>
    <x v="3"/>
    <x v="1"/>
    <x v="1"/>
    <x v="0"/>
    <x v="0"/>
  </r>
  <r>
    <n v="4"/>
    <x v="20"/>
    <x v="21"/>
    <x v="0"/>
    <x v="7"/>
    <x v="0"/>
    <x v="61"/>
    <x v="0"/>
    <x v="386"/>
    <n v="33"/>
    <x v="1"/>
    <x v="1"/>
    <x v="1"/>
    <x v="0"/>
    <x v="0"/>
  </r>
  <r>
    <n v="4"/>
    <x v="9"/>
    <x v="6"/>
    <x v="0"/>
    <x v="19"/>
    <x v="95"/>
    <x v="65"/>
    <x v="1"/>
    <x v="387"/>
    <n v="45"/>
    <x v="3"/>
    <x v="0"/>
    <x v="1"/>
    <x v="1"/>
    <x v="0"/>
  </r>
  <r>
    <n v="3"/>
    <x v="64"/>
    <x v="0"/>
    <x v="0"/>
    <x v="1"/>
    <x v="0"/>
    <x v="9"/>
    <x v="0"/>
    <x v="388"/>
    <n v="22"/>
    <x v="2"/>
    <x v="1"/>
    <x v="1"/>
    <x v="0"/>
    <x v="0"/>
  </r>
  <r>
    <n v="6"/>
    <x v="14"/>
    <x v="4"/>
    <x v="0"/>
    <x v="1"/>
    <x v="0"/>
    <x v="1"/>
    <x v="1"/>
    <x v="57"/>
    <n v="66"/>
    <x v="4"/>
    <x v="1"/>
    <x v="0"/>
    <x v="0"/>
    <x v="0"/>
  </r>
  <r>
    <n v="5"/>
    <x v="10"/>
    <x v="21"/>
    <x v="0"/>
    <x v="1"/>
    <x v="0"/>
    <x v="170"/>
    <x v="1"/>
    <x v="385"/>
    <n v="30"/>
    <x v="1"/>
    <x v="1"/>
    <x v="1"/>
    <x v="0"/>
    <x v="0"/>
  </r>
  <r>
    <n v="2"/>
    <x v="66"/>
    <x v="0"/>
    <x v="0"/>
    <x v="12"/>
    <x v="38"/>
    <x v="13"/>
    <x v="0"/>
    <x v="389"/>
    <n v="25"/>
    <x v="2"/>
    <x v="1"/>
    <x v="1"/>
    <x v="1"/>
    <x v="0"/>
  </r>
  <r>
    <n v="7"/>
    <x v="122"/>
    <x v="6"/>
    <x v="0"/>
    <x v="10"/>
    <x v="48"/>
    <x v="162"/>
    <x v="1"/>
    <x v="390"/>
    <n v="55"/>
    <x v="0"/>
    <x v="0"/>
    <x v="0"/>
    <x v="0"/>
    <x v="0"/>
  </r>
  <r>
    <n v="6"/>
    <x v="85"/>
    <x v="4"/>
    <x v="0"/>
    <x v="3"/>
    <x v="148"/>
    <x v="74"/>
    <x v="1"/>
    <x v="259"/>
    <n v="39"/>
    <x v="1"/>
    <x v="1"/>
    <x v="0"/>
    <x v="0"/>
    <x v="1"/>
  </r>
  <r>
    <n v="2"/>
    <x v="27"/>
    <x v="14"/>
    <x v="1"/>
    <x v="5"/>
    <x v="33"/>
    <x v="115"/>
    <x v="1"/>
    <x v="265"/>
    <n v="21"/>
    <x v="2"/>
    <x v="1"/>
    <x v="1"/>
    <x v="1"/>
    <x v="0"/>
  </r>
  <r>
    <n v="3"/>
    <x v="50"/>
    <x v="0"/>
    <x v="0"/>
    <x v="3"/>
    <x v="0"/>
    <x v="117"/>
    <x v="0"/>
    <x v="31"/>
    <n v="28"/>
    <x v="2"/>
    <x v="1"/>
    <x v="1"/>
    <x v="0"/>
    <x v="0"/>
  </r>
  <r>
    <n v="6"/>
    <x v="27"/>
    <x v="21"/>
    <x v="0"/>
    <x v="9"/>
    <x v="0"/>
    <x v="87"/>
    <x v="0"/>
    <x v="347"/>
    <n v="41"/>
    <x v="3"/>
    <x v="0"/>
    <x v="1"/>
    <x v="0"/>
    <x v="0"/>
  </r>
  <r>
    <n v="7"/>
    <x v="120"/>
    <x v="2"/>
    <x v="0"/>
    <x v="18"/>
    <x v="149"/>
    <x v="94"/>
    <x v="0"/>
    <x v="391"/>
    <n v="41"/>
    <x v="3"/>
    <x v="1"/>
    <x v="1"/>
    <x v="0"/>
    <x v="0"/>
  </r>
  <r>
    <n v="3"/>
    <x v="73"/>
    <x v="20"/>
    <x v="0"/>
    <x v="21"/>
    <x v="0"/>
    <x v="223"/>
    <x v="0"/>
    <x v="207"/>
    <n v="40"/>
    <x v="3"/>
    <x v="1"/>
    <x v="1"/>
    <x v="0"/>
    <x v="0"/>
  </r>
  <r>
    <n v="10"/>
    <x v="93"/>
    <x v="17"/>
    <x v="2"/>
    <x v="1"/>
    <x v="0"/>
    <x v="94"/>
    <x v="0"/>
    <x v="23"/>
    <n v="38"/>
    <x v="1"/>
    <x v="1"/>
    <x v="1"/>
    <x v="0"/>
    <x v="0"/>
  </r>
  <r>
    <n v="0"/>
    <x v="37"/>
    <x v="14"/>
    <x v="1"/>
    <x v="11"/>
    <x v="31"/>
    <x v="192"/>
    <x v="0"/>
    <x v="392"/>
    <n v="35"/>
    <x v="1"/>
    <x v="0"/>
    <x v="0"/>
    <x v="0"/>
    <x v="0"/>
  </r>
  <r>
    <n v="1"/>
    <x v="95"/>
    <x v="10"/>
    <x v="0"/>
    <x v="2"/>
    <x v="137"/>
    <x v="66"/>
    <x v="1"/>
    <x v="255"/>
    <n v="21"/>
    <x v="2"/>
    <x v="1"/>
    <x v="1"/>
    <x v="1"/>
    <x v="1"/>
  </r>
  <r>
    <n v="2"/>
    <x v="50"/>
    <x v="5"/>
    <x v="0"/>
    <x v="2"/>
    <x v="38"/>
    <x v="131"/>
    <x v="0"/>
    <x v="393"/>
    <n v="21"/>
    <x v="2"/>
    <x v="1"/>
    <x v="1"/>
    <x v="1"/>
    <x v="0"/>
  </r>
  <r>
    <n v="8"/>
    <x v="80"/>
    <x v="20"/>
    <x v="0"/>
    <x v="1"/>
    <x v="0"/>
    <x v="59"/>
    <x v="1"/>
    <x v="394"/>
    <n v="64"/>
    <x v="4"/>
    <x v="1"/>
    <x v="1"/>
    <x v="0"/>
    <x v="0"/>
  </r>
  <r>
    <n v="12"/>
    <x v="50"/>
    <x v="0"/>
    <x v="0"/>
    <x v="15"/>
    <x v="0"/>
    <x v="46"/>
    <x v="1"/>
    <x v="395"/>
    <n v="46"/>
    <x v="3"/>
    <x v="0"/>
    <x v="1"/>
    <x v="0"/>
    <x v="0"/>
  </r>
  <r>
    <n v="0"/>
    <x v="12"/>
    <x v="24"/>
    <x v="0"/>
    <x v="36"/>
    <x v="70"/>
    <x v="202"/>
    <x v="2"/>
    <x v="99"/>
    <n v="21"/>
    <x v="2"/>
    <x v="1"/>
    <x v="1"/>
    <x v="1"/>
    <x v="1"/>
  </r>
  <r>
    <n v="9"/>
    <x v="103"/>
    <x v="21"/>
    <x v="0"/>
    <x v="1"/>
    <x v="0"/>
    <x v="50"/>
    <x v="2"/>
    <x v="231"/>
    <n v="58"/>
    <x v="0"/>
    <x v="1"/>
    <x v="1"/>
    <x v="0"/>
    <x v="0"/>
  </r>
  <r>
    <n v="2"/>
    <x v="103"/>
    <x v="24"/>
    <x v="0"/>
    <x v="1"/>
    <x v="0"/>
    <x v="110"/>
    <x v="1"/>
    <x v="396"/>
    <n v="22"/>
    <x v="2"/>
    <x v="1"/>
    <x v="1"/>
    <x v="0"/>
    <x v="0"/>
  </r>
  <r>
    <n v="3"/>
    <x v="20"/>
    <x v="33"/>
    <x v="0"/>
    <x v="5"/>
    <x v="150"/>
    <x v="5"/>
    <x v="1"/>
    <x v="397"/>
    <n v="24"/>
    <x v="2"/>
    <x v="1"/>
    <x v="1"/>
    <x v="1"/>
    <x v="0"/>
  </r>
  <r>
    <n v="3"/>
    <x v="71"/>
    <x v="6"/>
    <x v="0"/>
    <x v="19"/>
    <x v="62"/>
    <x v="31"/>
    <x v="0"/>
    <x v="129"/>
    <n v="28"/>
    <x v="2"/>
    <x v="0"/>
    <x v="0"/>
    <x v="1"/>
    <x v="0"/>
  </r>
  <r>
    <n v="9"/>
    <x v="26"/>
    <x v="13"/>
    <x v="2"/>
    <x v="24"/>
    <x v="132"/>
    <x v="224"/>
    <x v="0"/>
    <x v="398"/>
    <n v="53"/>
    <x v="0"/>
    <x v="0"/>
    <x v="0"/>
    <x v="0"/>
    <x v="0"/>
  </r>
  <r>
    <n v="7"/>
    <x v="9"/>
    <x v="26"/>
    <x v="2"/>
    <x v="1"/>
    <x v="0"/>
    <x v="10"/>
    <x v="0"/>
    <x v="57"/>
    <n v="51"/>
    <x v="0"/>
    <x v="1"/>
    <x v="1"/>
    <x v="0"/>
    <x v="0"/>
  </r>
  <r>
    <n v="13"/>
    <x v="75"/>
    <x v="10"/>
    <x v="0"/>
    <x v="1"/>
    <x v="0"/>
    <x v="61"/>
    <x v="0"/>
    <x v="155"/>
    <n v="41"/>
    <x v="3"/>
    <x v="1"/>
    <x v="1"/>
    <x v="0"/>
    <x v="0"/>
  </r>
  <r>
    <n v="6"/>
    <x v="55"/>
    <x v="14"/>
    <x v="1"/>
    <x v="42"/>
    <x v="151"/>
    <x v="64"/>
    <x v="2"/>
    <x v="213"/>
    <n v="60"/>
    <x v="4"/>
    <x v="1"/>
    <x v="1"/>
    <x v="1"/>
    <x v="1"/>
  </r>
  <r>
    <n v="2"/>
    <x v="123"/>
    <x v="6"/>
    <x v="0"/>
    <x v="3"/>
    <x v="121"/>
    <x v="59"/>
    <x v="1"/>
    <x v="178"/>
    <n v="25"/>
    <x v="2"/>
    <x v="1"/>
    <x v="1"/>
    <x v="0"/>
    <x v="0"/>
  </r>
  <r>
    <n v="3"/>
    <x v="77"/>
    <x v="9"/>
    <x v="2"/>
    <x v="10"/>
    <x v="66"/>
    <x v="36"/>
    <x v="0"/>
    <x v="48"/>
    <n v="26"/>
    <x v="2"/>
    <x v="1"/>
    <x v="1"/>
    <x v="0"/>
    <x v="0"/>
  </r>
  <r>
    <n v="6"/>
    <x v="53"/>
    <x v="0"/>
    <x v="0"/>
    <x v="1"/>
    <x v="0"/>
    <x v="9"/>
    <x v="0"/>
    <x v="65"/>
    <n v="26"/>
    <x v="2"/>
    <x v="1"/>
    <x v="1"/>
    <x v="0"/>
    <x v="0"/>
  </r>
  <r>
    <n v="9"/>
    <x v="95"/>
    <x v="6"/>
    <x v="0"/>
    <x v="1"/>
    <x v="0"/>
    <x v="98"/>
    <x v="0"/>
    <x v="203"/>
    <n v="45"/>
    <x v="3"/>
    <x v="0"/>
    <x v="1"/>
    <x v="0"/>
    <x v="0"/>
  </r>
  <r>
    <n v="3"/>
    <x v="9"/>
    <x v="19"/>
    <x v="0"/>
    <x v="1"/>
    <x v="0"/>
    <x v="31"/>
    <x v="0"/>
    <x v="186"/>
    <n v="24"/>
    <x v="2"/>
    <x v="1"/>
    <x v="1"/>
    <x v="0"/>
    <x v="0"/>
  </r>
  <r>
    <n v="3"/>
    <x v="92"/>
    <x v="10"/>
    <x v="0"/>
    <x v="19"/>
    <x v="0"/>
    <x v="187"/>
    <x v="2"/>
    <x v="318"/>
    <n v="21"/>
    <x v="2"/>
    <x v="1"/>
    <x v="1"/>
    <x v="1"/>
    <x v="0"/>
  </r>
  <r>
    <n v="1"/>
    <x v="25"/>
    <x v="2"/>
    <x v="0"/>
    <x v="5"/>
    <x v="21"/>
    <x v="205"/>
    <x v="4"/>
    <x v="166"/>
    <n v="21"/>
    <x v="2"/>
    <x v="1"/>
    <x v="1"/>
    <x v="1"/>
    <x v="0"/>
  </r>
  <r>
    <n v="3"/>
    <x v="5"/>
    <x v="4"/>
    <x v="0"/>
    <x v="12"/>
    <x v="62"/>
    <x v="225"/>
    <x v="1"/>
    <x v="399"/>
    <n v="24"/>
    <x v="2"/>
    <x v="1"/>
    <x v="1"/>
    <x v="1"/>
    <x v="0"/>
  </r>
  <r>
    <n v="0"/>
    <x v="27"/>
    <x v="1"/>
    <x v="0"/>
    <x v="15"/>
    <x v="152"/>
    <x v="107"/>
    <x v="0"/>
    <x v="400"/>
    <n v="22"/>
    <x v="2"/>
    <x v="1"/>
    <x v="1"/>
    <x v="0"/>
    <x v="1"/>
  </r>
  <r>
    <n v="0"/>
    <x v="36"/>
    <x v="29"/>
    <x v="0"/>
    <x v="1"/>
    <x v="0"/>
    <x v="75"/>
    <x v="2"/>
    <x v="315"/>
    <n v="31"/>
    <x v="1"/>
    <x v="1"/>
    <x v="1"/>
    <x v="0"/>
    <x v="0"/>
  </r>
  <r>
    <n v="2"/>
    <x v="32"/>
    <x v="10"/>
    <x v="0"/>
    <x v="19"/>
    <x v="153"/>
    <x v="193"/>
    <x v="1"/>
    <x v="401"/>
    <n v="22"/>
    <x v="2"/>
    <x v="1"/>
    <x v="1"/>
    <x v="1"/>
    <x v="0"/>
  </r>
  <r>
    <n v="0"/>
    <x v="17"/>
    <x v="16"/>
    <x v="0"/>
    <x v="1"/>
    <x v="0"/>
    <x v="207"/>
    <x v="3"/>
    <x v="211"/>
    <n v="24"/>
    <x v="2"/>
    <x v="1"/>
    <x v="1"/>
    <x v="0"/>
    <x v="0"/>
  </r>
  <r>
    <n v="1"/>
    <x v="105"/>
    <x v="1"/>
    <x v="0"/>
    <x v="43"/>
    <x v="154"/>
    <x v="216"/>
    <x v="3"/>
    <x v="402"/>
    <n v="29"/>
    <x v="2"/>
    <x v="1"/>
    <x v="1"/>
    <x v="0"/>
    <x v="0"/>
  </r>
  <r>
    <n v="6"/>
    <x v="103"/>
    <x v="0"/>
    <x v="0"/>
    <x v="1"/>
    <x v="0"/>
    <x v="193"/>
    <x v="1"/>
    <x v="403"/>
    <n v="31"/>
    <x v="1"/>
    <x v="1"/>
    <x v="1"/>
    <x v="0"/>
    <x v="0"/>
  </r>
  <r>
    <n v="1"/>
    <x v="110"/>
    <x v="23"/>
    <x v="0"/>
    <x v="8"/>
    <x v="80"/>
    <x v="94"/>
    <x v="0"/>
    <x v="404"/>
    <n v="24"/>
    <x v="2"/>
    <x v="1"/>
    <x v="1"/>
    <x v="0"/>
    <x v="0"/>
  </r>
  <r>
    <n v="4"/>
    <x v="79"/>
    <x v="0"/>
    <x v="0"/>
    <x v="1"/>
    <x v="0"/>
    <x v="37"/>
    <x v="0"/>
    <x v="296"/>
    <n v="23"/>
    <x v="2"/>
    <x v="0"/>
    <x v="1"/>
    <x v="0"/>
    <x v="0"/>
  </r>
  <r>
    <n v="0"/>
    <x v="44"/>
    <x v="14"/>
    <x v="1"/>
    <x v="1"/>
    <x v="0"/>
    <x v="17"/>
    <x v="1"/>
    <x v="273"/>
    <n v="46"/>
    <x v="3"/>
    <x v="1"/>
    <x v="1"/>
    <x v="0"/>
    <x v="0"/>
  </r>
  <r>
    <n v="0"/>
    <x v="86"/>
    <x v="10"/>
    <x v="0"/>
    <x v="1"/>
    <x v="0"/>
    <x v="226"/>
    <x v="2"/>
    <x v="405"/>
    <n v="67"/>
    <x v="4"/>
    <x v="1"/>
    <x v="1"/>
    <x v="0"/>
    <x v="0"/>
  </r>
  <r>
    <n v="0"/>
    <x v="116"/>
    <x v="9"/>
    <x v="2"/>
    <x v="16"/>
    <x v="70"/>
    <x v="160"/>
    <x v="0"/>
    <x v="406"/>
    <n v="23"/>
    <x v="2"/>
    <x v="1"/>
    <x v="1"/>
    <x v="0"/>
    <x v="1"/>
  </r>
  <r>
    <n v="3"/>
    <x v="55"/>
    <x v="8"/>
    <x v="1"/>
    <x v="47"/>
    <x v="58"/>
    <x v="227"/>
    <x v="0"/>
    <x v="393"/>
    <n v="32"/>
    <x v="1"/>
    <x v="0"/>
    <x v="1"/>
    <x v="0"/>
    <x v="0"/>
  </r>
  <r>
    <n v="8"/>
    <x v="15"/>
    <x v="4"/>
    <x v="0"/>
    <x v="32"/>
    <x v="101"/>
    <x v="26"/>
    <x v="0"/>
    <x v="407"/>
    <n v="43"/>
    <x v="3"/>
    <x v="0"/>
    <x v="1"/>
    <x v="0"/>
    <x v="1"/>
  </r>
  <r>
    <n v="3"/>
    <x v="83"/>
    <x v="0"/>
    <x v="0"/>
    <x v="18"/>
    <x v="73"/>
    <x v="77"/>
    <x v="0"/>
    <x v="408"/>
    <n v="27"/>
    <x v="2"/>
    <x v="0"/>
    <x v="1"/>
    <x v="0"/>
    <x v="1"/>
  </r>
  <r>
    <n v="10"/>
    <x v="35"/>
    <x v="25"/>
    <x v="2"/>
    <x v="3"/>
    <x v="0"/>
    <x v="126"/>
    <x v="0"/>
    <x v="409"/>
    <n v="56"/>
    <x v="0"/>
    <x v="0"/>
    <x v="1"/>
    <x v="0"/>
    <x v="0"/>
  </r>
  <r>
    <n v="4"/>
    <x v="50"/>
    <x v="14"/>
    <x v="1"/>
    <x v="2"/>
    <x v="80"/>
    <x v="109"/>
    <x v="0"/>
    <x v="128"/>
    <n v="25"/>
    <x v="2"/>
    <x v="1"/>
    <x v="1"/>
    <x v="1"/>
    <x v="0"/>
  </r>
  <r>
    <n v="1"/>
    <x v="30"/>
    <x v="20"/>
    <x v="0"/>
    <x v="1"/>
    <x v="38"/>
    <x v="69"/>
    <x v="0"/>
    <x v="381"/>
    <n v="29"/>
    <x v="2"/>
    <x v="1"/>
    <x v="1"/>
    <x v="0"/>
    <x v="0"/>
  </r>
  <r>
    <n v="8"/>
    <x v="124"/>
    <x v="14"/>
    <x v="1"/>
    <x v="0"/>
    <x v="49"/>
    <x v="102"/>
    <x v="0"/>
    <x v="410"/>
    <n v="37"/>
    <x v="1"/>
    <x v="0"/>
    <x v="0"/>
    <x v="0"/>
    <x v="1"/>
  </r>
  <r>
    <n v="5"/>
    <x v="49"/>
    <x v="16"/>
    <x v="0"/>
    <x v="22"/>
    <x v="18"/>
    <x v="154"/>
    <x v="3"/>
    <x v="411"/>
    <n v="53"/>
    <x v="0"/>
    <x v="0"/>
    <x v="0"/>
    <x v="0"/>
    <x v="1"/>
  </r>
  <r>
    <n v="4"/>
    <x v="58"/>
    <x v="21"/>
    <x v="0"/>
    <x v="23"/>
    <x v="155"/>
    <x v="130"/>
    <x v="0"/>
    <x v="412"/>
    <n v="28"/>
    <x v="2"/>
    <x v="1"/>
    <x v="1"/>
    <x v="1"/>
    <x v="0"/>
  </r>
  <r>
    <n v="1"/>
    <x v="102"/>
    <x v="17"/>
    <x v="2"/>
    <x v="44"/>
    <x v="91"/>
    <x v="61"/>
    <x v="0"/>
    <x v="413"/>
    <n v="50"/>
    <x v="0"/>
    <x v="1"/>
    <x v="0"/>
    <x v="0"/>
    <x v="0"/>
  </r>
  <r>
    <n v="4"/>
    <x v="13"/>
    <x v="22"/>
    <x v="3"/>
    <x v="15"/>
    <x v="0"/>
    <x v="228"/>
    <x v="1"/>
    <x v="414"/>
    <n v="37"/>
    <x v="1"/>
    <x v="1"/>
    <x v="0"/>
    <x v="0"/>
    <x v="0"/>
  </r>
  <r>
    <n v="1"/>
    <x v="5"/>
    <x v="6"/>
    <x v="0"/>
    <x v="30"/>
    <x v="0"/>
    <x v="44"/>
    <x v="1"/>
    <x v="147"/>
    <n v="21"/>
    <x v="2"/>
    <x v="1"/>
    <x v="1"/>
    <x v="0"/>
    <x v="0"/>
  </r>
  <r>
    <n v="3"/>
    <x v="50"/>
    <x v="21"/>
    <x v="0"/>
    <x v="8"/>
    <x v="153"/>
    <x v="120"/>
    <x v="0"/>
    <x v="415"/>
    <n v="25"/>
    <x v="2"/>
    <x v="1"/>
    <x v="1"/>
    <x v="0"/>
    <x v="0"/>
  </r>
  <r>
    <n v="6"/>
    <x v="53"/>
    <x v="13"/>
    <x v="2"/>
    <x v="1"/>
    <x v="0"/>
    <x v="165"/>
    <x v="1"/>
    <x v="102"/>
    <n v="66"/>
    <x v="4"/>
    <x v="1"/>
    <x v="1"/>
    <x v="0"/>
    <x v="0"/>
  </r>
  <r>
    <n v="1"/>
    <x v="30"/>
    <x v="24"/>
    <x v="0"/>
    <x v="20"/>
    <x v="72"/>
    <x v="119"/>
    <x v="1"/>
    <x v="240"/>
    <n v="23"/>
    <x v="2"/>
    <x v="1"/>
    <x v="1"/>
    <x v="0"/>
    <x v="0"/>
  </r>
  <r>
    <n v="1"/>
    <x v="50"/>
    <x v="2"/>
    <x v="0"/>
    <x v="2"/>
    <x v="12"/>
    <x v="108"/>
    <x v="0"/>
    <x v="153"/>
    <n v="28"/>
    <x v="2"/>
    <x v="1"/>
    <x v="1"/>
    <x v="1"/>
    <x v="0"/>
  </r>
  <r>
    <n v="7"/>
    <x v="77"/>
    <x v="6"/>
    <x v="0"/>
    <x v="10"/>
    <x v="101"/>
    <x v="178"/>
    <x v="1"/>
    <x v="325"/>
    <n v="37"/>
    <x v="1"/>
    <x v="1"/>
    <x v="1"/>
    <x v="0"/>
    <x v="1"/>
  </r>
  <r>
    <n v="1"/>
    <x v="25"/>
    <x v="6"/>
    <x v="0"/>
    <x v="32"/>
    <x v="0"/>
    <x v="181"/>
    <x v="0"/>
    <x v="136"/>
    <n v="30"/>
    <x v="1"/>
    <x v="1"/>
    <x v="1"/>
    <x v="0"/>
    <x v="0"/>
  </r>
  <r>
    <n v="8"/>
    <x v="10"/>
    <x v="16"/>
    <x v="0"/>
    <x v="1"/>
    <x v="0"/>
    <x v="165"/>
    <x v="1"/>
    <x v="77"/>
    <n v="58"/>
    <x v="0"/>
    <x v="1"/>
    <x v="1"/>
    <x v="0"/>
    <x v="0"/>
  </r>
  <r>
    <n v="11"/>
    <x v="18"/>
    <x v="21"/>
    <x v="0"/>
    <x v="32"/>
    <x v="0"/>
    <x v="152"/>
    <x v="3"/>
    <x v="375"/>
    <n v="42"/>
    <x v="3"/>
    <x v="1"/>
    <x v="1"/>
    <x v="0"/>
    <x v="0"/>
  </r>
  <r>
    <n v="11"/>
    <x v="1"/>
    <x v="4"/>
    <x v="0"/>
    <x v="1"/>
    <x v="0"/>
    <x v="13"/>
    <x v="0"/>
    <x v="416"/>
    <n v="35"/>
    <x v="1"/>
    <x v="1"/>
    <x v="1"/>
    <x v="0"/>
    <x v="0"/>
  </r>
  <r>
    <n v="6"/>
    <x v="9"/>
    <x v="16"/>
    <x v="0"/>
    <x v="1"/>
    <x v="0"/>
    <x v="106"/>
    <x v="0"/>
    <x v="417"/>
    <n v="54"/>
    <x v="0"/>
    <x v="0"/>
    <x v="1"/>
    <x v="0"/>
    <x v="0"/>
  </r>
  <r>
    <n v="0"/>
    <x v="125"/>
    <x v="1"/>
    <x v="0"/>
    <x v="3"/>
    <x v="156"/>
    <x v="216"/>
    <x v="3"/>
    <x v="418"/>
    <n v="28"/>
    <x v="2"/>
    <x v="0"/>
    <x v="0"/>
    <x v="0"/>
    <x v="1"/>
  </r>
  <r>
    <n v="1"/>
    <x v="92"/>
    <x v="21"/>
    <x v="0"/>
    <x v="24"/>
    <x v="157"/>
    <x v="10"/>
    <x v="0"/>
    <x v="419"/>
    <n v="24"/>
    <x v="2"/>
    <x v="1"/>
    <x v="1"/>
    <x v="0"/>
    <x v="0"/>
  </r>
  <r>
    <n v="6"/>
    <x v="20"/>
    <x v="10"/>
    <x v="0"/>
    <x v="5"/>
    <x v="16"/>
    <x v="229"/>
    <x v="1"/>
    <x v="349"/>
    <n v="32"/>
    <x v="1"/>
    <x v="1"/>
    <x v="1"/>
    <x v="1"/>
    <x v="0"/>
  </r>
  <r>
    <n v="0"/>
    <x v="103"/>
    <x v="9"/>
    <x v="2"/>
    <x v="1"/>
    <x v="0"/>
    <x v="77"/>
    <x v="0"/>
    <x v="420"/>
    <n v="27"/>
    <x v="2"/>
    <x v="1"/>
    <x v="1"/>
    <x v="0"/>
    <x v="0"/>
  </r>
  <r>
    <n v="2"/>
    <x v="54"/>
    <x v="33"/>
    <x v="0"/>
    <x v="35"/>
    <x v="3"/>
    <x v="88"/>
    <x v="1"/>
    <x v="421"/>
    <n v="22"/>
    <x v="2"/>
    <x v="1"/>
    <x v="1"/>
    <x v="1"/>
    <x v="0"/>
  </r>
  <r>
    <n v="1"/>
    <x v="20"/>
    <x v="0"/>
    <x v="0"/>
    <x v="8"/>
    <x v="42"/>
    <x v="230"/>
    <x v="0"/>
    <x v="257"/>
    <n v="21"/>
    <x v="2"/>
    <x v="1"/>
    <x v="1"/>
    <x v="0"/>
    <x v="0"/>
  </r>
  <r>
    <n v="6"/>
    <x v="31"/>
    <x v="24"/>
    <x v="0"/>
    <x v="3"/>
    <x v="158"/>
    <x v="69"/>
    <x v="0"/>
    <x v="137"/>
    <n v="46"/>
    <x v="3"/>
    <x v="1"/>
    <x v="1"/>
    <x v="0"/>
    <x v="0"/>
  </r>
  <r>
    <n v="4"/>
    <x v="85"/>
    <x v="0"/>
    <x v="0"/>
    <x v="1"/>
    <x v="158"/>
    <x v="231"/>
    <x v="0"/>
    <x v="422"/>
    <n v="37"/>
    <x v="1"/>
    <x v="1"/>
    <x v="0"/>
    <x v="0"/>
    <x v="0"/>
  </r>
  <r>
    <n v="0"/>
    <x v="126"/>
    <x v="1"/>
    <x v="0"/>
    <x v="8"/>
    <x v="132"/>
    <x v="92"/>
    <x v="0"/>
    <x v="61"/>
    <n v="33"/>
    <x v="1"/>
    <x v="0"/>
    <x v="1"/>
    <x v="0"/>
    <x v="0"/>
  </r>
  <r>
    <n v="3"/>
    <x v="6"/>
    <x v="6"/>
    <x v="0"/>
    <x v="1"/>
    <x v="0"/>
    <x v="62"/>
    <x v="0"/>
    <x v="58"/>
    <n v="39"/>
    <x v="1"/>
    <x v="1"/>
    <x v="1"/>
    <x v="0"/>
    <x v="0"/>
  </r>
  <r>
    <n v="2"/>
    <x v="95"/>
    <x v="7"/>
    <x v="1"/>
    <x v="1"/>
    <x v="0"/>
    <x v="129"/>
    <x v="2"/>
    <x v="129"/>
    <n v="21"/>
    <x v="2"/>
    <x v="1"/>
    <x v="1"/>
    <x v="0"/>
    <x v="0"/>
  </r>
  <r>
    <n v="3"/>
    <x v="36"/>
    <x v="19"/>
    <x v="0"/>
    <x v="15"/>
    <x v="72"/>
    <x v="91"/>
    <x v="1"/>
    <x v="423"/>
    <n v="22"/>
    <x v="2"/>
    <x v="1"/>
    <x v="1"/>
    <x v="0"/>
    <x v="0"/>
  </r>
  <r>
    <n v="2"/>
    <x v="115"/>
    <x v="10"/>
    <x v="0"/>
    <x v="36"/>
    <x v="78"/>
    <x v="53"/>
    <x v="0"/>
    <x v="202"/>
    <n v="22"/>
    <x v="2"/>
    <x v="1"/>
    <x v="1"/>
    <x v="1"/>
    <x v="0"/>
  </r>
  <r>
    <n v="1"/>
    <x v="23"/>
    <x v="26"/>
    <x v="2"/>
    <x v="8"/>
    <x v="159"/>
    <x v="13"/>
    <x v="0"/>
    <x v="424"/>
    <n v="23"/>
    <x v="2"/>
    <x v="1"/>
    <x v="0"/>
    <x v="0"/>
    <x v="1"/>
  </r>
  <r>
    <n v="1"/>
    <x v="22"/>
    <x v="28"/>
    <x v="0"/>
    <x v="6"/>
    <x v="54"/>
    <x v="140"/>
    <x v="0"/>
    <x v="247"/>
    <n v="25"/>
    <x v="2"/>
    <x v="1"/>
    <x v="1"/>
    <x v="0"/>
    <x v="0"/>
  </r>
  <r>
    <n v="6"/>
    <x v="84"/>
    <x v="28"/>
    <x v="0"/>
    <x v="28"/>
    <x v="66"/>
    <x v="35"/>
    <x v="2"/>
    <x v="425"/>
    <n v="35"/>
    <x v="1"/>
    <x v="1"/>
    <x v="1"/>
    <x v="1"/>
    <x v="0"/>
  </r>
  <r>
    <n v="2"/>
    <x v="16"/>
    <x v="9"/>
    <x v="2"/>
    <x v="1"/>
    <x v="0"/>
    <x v="101"/>
    <x v="3"/>
    <x v="426"/>
    <n v="21"/>
    <x v="2"/>
    <x v="0"/>
    <x v="1"/>
    <x v="0"/>
    <x v="0"/>
  </r>
  <r>
    <n v="10"/>
    <x v="38"/>
    <x v="21"/>
    <x v="0"/>
    <x v="1"/>
    <x v="0"/>
    <x v="169"/>
    <x v="1"/>
    <x v="27"/>
    <n v="36"/>
    <x v="1"/>
    <x v="1"/>
    <x v="1"/>
    <x v="0"/>
    <x v="0"/>
  </r>
  <r>
    <n v="2"/>
    <x v="8"/>
    <x v="6"/>
    <x v="0"/>
    <x v="49"/>
    <x v="0"/>
    <x v="53"/>
    <x v="0"/>
    <x v="427"/>
    <n v="62"/>
    <x v="4"/>
    <x v="0"/>
    <x v="0"/>
    <x v="0"/>
    <x v="0"/>
  </r>
  <r>
    <n v="0"/>
    <x v="72"/>
    <x v="14"/>
    <x v="1"/>
    <x v="40"/>
    <x v="0"/>
    <x v="203"/>
    <x v="3"/>
    <x v="428"/>
    <n v="21"/>
    <x v="2"/>
    <x v="0"/>
    <x v="0"/>
    <x v="0"/>
    <x v="0"/>
  </r>
  <r>
    <n v="6"/>
    <x v="28"/>
    <x v="10"/>
    <x v="0"/>
    <x v="22"/>
    <x v="0"/>
    <x v="59"/>
    <x v="1"/>
    <x v="429"/>
    <n v="27"/>
    <x v="2"/>
    <x v="1"/>
    <x v="1"/>
    <x v="0"/>
    <x v="0"/>
  </r>
  <r>
    <n v="12"/>
    <x v="126"/>
    <x v="20"/>
    <x v="0"/>
    <x v="36"/>
    <x v="0"/>
    <x v="79"/>
    <x v="1"/>
    <x v="248"/>
    <n v="62"/>
    <x v="4"/>
    <x v="1"/>
    <x v="1"/>
    <x v="1"/>
    <x v="0"/>
  </r>
  <r>
    <n v="8"/>
    <x v="15"/>
    <x v="16"/>
    <x v="0"/>
    <x v="1"/>
    <x v="0"/>
    <x v="171"/>
    <x v="0"/>
    <x v="162"/>
    <n v="42"/>
    <x v="3"/>
    <x v="1"/>
    <x v="1"/>
    <x v="0"/>
    <x v="0"/>
  </r>
  <r>
    <n v="8"/>
    <x v="77"/>
    <x v="16"/>
    <x v="0"/>
    <x v="20"/>
    <x v="160"/>
    <x v="85"/>
    <x v="1"/>
    <x v="141"/>
    <n v="52"/>
    <x v="0"/>
    <x v="0"/>
    <x v="1"/>
    <x v="0"/>
    <x v="1"/>
  </r>
  <r>
    <n v="1"/>
    <x v="70"/>
    <x v="23"/>
    <x v="0"/>
    <x v="14"/>
    <x v="0"/>
    <x v="89"/>
    <x v="2"/>
    <x v="430"/>
    <n v="22"/>
    <x v="2"/>
    <x v="1"/>
    <x v="1"/>
    <x v="1"/>
    <x v="0"/>
  </r>
  <r>
    <n v="8"/>
    <x v="23"/>
    <x v="1"/>
    <x v="0"/>
    <x v="1"/>
    <x v="0"/>
    <x v="126"/>
    <x v="0"/>
    <x v="271"/>
    <n v="41"/>
    <x v="3"/>
    <x v="0"/>
    <x v="0"/>
    <x v="0"/>
    <x v="0"/>
  </r>
  <r>
    <n v="6"/>
    <x v="18"/>
    <x v="1"/>
    <x v="0"/>
    <x v="1"/>
    <x v="0"/>
    <x v="133"/>
    <x v="2"/>
    <x v="224"/>
    <n v="29"/>
    <x v="2"/>
    <x v="1"/>
    <x v="1"/>
    <x v="0"/>
    <x v="0"/>
  </r>
  <r>
    <n v="3"/>
    <x v="46"/>
    <x v="26"/>
    <x v="2"/>
    <x v="22"/>
    <x v="64"/>
    <x v="94"/>
    <x v="0"/>
    <x v="431"/>
    <n v="52"/>
    <x v="0"/>
    <x v="0"/>
    <x v="0"/>
    <x v="0"/>
    <x v="0"/>
  </r>
  <r>
    <n v="0"/>
    <x v="48"/>
    <x v="0"/>
    <x v="0"/>
    <x v="1"/>
    <x v="0"/>
    <x v="105"/>
    <x v="2"/>
    <x v="51"/>
    <n v="25"/>
    <x v="2"/>
    <x v="1"/>
    <x v="1"/>
    <x v="0"/>
    <x v="0"/>
  </r>
  <r>
    <n v="11"/>
    <x v="36"/>
    <x v="11"/>
    <x v="2"/>
    <x v="32"/>
    <x v="0"/>
    <x v="56"/>
    <x v="3"/>
    <x v="432"/>
    <n v="45"/>
    <x v="3"/>
    <x v="0"/>
    <x v="1"/>
    <x v="0"/>
    <x v="0"/>
  </r>
  <r>
    <n v="2"/>
    <x v="59"/>
    <x v="20"/>
    <x v="0"/>
    <x v="37"/>
    <x v="13"/>
    <x v="26"/>
    <x v="0"/>
    <x v="433"/>
    <n v="24"/>
    <x v="2"/>
    <x v="1"/>
    <x v="1"/>
    <x v="0"/>
    <x v="0"/>
  </r>
  <r>
    <n v="3"/>
    <x v="79"/>
    <x v="9"/>
    <x v="2"/>
    <x v="1"/>
    <x v="0"/>
    <x v="190"/>
    <x v="0"/>
    <x v="215"/>
    <n v="44"/>
    <x v="3"/>
    <x v="0"/>
    <x v="1"/>
    <x v="0"/>
    <x v="0"/>
  </r>
  <r>
    <n v="2"/>
    <x v="117"/>
    <x v="34"/>
    <x v="0"/>
    <x v="29"/>
    <x v="12"/>
    <x v="228"/>
    <x v="1"/>
    <x v="434"/>
    <n v="25"/>
    <x v="2"/>
    <x v="1"/>
    <x v="1"/>
    <x v="1"/>
    <x v="0"/>
  </r>
  <r>
    <n v="6"/>
    <x v="65"/>
    <x v="0"/>
    <x v="0"/>
    <x v="4"/>
    <x v="7"/>
    <x v="0"/>
    <x v="0"/>
    <x v="365"/>
    <n v="34"/>
    <x v="1"/>
    <x v="1"/>
    <x v="1"/>
    <x v="0"/>
    <x v="1"/>
  </r>
  <r>
    <n v="0"/>
    <x v="89"/>
    <x v="17"/>
    <x v="2"/>
    <x v="35"/>
    <x v="161"/>
    <x v="69"/>
    <x v="0"/>
    <x v="435"/>
    <n v="22"/>
    <x v="2"/>
    <x v="0"/>
    <x v="0"/>
    <x v="1"/>
    <x v="1"/>
  </r>
  <r>
    <n v="0"/>
    <x v="127"/>
    <x v="16"/>
    <x v="0"/>
    <x v="1"/>
    <x v="0"/>
    <x v="207"/>
    <x v="3"/>
    <x v="436"/>
    <n v="46"/>
    <x v="3"/>
    <x v="1"/>
    <x v="1"/>
    <x v="0"/>
    <x v="0"/>
  </r>
  <r>
    <n v="1"/>
    <x v="3"/>
    <x v="42"/>
    <x v="0"/>
    <x v="5"/>
    <x v="162"/>
    <x v="165"/>
    <x v="1"/>
    <x v="295"/>
    <n v="21"/>
    <x v="2"/>
    <x v="1"/>
    <x v="1"/>
    <x v="1"/>
    <x v="0"/>
  </r>
  <r>
    <n v="1"/>
    <x v="81"/>
    <x v="4"/>
    <x v="0"/>
    <x v="1"/>
    <x v="0"/>
    <x v="186"/>
    <x v="0"/>
    <x v="124"/>
    <n v="38"/>
    <x v="1"/>
    <x v="0"/>
    <x v="0"/>
    <x v="0"/>
    <x v="0"/>
  </r>
  <r>
    <n v="1"/>
    <x v="28"/>
    <x v="43"/>
    <x v="0"/>
    <x v="19"/>
    <x v="78"/>
    <x v="184"/>
    <x v="2"/>
    <x v="184"/>
    <n v="26"/>
    <x v="2"/>
    <x v="1"/>
    <x v="1"/>
    <x v="1"/>
    <x v="0"/>
  </r>
  <r>
    <n v="1"/>
    <x v="84"/>
    <x v="13"/>
    <x v="2"/>
    <x v="5"/>
    <x v="0"/>
    <x v="12"/>
    <x v="1"/>
    <x v="437"/>
    <n v="24"/>
    <x v="2"/>
    <x v="1"/>
    <x v="1"/>
    <x v="1"/>
    <x v="0"/>
  </r>
  <r>
    <n v="6"/>
    <x v="73"/>
    <x v="0"/>
    <x v="0"/>
    <x v="1"/>
    <x v="0"/>
    <x v="201"/>
    <x v="2"/>
    <x v="162"/>
    <n v="28"/>
    <x v="2"/>
    <x v="1"/>
    <x v="1"/>
    <x v="0"/>
    <x v="0"/>
  </r>
  <r>
    <n v="1"/>
    <x v="77"/>
    <x v="4"/>
    <x v="0"/>
    <x v="13"/>
    <x v="0"/>
    <x v="165"/>
    <x v="1"/>
    <x v="438"/>
    <n v="30"/>
    <x v="1"/>
    <x v="1"/>
    <x v="1"/>
    <x v="0"/>
    <x v="0"/>
  </r>
  <r>
    <n v="7"/>
    <x v="47"/>
    <x v="20"/>
    <x v="0"/>
    <x v="1"/>
    <x v="158"/>
    <x v="218"/>
    <x v="0"/>
    <x v="255"/>
    <n v="54"/>
    <x v="0"/>
    <x v="0"/>
    <x v="0"/>
    <x v="0"/>
    <x v="0"/>
  </r>
  <r>
    <n v="4"/>
    <x v="2"/>
    <x v="0"/>
    <x v="0"/>
    <x v="1"/>
    <x v="0"/>
    <x v="121"/>
    <x v="1"/>
    <x v="361"/>
    <n v="36"/>
    <x v="1"/>
    <x v="0"/>
    <x v="0"/>
    <x v="0"/>
    <x v="0"/>
  </r>
  <r>
    <n v="1"/>
    <x v="77"/>
    <x v="10"/>
    <x v="0"/>
    <x v="3"/>
    <x v="0"/>
    <x v="144"/>
    <x v="0"/>
    <x v="194"/>
    <n v="21"/>
    <x v="2"/>
    <x v="1"/>
    <x v="1"/>
    <x v="0"/>
    <x v="0"/>
  </r>
  <r>
    <n v="1"/>
    <x v="97"/>
    <x v="20"/>
    <x v="0"/>
    <x v="17"/>
    <x v="120"/>
    <x v="161"/>
    <x v="3"/>
    <x v="439"/>
    <n v="22"/>
    <x v="2"/>
    <x v="0"/>
    <x v="0"/>
    <x v="0"/>
    <x v="1"/>
  </r>
  <r>
    <n v="1"/>
    <x v="31"/>
    <x v="24"/>
    <x v="0"/>
    <x v="18"/>
    <x v="163"/>
    <x v="232"/>
    <x v="2"/>
    <x v="440"/>
    <n v="25"/>
    <x v="2"/>
    <x v="1"/>
    <x v="1"/>
    <x v="0"/>
    <x v="0"/>
  </r>
  <r>
    <n v="0"/>
    <x v="90"/>
    <x v="17"/>
    <x v="2"/>
    <x v="21"/>
    <x v="164"/>
    <x v="58"/>
    <x v="3"/>
    <x v="58"/>
    <n v="27"/>
    <x v="2"/>
    <x v="1"/>
    <x v="0"/>
    <x v="0"/>
    <x v="1"/>
  </r>
  <r>
    <n v="1"/>
    <x v="36"/>
    <x v="24"/>
    <x v="0"/>
    <x v="27"/>
    <x v="99"/>
    <x v="35"/>
    <x v="2"/>
    <x v="441"/>
    <n v="23"/>
    <x v="2"/>
    <x v="1"/>
    <x v="1"/>
    <x v="1"/>
    <x v="1"/>
  </r>
  <r>
    <n v="3"/>
    <x v="39"/>
    <x v="33"/>
    <x v="0"/>
    <x v="23"/>
    <x v="124"/>
    <x v="136"/>
    <x v="0"/>
    <x v="385"/>
    <n v="24"/>
    <x v="2"/>
    <x v="1"/>
    <x v="1"/>
    <x v="1"/>
    <x v="0"/>
  </r>
  <r>
    <n v="3"/>
    <x v="128"/>
    <x v="19"/>
    <x v="0"/>
    <x v="29"/>
    <x v="85"/>
    <x v="37"/>
    <x v="0"/>
    <x v="442"/>
    <n v="36"/>
    <x v="1"/>
    <x v="0"/>
    <x v="0"/>
    <x v="1"/>
    <x v="1"/>
  </r>
  <r>
    <n v="7"/>
    <x v="11"/>
    <x v="13"/>
    <x v="2"/>
    <x v="17"/>
    <x v="165"/>
    <x v="38"/>
    <x v="0"/>
    <x v="183"/>
    <n v="40"/>
    <x v="3"/>
    <x v="0"/>
    <x v="0"/>
    <x v="0"/>
    <x v="1"/>
  </r>
  <r>
    <n v="6"/>
    <x v="44"/>
    <x v="9"/>
    <x v="2"/>
    <x v="30"/>
    <x v="0"/>
    <x v="62"/>
    <x v="0"/>
    <x v="443"/>
    <n v="26"/>
    <x v="2"/>
    <x v="1"/>
    <x v="1"/>
    <x v="0"/>
    <x v="0"/>
  </r>
  <r>
    <n v="11"/>
    <x v="33"/>
    <x v="4"/>
    <x v="0"/>
    <x v="11"/>
    <x v="166"/>
    <x v="173"/>
    <x v="0"/>
    <x v="226"/>
    <n v="50"/>
    <x v="0"/>
    <x v="0"/>
    <x v="1"/>
    <x v="0"/>
    <x v="0"/>
  </r>
  <r>
    <n v="3"/>
    <x v="39"/>
    <x v="0"/>
    <x v="0"/>
    <x v="1"/>
    <x v="0"/>
    <x v="14"/>
    <x v="1"/>
    <x v="99"/>
    <n v="27"/>
    <x v="2"/>
    <x v="1"/>
    <x v="1"/>
    <x v="0"/>
    <x v="0"/>
  </r>
  <r>
    <n v="6"/>
    <x v="27"/>
    <x v="7"/>
    <x v="1"/>
    <x v="1"/>
    <x v="0"/>
    <x v="85"/>
    <x v="1"/>
    <x v="444"/>
    <n v="30"/>
    <x v="1"/>
    <x v="1"/>
    <x v="1"/>
    <x v="0"/>
    <x v="0"/>
  </r>
  <r>
    <n v="2"/>
    <x v="123"/>
    <x v="24"/>
    <x v="0"/>
    <x v="27"/>
    <x v="167"/>
    <x v="233"/>
    <x v="2"/>
    <x v="25"/>
    <n v="23"/>
    <x v="2"/>
    <x v="1"/>
    <x v="1"/>
    <x v="1"/>
    <x v="0"/>
  </r>
  <r>
    <n v="9"/>
    <x v="59"/>
    <x v="17"/>
    <x v="2"/>
    <x v="20"/>
    <x v="0"/>
    <x v="96"/>
    <x v="1"/>
    <x v="445"/>
    <n v="50"/>
    <x v="0"/>
    <x v="0"/>
    <x v="1"/>
    <x v="0"/>
    <x v="0"/>
  </r>
  <r>
    <n v="0"/>
    <x v="22"/>
    <x v="0"/>
    <x v="0"/>
    <x v="1"/>
    <x v="0"/>
    <x v="77"/>
    <x v="0"/>
    <x v="446"/>
    <n v="24"/>
    <x v="2"/>
    <x v="0"/>
    <x v="1"/>
    <x v="0"/>
    <x v="0"/>
  </r>
  <r>
    <n v="2"/>
    <x v="59"/>
    <x v="26"/>
    <x v="2"/>
    <x v="17"/>
    <x v="69"/>
    <x v="195"/>
    <x v="0"/>
    <x v="447"/>
    <n v="28"/>
    <x v="2"/>
    <x v="1"/>
    <x v="1"/>
    <x v="0"/>
    <x v="0"/>
  </r>
  <r>
    <n v="2"/>
    <x v="31"/>
    <x v="16"/>
    <x v="0"/>
    <x v="28"/>
    <x v="0"/>
    <x v="50"/>
    <x v="2"/>
    <x v="448"/>
    <n v="28"/>
    <x v="2"/>
    <x v="1"/>
    <x v="1"/>
    <x v="1"/>
    <x v="0"/>
  </r>
  <r>
    <n v="6"/>
    <x v="2"/>
    <x v="15"/>
    <x v="1"/>
    <x v="1"/>
    <x v="0"/>
    <x v="234"/>
    <x v="3"/>
    <x v="449"/>
    <n v="45"/>
    <x v="3"/>
    <x v="1"/>
    <x v="0"/>
    <x v="0"/>
    <x v="0"/>
  </r>
  <r>
    <n v="0"/>
    <x v="120"/>
    <x v="6"/>
    <x v="0"/>
    <x v="22"/>
    <x v="12"/>
    <x v="122"/>
    <x v="3"/>
    <x v="450"/>
    <n v="21"/>
    <x v="2"/>
    <x v="1"/>
    <x v="1"/>
    <x v="0"/>
    <x v="0"/>
  </r>
  <r>
    <n v="2"/>
    <x v="84"/>
    <x v="2"/>
    <x v="0"/>
    <x v="1"/>
    <x v="0"/>
    <x v="107"/>
    <x v="0"/>
    <x v="8"/>
    <n v="21"/>
    <x v="2"/>
    <x v="1"/>
    <x v="1"/>
    <x v="0"/>
    <x v="0"/>
  </r>
  <r>
    <n v="4"/>
    <x v="35"/>
    <x v="13"/>
    <x v="2"/>
    <x v="6"/>
    <x v="16"/>
    <x v="55"/>
    <x v="0"/>
    <x v="451"/>
    <n v="29"/>
    <x v="2"/>
    <x v="1"/>
    <x v="1"/>
    <x v="0"/>
    <x v="0"/>
  </r>
  <r>
    <n v="0"/>
    <x v="9"/>
    <x v="21"/>
    <x v="0"/>
    <x v="1"/>
    <x v="0"/>
    <x v="70"/>
    <x v="2"/>
    <x v="429"/>
    <n v="21"/>
    <x v="2"/>
    <x v="1"/>
    <x v="1"/>
    <x v="0"/>
    <x v="0"/>
  </r>
  <r>
    <n v="0"/>
    <x v="79"/>
    <x v="20"/>
    <x v="0"/>
    <x v="1"/>
    <x v="0"/>
    <x v="77"/>
    <x v="0"/>
    <x v="452"/>
    <n v="21"/>
    <x v="2"/>
    <x v="1"/>
    <x v="1"/>
    <x v="0"/>
    <x v="0"/>
  </r>
  <r>
    <n v="5"/>
    <x v="83"/>
    <x v="9"/>
    <x v="2"/>
    <x v="1"/>
    <x v="0"/>
    <x v="19"/>
    <x v="0"/>
    <x v="453"/>
    <n v="45"/>
    <x v="3"/>
    <x v="1"/>
    <x v="1"/>
    <x v="0"/>
    <x v="0"/>
  </r>
  <r>
    <n v="4"/>
    <x v="120"/>
    <x v="29"/>
    <x v="0"/>
    <x v="29"/>
    <x v="0"/>
    <x v="70"/>
    <x v="2"/>
    <x v="275"/>
    <n v="21"/>
    <x v="2"/>
    <x v="1"/>
    <x v="1"/>
    <x v="1"/>
    <x v="0"/>
  </r>
  <r>
    <n v="7"/>
    <x v="53"/>
    <x v="2"/>
    <x v="0"/>
    <x v="1"/>
    <x v="0"/>
    <x v="44"/>
    <x v="1"/>
    <x v="454"/>
    <n v="34"/>
    <x v="1"/>
    <x v="0"/>
    <x v="1"/>
    <x v="0"/>
    <x v="0"/>
  </r>
  <r>
    <n v="0"/>
    <x v="34"/>
    <x v="20"/>
    <x v="0"/>
    <x v="32"/>
    <x v="31"/>
    <x v="102"/>
    <x v="0"/>
    <x v="207"/>
    <n v="24"/>
    <x v="2"/>
    <x v="1"/>
    <x v="1"/>
    <x v="0"/>
    <x v="0"/>
  </r>
  <r>
    <n v="2"/>
    <x v="36"/>
    <x v="10"/>
    <x v="0"/>
    <x v="1"/>
    <x v="0"/>
    <x v="179"/>
    <x v="1"/>
    <x v="282"/>
    <n v="23"/>
    <x v="2"/>
    <x v="1"/>
    <x v="1"/>
    <x v="0"/>
    <x v="0"/>
  </r>
  <r>
    <n v="1"/>
    <x v="83"/>
    <x v="17"/>
    <x v="2"/>
    <x v="36"/>
    <x v="168"/>
    <x v="163"/>
    <x v="1"/>
    <x v="455"/>
    <n v="22"/>
    <x v="2"/>
    <x v="1"/>
    <x v="1"/>
    <x v="1"/>
    <x v="1"/>
  </r>
  <r>
    <n v="10"/>
    <x v="31"/>
    <x v="24"/>
    <x v="0"/>
    <x v="1"/>
    <x v="0"/>
    <x v="158"/>
    <x v="1"/>
    <x v="3"/>
    <n v="31"/>
    <x v="1"/>
    <x v="1"/>
    <x v="1"/>
    <x v="0"/>
    <x v="0"/>
  </r>
  <r>
    <n v="13"/>
    <x v="91"/>
    <x v="0"/>
    <x v="0"/>
    <x v="1"/>
    <x v="0"/>
    <x v="95"/>
    <x v="0"/>
    <x v="456"/>
    <n v="38"/>
    <x v="1"/>
    <x v="0"/>
    <x v="1"/>
    <x v="0"/>
    <x v="0"/>
  </r>
  <r>
    <n v="5"/>
    <x v="91"/>
    <x v="4"/>
    <x v="0"/>
    <x v="1"/>
    <x v="0"/>
    <x v="146"/>
    <x v="1"/>
    <x v="82"/>
    <n v="48"/>
    <x v="3"/>
    <x v="1"/>
    <x v="1"/>
    <x v="0"/>
    <x v="0"/>
  </r>
  <r>
    <n v="2"/>
    <x v="120"/>
    <x v="16"/>
    <x v="0"/>
    <x v="19"/>
    <x v="121"/>
    <x v="31"/>
    <x v="0"/>
    <x v="457"/>
    <n v="23"/>
    <x v="2"/>
    <x v="1"/>
    <x v="1"/>
    <x v="1"/>
    <x v="0"/>
  </r>
  <r>
    <n v="7"/>
    <x v="25"/>
    <x v="16"/>
    <x v="0"/>
    <x v="3"/>
    <x v="169"/>
    <x v="116"/>
    <x v="3"/>
    <x v="458"/>
    <n v="32"/>
    <x v="1"/>
    <x v="0"/>
    <x v="1"/>
    <x v="0"/>
    <x v="0"/>
  </r>
  <r>
    <n v="1"/>
    <x v="15"/>
    <x v="4"/>
    <x v="0"/>
    <x v="39"/>
    <x v="170"/>
    <x v="232"/>
    <x v="2"/>
    <x v="459"/>
    <n v="28"/>
    <x v="2"/>
    <x v="1"/>
    <x v="1"/>
    <x v="1"/>
    <x v="0"/>
  </r>
  <r>
    <n v="0"/>
    <x v="34"/>
    <x v="26"/>
    <x v="2"/>
    <x v="36"/>
    <x v="62"/>
    <x v="74"/>
    <x v="1"/>
    <x v="460"/>
    <n v="27"/>
    <x v="2"/>
    <x v="1"/>
    <x v="1"/>
    <x v="1"/>
    <x v="0"/>
  </r>
  <r>
    <n v="4"/>
    <x v="83"/>
    <x v="6"/>
    <x v="0"/>
    <x v="1"/>
    <x v="0"/>
    <x v="92"/>
    <x v="0"/>
    <x v="461"/>
    <n v="24"/>
    <x v="2"/>
    <x v="1"/>
    <x v="1"/>
    <x v="0"/>
    <x v="0"/>
  </r>
  <r>
    <n v="6"/>
    <x v="24"/>
    <x v="9"/>
    <x v="2"/>
    <x v="1"/>
    <x v="0"/>
    <x v="91"/>
    <x v="1"/>
    <x v="80"/>
    <n v="50"/>
    <x v="0"/>
    <x v="0"/>
    <x v="0"/>
    <x v="0"/>
    <x v="0"/>
  </r>
  <r>
    <n v="4"/>
    <x v="35"/>
    <x v="0"/>
    <x v="0"/>
    <x v="1"/>
    <x v="0"/>
    <x v="47"/>
    <x v="1"/>
    <x v="462"/>
    <n v="31"/>
    <x v="1"/>
    <x v="1"/>
    <x v="1"/>
    <x v="0"/>
    <x v="0"/>
  </r>
  <r>
    <n v="3"/>
    <x v="18"/>
    <x v="0"/>
    <x v="0"/>
    <x v="8"/>
    <x v="41"/>
    <x v="34"/>
    <x v="1"/>
    <x v="463"/>
    <n v="27"/>
    <x v="2"/>
    <x v="1"/>
    <x v="1"/>
    <x v="0"/>
    <x v="0"/>
  </r>
  <r>
    <n v="2"/>
    <x v="112"/>
    <x v="4"/>
    <x v="0"/>
    <x v="0"/>
    <x v="171"/>
    <x v="26"/>
    <x v="0"/>
    <x v="7"/>
    <n v="30"/>
    <x v="1"/>
    <x v="1"/>
    <x v="0"/>
    <x v="0"/>
    <x v="1"/>
  </r>
  <r>
    <n v="1"/>
    <x v="109"/>
    <x v="4"/>
    <x v="0"/>
    <x v="36"/>
    <x v="166"/>
    <x v="235"/>
    <x v="2"/>
    <x v="464"/>
    <n v="33"/>
    <x v="1"/>
    <x v="0"/>
    <x v="0"/>
    <x v="1"/>
    <x v="0"/>
  </r>
  <r>
    <n v="0"/>
    <x v="94"/>
    <x v="5"/>
    <x v="0"/>
    <x v="13"/>
    <x v="172"/>
    <x v="145"/>
    <x v="0"/>
    <x v="465"/>
    <n v="22"/>
    <x v="2"/>
    <x v="0"/>
    <x v="0"/>
    <x v="0"/>
    <x v="0"/>
  </r>
  <r>
    <n v="11"/>
    <x v="63"/>
    <x v="11"/>
    <x v="2"/>
    <x v="0"/>
    <x v="66"/>
    <x v="236"/>
    <x v="1"/>
    <x v="112"/>
    <n v="42"/>
    <x v="3"/>
    <x v="0"/>
    <x v="1"/>
    <x v="0"/>
    <x v="0"/>
  </r>
  <r>
    <n v="0"/>
    <x v="17"/>
    <x v="10"/>
    <x v="0"/>
    <x v="18"/>
    <x v="0"/>
    <x v="206"/>
    <x v="1"/>
    <x v="466"/>
    <n v="23"/>
    <x v="2"/>
    <x v="1"/>
    <x v="1"/>
    <x v="0"/>
    <x v="0"/>
  </r>
  <r>
    <n v="1"/>
    <x v="103"/>
    <x v="33"/>
    <x v="0"/>
    <x v="18"/>
    <x v="30"/>
    <x v="115"/>
    <x v="1"/>
    <x v="302"/>
    <n v="23"/>
    <x v="2"/>
    <x v="1"/>
    <x v="1"/>
    <x v="0"/>
    <x v="0"/>
  </r>
  <r>
    <n v="1"/>
    <x v="27"/>
    <x v="10"/>
    <x v="0"/>
    <x v="2"/>
    <x v="153"/>
    <x v="106"/>
    <x v="0"/>
    <x v="377"/>
    <n v="27"/>
    <x v="2"/>
    <x v="1"/>
    <x v="1"/>
    <x v="1"/>
    <x v="0"/>
  </r>
  <r>
    <n v="5"/>
    <x v="65"/>
    <x v="4"/>
    <x v="0"/>
    <x v="32"/>
    <x v="157"/>
    <x v="29"/>
    <x v="0"/>
    <x v="369"/>
    <n v="28"/>
    <x v="2"/>
    <x v="1"/>
    <x v="1"/>
    <x v="0"/>
    <x v="0"/>
  </r>
  <r>
    <n v="2"/>
    <x v="80"/>
    <x v="33"/>
    <x v="0"/>
    <x v="1"/>
    <x v="0"/>
    <x v="99"/>
    <x v="1"/>
    <x v="465"/>
    <n v="27"/>
    <x v="2"/>
    <x v="1"/>
    <x v="1"/>
    <x v="0"/>
    <x v="0"/>
  </r>
  <r>
    <n v="1"/>
    <x v="39"/>
    <x v="6"/>
    <x v="0"/>
    <x v="30"/>
    <x v="43"/>
    <x v="98"/>
    <x v="0"/>
    <x v="172"/>
    <n v="22"/>
    <x v="2"/>
    <x v="1"/>
    <x v="1"/>
    <x v="0"/>
    <x v="0"/>
  </r>
  <r>
    <n v="2"/>
    <x v="74"/>
    <x v="34"/>
    <x v="0"/>
    <x v="22"/>
    <x v="173"/>
    <x v="171"/>
    <x v="0"/>
    <x v="237"/>
    <n v="25"/>
    <x v="2"/>
    <x v="0"/>
    <x v="0"/>
    <x v="0"/>
    <x v="1"/>
  </r>
  <r>
    <n v="2"/>
    <x v="45"/>
    <x v="19"/>
    <x v="0"/>
    <x v="0"/>
    <x v="31"/>
    <x v="187"/>
    <x v="2"/>
    <x v="467"/>
    <n v="22"/>
    <x v="2"/>
    <x v="1"/>
    <x v="1"/>
    <x v="0"/>
    <x v="0"/>
  </r>
  <r>
    <n v="1"/>
    <x v="80"/>
    <x v="9"/>
    <x v="2"/>
    <x v="45"/>
    <x v="174"/>
    <x v="237"/>
    <x v="0"/>
    <x v="468"/>
    <n v="41"/>
    <x v="3"/>
    <x v="1"/>
    <x v="1"/>
    <x v="0"/>
    <x v="1"/>
  </r>
  <r>
    <n v="11"/>
    <x v="116"/>
    <x v="44"/>
    <x v="3"/>
    <x v="1"/>
    <x v="0"/>
    <x v="87"/>
    <x v="0"/>
    <x v="162"/>
    <n v="51"/>
    <x v="0"/>
    <x v="1"/>
    <x v="1"/>
    <x v="0"/>
    <x v="0"/>
  </r>
  <r>
    <n v="3"/>
    <x v="64"/>
    <x v="17"/>
    <x v="2"/>
    <x v="15"/>
    <x v="19"/>
    <x v="98"/>
    <x v="0"/>
    <x v="469"/>
    <n v="27"/>
    <x v="2"/>
    <x v="0"/>
    <x v="1"/>
    <x v="0"/>
    <x v="0"/>
  </r>
  <r>
    <n v="10"/>
    <x v="78"/>
    <x v="11"/>
    <x v="2"/>
    <x v="1"/>
    <x v="0"/>
    <x v="127"/>
    <x v="1"/>
    <x v="470"/>
    <n v="54"/>
    <x v="0"/>
    <x v="1"/>
    <x v="0"/>
    <x v="0"/>
    <x v="0"/>
  </r>
  <r>
    <n v="1"/>
    <x v="129"/>
    <x v="16"/>
    <x v="0"/>
    <x v="44"/>
    <x v="0"/>
    <x v="101"/>
    <x v="3"/>
    <x v="471"/>
    <n v="22"/>
    <x v="2"/>
    <x v="0"/>
    <x v="0"/>
    <x v="0"/>
    <x v="0"/>
  </r>
  <r>
    <n v="8"/>
    <x v="109"/>
    <x v="44"/>
    <x v="3"/>
    <x v="40"/>
    <x v="109"/>
    <x v="10"/>
    <x v="0"/>
    <x v="83"/>
    <n v="43"/>
    <x v="3"/>
    <x v="0"/>
    <x v="0"/>
    <x v="0"/>
    <x v="1"/>
  </r>
  <r>
    <n v="9"/>
    <x v="26"/>
    <x v="9"/>
    <x v="2"/>
    <x v="40"/>
    <x v="66"/>
    <x v="168"/>
    <x v="0"/>
    <x v="143"/>
    <n v="40"/>
    <x v="3"/>
    <x v="0"/>
    <x v="0"/>
    <x v="0"/>
    <x v="0"/>
  </r>
  <r>
    <n v="6"/>
    <x v="7"/>
    <x v="10"/>
    <x v="0"/>
    <x v="21"/>
    <x v="0"/>
    <x v="52"/>
    <x v="0"/>
    <x v="27"/>
    <n v="40"/>
    <x v="3"/>
    <x v="0"/>
    <x v="1"/>
    <x v="0"/>
    <x v="0"/>
  </r>
  <r>
    <n v="1"/>
    <x v="59"/>
    <x v="9"/>
    <x v="2"/>
    <x v="4"/>
    <x v="104"/>
    <x v="135"/>
    <x v="0"/>
    <x v="472"/>
    <n v="24"/>
    <x v="2"/>
    <x v="1"/>
    <x v="1"/>
    <x v="0"/>
    <x v="0"/>
  </r>
  <r>
    <n v="4"/>
    <x v="26"/>
    <x v="17"/>
    <x v="2"/>
    <x v="19"/>
    <x v="0"/>
    <x v="62"/>
    <x v="0"/>
    <x v="41"/>
    <n v="70"/>
    <x v="5"/>
    <x v="0"/>
    <x v="0"/>
    <x v="1"/>
    <x v="0"/>
  </r>
  <r>
    <n v="10"/>
    <x v="36"/>
    <x v="6"/>
    <x v="0"/>
    <x v="22"/>
    <x v="0"/>
    <x v="163"/>
    <x v="1"/>
    <x v="446"/>
    <n v="40"/>
    <x v="3"/>
    <x v="0"/>
    <x v="1"/>
    <x v="0"/>
    <x v="0"/>
  </r>
  <r>
    <n v="6"/>
    <x v="115"/>
    <x v="19"/>
    <x v="0"/>
    <x v="10"/>
    <x v="73"/>
    <x v="40"/>
    <x v="0"/>
    <x v="423"/>
    <n v="43"/>
    <x v="3"/>
    <x v="1"/>
    <x v="1"/>
    <x v="0"/>
    <x v="1"/>
  </r>
  <r>
    <n v="9"/>
    <x v="85"/>
    <x v="20"/>
    <x v="0"/>
    <x v="8"/>
    <x v="30"/>
    <x v="136"/>
    <x v="0"/>
    <x v="191"/>
    <n v="45"/>
    <x v="3"/>
    <x v="1"/>
    <x v="0"/>
    <x v="0"/>
    <x v="0"/>
  </r>
  <r>
    <n v="6"/>
    <x v="104"/>
    <x v="21"/>
    <x v="0"/>
    <x v="11"/>
    <x v="2"/>
    <x v="0"/>
    <x v="0"/>
    <x v="473"/>
    <n v="49"/>
    <x v="3"/>
    <x v="1"/>
    <x v="0"/>
    <x v="0"/>
    <x v="1"/>
  </r>
  <r>
    <n v="1"/>
    <x v="20"/>
    <x v="19"/>
    <x v="0"/>
    <x v="25"/>
    <x v="0"/>
    <x v="60"/>
    <x v="1"/>
    <x v="16"/>
    <n v="21"/>
    <x v="2"/>
    <x v="1"/>
    <x v="1"/>
    <x v="1"/>
    <x v="0"/>
  </r>
  <r>
    <n v="10"/>
    <x v="123"/>
    <x v="44"/>
    <x v="3"/>
    <x v="2"/>
    <x v="50"/>
    <x v="140"/>
    <x v="0"/>
    <x v="356"/>
    <n v="47"/>
    <x v="3"/>
    <x v="1"/>
    <x v="1"/>
    <x v="1"/>
    <x v="0"/>
  </r>
  <r>
    <n v="3"/>
    <x v="65"/>
    <x v="40"/>
    <x v="3"/>
    <x v="0"/>
    <x v="20"/>
    <x v="238"/>
    <x v="3"/>
    <x v="474"/>
    <n v="22"/>
    <x v="2"/>
    <x v="1"/>
    <x v="1"/>
    <x v="0"/>
    <x v="1"/>
  </r>
  <r>
    <n v="8"/>
    <x v="103"/>
    <x v="17"/>
    <x v="2"/>
    <x v="1"/>
    <x v="0"/>
    <x v="239"/>
    <x v="0"/>
    <x v="14"/>
    <n v="68"/>
    <x v="4"/>
    <x v="1"/>
    <x v="1"/>
    <x v="0"/>
    <x v="0"/>
  </r>
  <r>
    <n v="6"/>
    <x v="122"/>
    <x v="6"/>
    <x v="0"/>
    <x v="1"/>
    <x v="0"/>
    <x v="136"/>
    <x v="0"/>
    <x v="342"/>
    <n v="31"/>
    <x v="1"/>
    <x v="0"/>
    <x v="0"/>
    <x v="0"/>
    <x v="0"/>
  </r>
  <r>
    <n v="9"/>
    <x v="87"/>
    <x v="26"/>
    <x v="2"/>
    <x v="1"/>
    <x v="0"/>
    <x v="32"/>
    <x v="2"/>
    <x v="350"/>
    <n v="53"/>
    <x v="0"/>
    <x v="0"/>
    <x v="0"/>
    <x v="0"/>
    <x v="0"/>
  </r>
  <r>
    <n v="0"/>
    <x v="70"/>
    <x v="10"/>
    <x v="0"/>
    <x v="1"/>
    <x v="0"/>
    <x v="7"/>
    <x v="0"/>
    <x v="23"/>
    <n v="25"/>
    <x v="2"/>
    <x v="1"/>
    <x v="1"/>
    <x v="0"/>
    <x v="0"/>
  </r>
  <r>
    <n v="3"/>
    <x v="126"/>
    <x v="34"/>
    <x v="0"/>
    <x v="1"/>
    <x v="0"/>
    <x v="30"/>
    <x v="0"/>
    <x v="277"/>
    <n v="25"/>
    <x v="2"/>
    <x v="0"/>
    <x v="1"/>
    <x v="0"/>
    <x v="0"/>
  </r>
  <r>
    <n v="2"/>
    <x v="45"/>
    <x v="19"/>
    <x v="0"/>
    <x v="36"/>
    <x v="147"/>
    <x v="50"/>
    <x v="2"/>
    <x v="475"/>
    <n v="23"/>
    <x v="2"/>
    <x v="1"/>
    <x v="1"/>
    <x v="1"/>
    <x v="1"/>
  </r>
  <r>
    <n v="2"/>
    <x v="130"/>
    <x v="23"/>
    <x v="0"/>
    <x v="30"/>
    <x v="84"/>
    <x v="50"/>
    <x v="2"/>
    <x v="476"/>
    <n v="22"/>
    <x v="2"/>
    <x v="1"/>
    <x v="1"/>
    <x v="0"/>
    <x v="0"/>
  </r>
  <r>
    <n v="0"/>
    <x v="78"/>
    <x v="16"/>
    <x v="0"/>
    <x v="13"/>
    <x v="0"/>
    <x v="240"/>
    <x v="3"/>
    <x v="362"/>
    <n v="26"/>
    <x v="2"/>
    <x v="0"/>
    <x v="0"/>
    <x v="0"/>
    <x v="0"/>
  </r>
  <r>
    <n v="0"/>
    <x v="54"/>
    <x v="2"/>
    <x v="0"/>
    <x v="21"/>
    <x v="62"/>
    <x v="241"/>
    <x v="3"/>
    <x v="477"/>
    <n v="22"/>
    <x v="2"/>
    <x v="1"/>
    <x v="1"/>
    <x v="0"/>
    <x v="0"/>
  </r>
  <r>
    <n v="4"/>
    <x v="9"/>
    <x v="9"/>
    <x v="2"/>
    <x v="1"/>
    <x v="0"/>
    <x v="9"/>
    <x v="0"/>
    <x v="382"/>
    <n v="27"/>
    <x v="2"/>
    <x v="0"/>
    <x v="1"/>
    <x v="0"/>
    <x v="0"/>
  </r>
  <r>
    <n v="5"/>
    <x v="63"/>
    <x v="17"/>
    <x v="2"/>
    <x v="1"/>
    <x v="0"/>
    <x v="9"/>
    <x v="0"/>
    <x v="171"/>
    <n v="69"/>
    <x v="4"/>
    <x v="1"/>
    <x v="1"/>
    <x v="0"/>
    <x v="0"/>
  </r>
  <r>
    <n v="2"/>
    <x v="55"/>
    <x v="4"/>
    <x v="0"/>
    <x v="11"/>
    <x v="107"/>
    <x v="36"/>
    <x v="0"/>
    <x v="415"/>
    <n v="25"/>
    <x v="2"/>
    <x v="1"/>
    <x v="1"/>
    <x v="0"/>
    <x v="1"/>
  </r>
  <r>
    <n v="3"/>
    <x v="95"/>
    <x v="2"/>
    <x v="0"/>
    <x v="1"/>
    <x v="0"/>
    <x v="184"/>
    <x v="2"/>
    <x v="392"/>
    <n v="22"/>
    <x v="2"/>
    <x v="1"/>
    <x v="1"/>
    <x v="0"/>
    <x v="0"/>
  </r>
  <r>
    <n v="1"/>
    <x v="17"/>
    <x v="5"/>
    <x v="0"/>
    <x v="5"/>
    <x v="0"/>
    <x v="236"/>
    <x v="1"/>
    <x v="478"/>
    <n v="29"/>
    <x v="2"/>
    <x v="1"/>
    <x v="1"/>
    <x v="1"/>
    <x v="0"/>
  </r>
  <r>
    <n v="1"/>
    <x v="100"/>
    <x v="4"/>
    <x v="0"/>
    <x v="11"/>
    <x v="106"/>
    <x v="242"/>
    <x v="2"/>
    <x v="479"/>
    <n v="23"/>
    <x v="2"/>
    <x v="1"/>
    <x v="0"/>
    <x v="0"/>
    <x v="1"/>
  </r>
  <r>
    <n v="1"/>
    <x v="69"/>
    <x v="17"/>
    <x v="2"/>
    <x v="40"/>
    <x v="106"/>
    <x v="215"/>
    <x v="3"/>
    <x v="480"/>
    <n v="46"/>
    <x v="3"/>
    <x v="0"/>
    <x v="0"/>
    <x v="0"/>
    <x v="1"/>
  </r>
  <r>
    <n v="8"/>
    <x v="17"/>
    <x v="9"/>
    <x v="2"/>
    <x v="1"/>
    <x v="0"/>
    <x v="75"/>
    <x v="2"/>
    <x v="481"/>
    <n v="34"/>
    <x v="1"/>
    <x v="1"/>
    <x v="1"/>
    <x v="0"/>
    <x v="0"/>
  </r>
  <r>
    <n v="13"/>
    <x v="29"/>
    <x v="45"/>
    <x v="3"/>
    <x v="1"/>
    <x v="0"/>
    <x v="219"/>
    <x v="3"/>
    <x v="25"/>
    <n v="44"/>
    <x v="3"/>
    <x v="0"/>
    <x v="0"/>
    <x v="0"/>
    <x v="0"/>
  </r>
  <r>
    <n v="2"/>
    <x v="126"/>
    <x v="6"/>
    <x v="0"/>
    <x v="3"/>
    <x v="141"/>
    <x v="48"/>
    <x v="0"/>
    <x v="482"/>
    <n v="23"/>
    <x v="2"/>
    <x v="1"/>
    <x v="1"/>
    <x v="0"/>
    <x v="0"/>
  </r>
  <r>
    <n v="7"/>
    <x v="55"/>
    <x v="21"/>
    <x v="0"/>
    <x v="47"/>
    <x v="0"/>
    <x v="78"/>
    <x v="0"/>
    <x v="483"/>
    <n v="43"/>
    <x v="3"/>
    <x v="0"/>
    <x v="1"/>
    <x v="0"/>
    <x v="0"/>
  </r>
  <r>
    <n v="2"/>
    <x v="35"/>
    <x v="10"/>
    <x v="0"/>
    <x v="1"/>
    <x v="0"/>
    <x v="182"/>
    <x v="2"/>
    <x v="10"/>
    <n v="25"/>
    <x v="2"/>
    <x v="1"/>
    <x v="1"/>
    <x v="0"/>
    <x v="0"/>
  </r>
  <r>
    <n v="7"/>
    <x v="68"/>
    <x v="14"/>
    <x v="1"/>
    <x v="20"/>
    <x v="146"/>
    <x v="131"/>
    <x v="0"/>
    <x v="239"/>
    <n v="43"/>
    <x v="3"/>
    <x v="0"/>
    <x v="0"/>
    <x v="0"/>
    <x v="1"/>
  </r>
  <r>
    <n v="3"/>
    <x v="131"/>
    <x v="4"/>
    <x v="0"/>
    <x v="5"/>
    <x v="0"/>
    <x v="119"/>
    <x v="1"/>
    <x v="129"/>
    <n v="31"/>
    <x v="1"/>
    <x v="0"/>
    <x v="0"/>
    <x v="1"/>
    <x v="0"/>
  </r>
  <r>
    <n v="0"/>
    <x v="20"/>
    <x v="0"/>
    <x v="0"/>
    <x v="1"/>
    <x v="0"/>
    <x v="59"/>
    <x v="1"/>
    <x v="484"/>
    <n v="22"/>
    <x v="2"/>
    <x v="1"/>
    <x v="1"/>
    <x v="0"/>
    <x v="0"/>
  </r>
  <r>
    <n v="4"/>
    <x v="116"/>
    <x v="13"/>
    <x v="2"/>
    <x v="14"/>
    <x v="58"/>
    <x v="102"/>
    <x v="0"/>
    <x v="485"/>
    <n v="28"/>
    <x v="2"/>
    <x v="1"/>
    <x v="1"/>
    <x v="1"/>
    <x v="0"/>
  </r>
  <r>
    <n v="4"/>
    <x v="16"/>
    <x v="6"/>
    <x v="0"/>
    <x v="1"/>
    <x v="0"/>
    <x v="243"/>
    <x v="3"/>
    <x v="486"/>
    <n v="26"/>
    <x v="2"/>
    <x v="1"/>
    <x v="1"/>
    <x v="0"/>
    <x v="0"/>
  </r>
  <r>
    <n v="2"/>
    <x v="32"/>
    <x v="16"/>
    <x v="0"/>
    <x v="22"/>
    <x v="174"/>
    <x v="128"/>
    <x v="0"/>
    <x v="487"/>
    <n v="26"/>
    <x v="2"/>
    <x v="1"/>
    <x v="1"/>
    <x v="0"/>
    <x v="1"/>
  </r>
  <r>
    <n v="6"/>
    <x v="9"/>
    <x v="20"/>
    <x v="0"/>
    <x v="15"/>
    <x v="0"/>
    <x v="34"/>
    <x v="1"/>
    <x v="488"/>
    <n v="49"/>
    <x v="3"/>
    <x v="0"/>
    <x v="1"/>
    <x v="0"/>
    <x v="0"/>
  </r>
  <r>
    <n v="1"/>
    <x v="11"/>
    <x v="13"/>
    <x v="2"/>
    <x v="1"/>
    <x v="0"/>
    <x v="153"/>
    <x v="0"/>
    <x v="179"/>
    <n v="52"/>
    <x v="0"/>
    <x v="0"/>
    <x v="0"/>
    <x v="0"/>
    <x v="0"/>
  </r>
  <r>
    <n v="2"/>
    <x v="55"/>
    <x v="0"/>
    <x v="0"/>
    <x v="1"/>
    <x v="0"/>
    <x v="78"/>
    <x v="0"/>
    <x v="57"/>
    <n v="41"/>
    <x v="3"/>
    <x v="1"/>
    <x v="1"/>
    <x v="0"/>
    <x v="0"/>
  </r>
  <r>
    <n v="4"/>
    <x v="10"/>
    <x v="16"/>
    <x v="0"/>
    <x v="28"/>
    <x v="30"/>
    <x v="121"/>
    <x v="1"/>
    <x v="489"/>
    <n v="27"/>
    <x v="2"/>
    <x v="1"/>
    <x v="1"/>
    <x v="1"/>
    <x v="0"/>
  </r>
  <r>
    <n v="6"/>
    <x v="64"/>
    <x v="9"/>
    <x v="2"/>
    <x v="13"/>
    <x v="0"/>
    <x v="22"/>
    <x v="0"/>
    <x v="490"/>
    <n v="28"/>
    <x v="2"/>
    <x v="1"/>
    <x v="1"/>
    <x v="0"/>
    <x v="0"/>
  </r>
  <r>
    <n v="10"/>
    <x v="7"/>
    <x v="0"/>
    <x v="0"/>
    <x v="1"/>
    <x v="0"/>
    <x v="9"/>
    <x v="0"/>
    <x v="85"/>
    <n v="30"/>
    <x v="1"/>
    <x v="0"/>
    <x v="1"/>
    <x v="0"/>
    <x v="0"/>
  </r>
  <r>
    <n v="2"/>
    <x v="116"/>
    <x v="38"/>
    <x v="0"/>
    <x v="23"/>
    <x v="175"/>
    <x v="190"/>
    <x v="0"/>
    <x v="491"/>
    <n v="22"/>
    <x v="2"/>
    <x v="1"/>
    <x v="1"/>
    <x v="1"/>
    <x v="1"/>
  </r>
  <r>
    <n v="9"/>
    <x v="102"/>
    <x v="20"/>
    <x v="0"/>
    <x v="1"/>
    <x v="0"/>
    <x v="61"/>
    <x v="0"/>
    <x v="275"/>
    <n v="45"/>
    <x v="3"/>
    <x v="0"/>
    <x v="0"/>
    <x v="0"/>
    <x v="0"/>
  </r>
  <r>
    <n v="2"/>
    <x v="70"/>
    <x v="2"/>
    <x v="0"/>
    <x v="3"/>
    <x v="69"/>
    <x v="11"/>
    <x v="0"/>
    <x v="330"/>
    <n v="23"/>
    <x v="2"/>
    <x v="0"/>
    <x v="1"/>
    <x v="0"/>
    <x v="0"/>
  </r>
  <r>
    <n v="3"/>
    <x v="29"/>
    <x v="2"/>
    <x v="0"/>
    <x v="27"/>
    <x v="176"/>
    <x v="95"/>
    <x v="0"/>
    <x v="492"/>
    <n v="24"/>
    <x v="2"/>
    <x v="1"/>
    <x v="0"/>
    <x v="1"/>
    <x v="1"/>
  </r>
  <r>
    <n v="5"/>
    <x v="19"/>
    <x v="20"/>
    <x v="0"/>
    <x v="22"/>
    <x v="177"/>
    <x v="17"/>
    <x v="1"/>
    <x v="483"/>
    <n v="40"/>
    <x v="3"/>
    <x v="1"/>
    <x v="1"/>
    <x v="0"/>
    <x v="0"/>
  </r>
  <r>
    <n v="10"/>
    <x v="55"/>
    <x v="24"/>
    <x v="0"/>
    <x v="13"/>
    <x v="0"/>
    <x v="244"/>
    <x v="3"/>
    <x v="493"/>
    <n v="38"/>
    <x v="1"/>
    <x v="0"/>
    <x v="1"/>
    <x v="0"/>
    <x v="0"/>
  </r>
  <r>
    <n v="0"/>
    <x v="67"/>
    <x v="19"/>
    <x v="0"/>
    <x v="28"/>
    <x v="178"/>
    <x v="206"/>
    <x v="1"/>
    <x v="494"/>
    <n v="21"/>
    <x v="2"/>
    <x v="1"/>
    <x v="1"/>
    <x v="1"/>
    <x v="1"/>
  </r>
  <r>
    <n v="3"/>
    <x v="34"/>
    <x v="4"/>
    <x v="0"/>
    <x v="1"/>
    <x v="0"/>
    <x v="91"/>
    <x v="1"/>
    <x v="417"/>
    <n v="32"/>
    <x v="1"/>
    <x v="1"/>
    <x v="1"/>
    <x v="0"/>
    <x v="0"/>
  </r>
  <r>
    <n v="7"/>
    <x v="49"/>
    <x v="5"/>
    <x v="0"/>
    <x v="10"/>
    <x v="179"/>
    <x v="83"/>
    <x v="0"/>
    <x v="495"/>
    <n v="34"/>
    <x v="1"/>
    <x v="0"/>
    <x v="0"/>
    <x v="0"/>
    <x v="1"/>
  </r>
  <r>
    <n v="3"/>
    <x v="81"/>
    <x v="20"/>
    <x v="0"/>
    <x v="21"/>
    <x v="161"/>
    <x v="106"/>
    <x v="0"/>
    <x v="496"/>
    <n v="31"/>
    <x v="1"/>
    <x v="0"/>
    <x v="0"/>
    <x v="0"/>
    <x v="1"/>
  </r>
  <r>
    <n v="10"/>
    <x v="120"/>
    <x v="0"/>
    <x v="0"/>
    <x v="19"/>
    <x v="0"/>
    <x v="184"/>
    <x v="2"/>
    <x v="497"/>
    <n v="56"/>
    <x v="0"/>
    <x v="1"/>
    <x v="1"/>
    <x v="1"/>
    <x v="0"/>
  </r>
  <r>
    <n v="1"/>
    <x v="84"/>
    <x v="10"/>
    <x v="0"/>
    <x v="40"/>
    <x v="180"/>
    <x v="140"/>
    <x v="0"/>
    <x v="357"/>
    <n v="24"/>
    <x v="2"/>
    <x v="1"/>
    <x v="1"/>
    <x v="0"/>
    <x v="1"/>
  </r>
  <r>
    <n v="5"/>
    <x v="25"/>
    <x v="16"/>
    <x v="0"/>
    <x v="22"/>
    <x v="0"/>
    <x v="239"/>
    <x v="0"/>
    <x v="298"/>
    <n v="52"/>
    <x v="0"/>
    <x v="0"/>
    <x v="1"/>
    <x v="0"/>
    <x v="0"/>
  </r>
  <r>
    <n v="4"/>
    <x v="62"/>
    <x v="26"/>
    <x v="2"/>
    <x v="5"/>
    <x v="0"/>
    <x v="74"/>
    <x v="1"/>
    <x v="498"/>
    <n v="34"/>
    <x v="1"/>
    <x v="1"/>
    <x v="1"/>
    <x v="1"/>
    <x v="0"/>
  </r>
  <r>
    <n v="1"/>
    <x v="53"/>
    <x v="1"/>
    <x v="0"/>
    <x v="13"/>
    <x v="174"/>
    <x v="181"/>
    <x v="0"/>
    <x v="187"/>
    <n v="21"/>
    <x v="2"/>
    <x v="1"/>
    <x v="1"/>
    <x v="0"/>
    <x v="1"/>
  </r>
  <r>
    <n v="1"/>
    <x v="132"/>
    <x v="21"/>
    <x v="0"/>
    <x v="1"/>
    <x v="181"/>
    <x v="74"/>
    <x v="1"/>
    <x v="289"/>
    <n v="42"/>
    <x v="3"/>
    <x v="0"/>
    <x v="0"/>
    <x v="0"/>
    <x v="0"/>
  </r>
  <r>
    <n v="5"/>
    <x v="27"/>
    <x v="26"/>
    <x v="2"/>
    <x v="8"/>
    <x v="62"/>
    <x v="48"/>
    <x v="0"/>
    <x v="241"/>
    <n v="42"/>
    <x v="3"/>
    <x v="1"/>
    <x v="1"/>
    <x v="0"/>
    <x v="0"/>
  </r>
  <r>
    <n v="1"/>
    <x v="36"/>
    <x v="15"/>
    <x v="1"/>
    <x v="1"/>
    <x v="0"/>
    <x v="61"/>
    <x v="0"/>
    <x v="499"/>
    <n v="45"/>
    <x v="3"/>
    <x v="1"/>
    <x v="1"/>
    <x v="0"/>
    <x v="0"/>
  </r>
  <r>
    <n v="4"/>
    <x v="59"/>
    <x v="20"/>
    <x v="0"/>
    <x v="32"/>
    <x v="0"/>
    <x v="26"/>
    <x v="0"/>
    <x v="182"/>
    <n v="38"/>
    <x v="1"/>
    <x v="1"/>
    <x v="1"/>
    <x v="0"/>
    <x v="0"/>
  </r>
  <r>
    <n v="1"/>
    <x v="5"/>
    <x v="20"/>
    <x v="0"/>
    <x v="1"/>
    <x v="106"/>
    <x v="173"/>
    <x v="0"/>
    <x v="116"/>
    <n v="25"/>
    <x v="2"/>
    <x v="1"/>
    <x v="1"/>
    <x v="0"/>
    <x v="1"/>
  </r>
  <r>
    <n v="0"/>
    <x v="52"/>
    <x v="11"/>
    <x v="2"/>
    <x v="11"/>
    <x v="0"/>
    <x v="77"/>
    <x v="0"/>
    <x v="266"/>
    <n v="22"/>
    <x v="2"/>
    <x v="1"/>
    <x v="0"/>
    <x v="0"/>
    <x v="0"/>
  </r>
  <r>
    <n v="2"/>
    <x v="121"/>
    <x v="13"/>
    <x v="2"/>
    <x v="1"/>
    <x v="0"/>
    <x v="134"/>
    <x v="2"/>
    <x v="262"/>
    <n v="22"/>
    <x v="2"/>
    <x v="1"/>
    <x v="0"/>
    <x v="0"/>
    <x v="0"/>
  </r>
  <r>
    <n v="2"/>
    <x v="31"/>
    <x v="34"/>
    <x v="0"/>
    <x v="1"/>
    <x v="0"/>
    <x v="13"/>
    <x v="0"/>
    <x v="446"/>
    <n v="22"/>
    <x v="2"/>
    <x v="1"/>
    <x v="1"/>
    <x v="0"/>
    <x v="0"/>
  </r>
  <r>
    <n v="3"/>
    <x v="95"/>
    <x v="20"/>
    <x v="0"/>
    <x v="2"/>
    <x v="149"/>
    <x v="121"/>
    <x v="1"/>
    <x v="90"/>
    <n v="34"/>
    <x v="1"/>
    <x v="0"/>
    <x v="1"/>
    <x v="1"/>
    <x v="0"/>
  </r>
  <r>
    <n v="8"/>
    <x v="80"/>
    <x v="26"/>
    <x v="2"/>
    <x v="1"/>
    <x v="0"/>
    <x v="121"/>
    <x v="1"/>
    <x v="248"/>
    <n v="22"/>
    <x v="2"/>
    <x v="0"/>
    <x v="1"/>
    <x v="0"/>
    <x v="0"/>
  </r>
  <r>
    <n v="2"/>
    <x v="128"/>
    <x v="13"/>
    <x v="2"/>
    <x v="16"/>
    <x v="78"/>
    <x v="243"/>
    <x v="3"/>
    <x v="500"/>
    <n v="24"/>
    <x v="2"/>
    <x v="0"/>
    <x v="0"/>
    <x v="0"/>
    <x v="0"/>
  </r>
  <r>
    <n v="2"/>
    <x v="39"/>
    <x v="23"/>
    <x v="0"/>
    <x v="22"/>
    <x v="132"/>
    <x v="23"/>
    <x v="1"/>
    <x v="501"/>
    <n v="22"/>
    <x v="2"/>
    <x v="1"/>
    <x v="1"/>
    <x v="0"/>
    <x v="0"/>
  </r>
  <r>
    <n v="2"/>
    <x v="44"/>
    <x v="18"/>
    <x v="0"/>
    <x v="1"/>
    <x v="0"/>
    <x v="2"/>
    <x v="2"/>
    <x v="502"/>
    <n v="53"/>
    <x v="0"/>
    <x v="1"/>
    <x v="1"/>
    <x v="0"/>
    <x v="0"/>
  </r>
  <r>
    <n v="4"/>
    <x v="54"/>
    <x v="10"/>
    <x v="0"/>
    <x v="3"/>
    <x v="0"/>
    <x v="21"/>
    <x v="0"/>
    <x v="223"/>
    <n v="28"/>
    <x v="2"/>
    <x v="1"/>
    <x v="1"/>
    <x v="0"/>
    <x v="0"/>
  </r>
  <r>
    <n v="0"/>
    <x v="19"/>
    <x v="26"/>
    <x v="2"/>
    <x v="22"/>
    <x v="78"/>
    <x v="44"/>
    <x v="1"/>
    <x v="503"/>
    <n v="21"/>
    <x v="2"/>
    <x v="1"/>
    <x v="1"/>
    <x v="0"/>
    <x v="0"/>
  </r>
  <r>
    <n v="8"/>
    <x v="133"/>
    <x v="0"/>
    <x v="0"/>
    <x v="2"/>
    <x v="0"/>
    <x v="69"/>
    <x v="0"/>
    <x v="370"/>
    <n v="42"/>
    <x v="3"/>
    <x v="1"/>
    <x v="1"/>
    <x v="1"/>
    <x v="0"/>
  </r>
  <r>
    <n v="2"/>
    <x v="20"/>
    <x v="10"/>
    <x v="0"/>
    <x v="36"/>
    <x v="69"/>
    <x v="24"/>
    <x v="0"/>
    <x v="504"/>
    <n v="21"/>
    <x v="2"/>
    <x v="1"/>
    <x v="1"/>
    <x v="1"/>
    <x v="0"/>
  </r>
  <r>
    <n v="1"/>
    <x v="34"/>
    <x v="4"/>
    <x v="0"/>
    <x v="1"/>
    <x v="0"/>
    <x v="109"/>
    <x v="0"/>
    <x v="209"/>
    <n v="42"/>
    <x v="3"/>
    <x v="0"/>
    <x v="1"/>
    <x v="0"/>
    <x v="0"/>
  </r>
  <r>
    <n v="11"/>
    <x v="80"/>
    <x v="9"/>
    <x v="2"/>
    <x v="16"/>
    <x v="90"/>
    <x v="219"/>
    <x v="3"/>
    <x v="505"/>
    <n v="48"/>
    <x v="3"/>
    <x v="0"/>
    <x v="1"/>
    <x v="0"/>
    <x v="0"/>
  </r>
  <r>
    <n v="3"/>
    <x v="34"/>
    <x v="28"/>
    <x v="0"/>
    <x v="28"/>
    <x v="1"/>
    <x v="107"/>
    <x v="0"/>
    <x v="437"/>
    <n v="26"/>
    <x v="2"/>
    <x v="1"/>
    <x v="1"/>
    <x v="1"/>
    <x v="0"/>
  </r>
  <r>
    <n v="1"/>
    <x v="28"/>
    <x v="19"/>
    <x v="0"/>
    <x v="19"/>
    <x v="93"/>
    <x v="228"/>
    <x v="1"/>
    <x v="336"/>
    <n v="22"/>
    <x v="2"/>
    <x v="1"/>
    <x v="1"/>
    <x v="1"/>
    <x v="0"/>
  </r>
  <r>
    <n v="9"/>
    <x v="100"/>
    <x v="15"/>
    <x v="1"/>
    <x v="1"/>
    <x v="0"/>
    <x v="123"/>
    <x v="0"/>
    <x v="506"/>
    <n v="45"/>
    <x v="3"/>
    <x v="0"/>
    <x v="0"/>
    <x v="0"/>
    <x v="0"/>
  </r>
  <r>
    <n v="13"/>
    <x v="88"/>
    <x v="13"/>
    <x v="2"/>
    <x v="16"/>
    <x v="13"/>
    <x v="112"/>
    <x v="3"/>
    <x v="507"/>
    <n v="39"/>
    <x v="1"/>
    <x v="1"/>
    <x v="0"/>
    <x v="0"/>
    <x v="0"/>
  </r>
  <r>
    <n v="12"/>
    <x v="15"/>
    <x v="11"/>
    <x v="2"/>
    <x v="10"/>
    <x v="62"/>
    <x v="15"/>
    <x v="0"/>
    <x v="508"/>
    <n v="46"/>
    <x v="3"/>
    <x v="1"/>
    <x v="1"/>
    <x v="0"/>
    <x v="0"/>
  </r>
  <r>
    <n v="1"/>
    <x v="24"/>
    <x v="15"/>
    <x v="1"/>
    <x v="9"/>
    <x v="0"/>
    <x v="245"/>
    <x v="3"/>
    <x v="509"/>
    <n v="27"/>
    <x v="2"/>
    <x v="0"/>
    <x v="0"/>
    <x v="0"/>
    <x v="0"/>
  </r>
  <r>
    <n v="1"/>
    <x v="66"/>
    <x v="4"/>
    <x v="0"/>
    <x v="9"/>
    <x v="92"/>
    <x v="246"/>
    <x v="3"/>
    <x v="510"/>
    <n v="32"/>
    <x v="1"/>
    <x v="1"/>
    <x v="1"/>
    <x v="0"/>
    <x v="0"/>
  </r>
  <r>
    <n v="3"/>
    <x v="49"/>
    <x v="6"/>
    <x v="0"/>
    <x v="29"/>
    <x v="174"/>
    <x v="227"/>
    <x v="0"/>
    <x v="511"/>
    <n v="36"/>
    <x v="1"/>
    <x v="0"/>
    <x v="0"/>
    <x v="1"/>
    <x v="1"/>
  </r>
  <r>
    <n v="6"/>
    <x v="78"/>
    <x v="24"/>
    <x v="0"/>
    <x v="1"/>
    <x v="0"/>
    <x v="133"/>
    <x v="2"/>
    <x v="80"/>
    <n v="50"/>
    <x v="0"/>
    <x v="0"/>
    <x v="0"/>
    <x v="0"/>
    <x v="0"/>
  </r>
  <r>
    <n v="4"/>
    <x v="63"/>
    <x v="6"/>
    <x v="0"/>
    <x v="1"/>
    <x v="0"/>
    <x v="95"/>
    <x v="0"/>
    <x v="512"/>
    <n v="22"/>
    <x v="2"/>
    <x v="0"/>
    <x v="1"/>
    <x v="0"/>
    <x v="0"/>
  </r>
  <r>
    <n v="1"/>
    <x v="126"/>
    <x v="20"/>
    <x v="0"/>
    <x v="21"/>
    <x v="98"/>
    <x v="87"/>
    <x v="0"/>
    <x v="85"/>
    <n v="28"/>
    <x v="2"/>
    <x v="1"/>
    <x v="1"/>
    <x v="0"/>
    <x v="0"/>
  </r>
  <r>
    <n v="3"/>
    <x v="84"/>
    <x v="24"/>
    <x v="0"/>
    <x v="20"/>
    <x v="0"/>
    <x v="170"/>
    <x v="1"/>
    <x v="110"/>
    <n v="25"/>
    <x v="2"/>
    <x v="1"/>
    <x v="1"/>
    <x v="0"/>
    <x v="0"/>
  </r>
  <r>
    <n v="0"/>
    <x v="97"/>
    <x v="13"/>
    <x v="2"/>
    <x v="38"/>
    <x v="182"/>
    <x v="18"/>
    <x v="3"/>
    <x v="513"/>
    <n v="26"/>
    <x v="2"/>
    <x v="0"/>
    <x v="0"/>
    <x v="0"/>
    <x v="1"/>
  </r>
  <r>
    <n v="8"/>
    <x v="85"/>
    <x v="20"/>
    <x v="0"/>
    <x v="3"/>
    <x v="0"/>
    <x v="77"/>
    <x v="0"/>
    <x v="84"/>
    <n v="45"/>
    <x v="3"/>
    <x v="0"/>
    <x v="0"/>
    <x v="0"/>
    <x v="0"/>
  </r>
  <r>
    <n v="1"/>
    <x v="83"/>
    <x v="13"/>
    <x v="2"/>
    <x v="21"/>
    <x v="14"/>
    <x v="192"/>
    <x v="0"/>
    <x v="514"/>
    <n v="37"/>
    <x v="1"/>
    <x v="0"/>
    <x v="1"/>
    <x v="0"/>
    <x v="0"/>
  </r>
  <r>
    <n v="7"/>
    <x v="4"/>
    <x v="14"/>
    <x v="1"/>
    <x v="9"/>
    <x v="0"/>
    <x v="69"/>
    <x v="0"/>
    <x v="72"/>
    <n v="39"/>
    <x v="1"/>
    <x v="1"/>
    <x v="1"/>
    <x v="0"/>
    <x v="0"/>
  </r>
  <r>
    <n v="0"/>
    <x v="65"/>
    <x v="0"/>
    <x v="0"/>
    <x v="1"/>
    <x v="0"/>
    <x v="160"/>
    <x v="0"/>
    <x v="60"/>
    <n v="52"/>
    <x v="0"/>
    <x v="0"/>
    <x v="1"/>
    <x v="0"/>
    <x v="0"/>
  </r>
  <r>
    <n v="1"/>
    <x v="39"/>
    <x v="16"/>
    <x v="0"/>
    <x v="1"/>
    <x v="0"/>
    <x v="139"/>
    <x v="0"/>
    <x v="273"/>
    <n v="26"/>
    <x v="2"/>
    <x v="1"/>
    <x v="1"/>
    <x v="0"/>
    <x v="0"/>
  </r>
  <r>
    <n v="6"/>
    <x v="134"/>
    <x v="8"/>
    <x v="1"/>
    <x v="1"/>
    <x v="0"/>
    <x v="140"/>
    <x v="0"/>
    <x v="115"/>
    <n v="66"/>
    <x v="4"/>
    <x v="0"/>
    <x v="0"/>
    <x v="0"/>
    <x v="0"/>
  </r>
  <r>
    <n v="2"/>
    <x v="30"/>
    <x v="19"/>
    <x v="0"/>
    <x v="11"/>
    <x v="183"/>
    <x v="121"/>
    <x v="1"/>
    <x v="515"/>
    <n v="22"/>
    <x v="2"/>
    <x v="1"/>
    <x v="1"/>
    <x v="0"/>
    <x v="0"/>
  </r>
  <r>
    <n v="9"/>
    <x v="82"/>
    <x v="4"/>
    <x v="0"/>
    <x v="15"/>
    <x v="0"/>
    <x v="151"/>
    <x v="3"/>
    <x v="118"/>
    <n v="43"/>
    <x v="3"/>
    <x v="0"/>
    <x v="0"/>
    <x v="0"/>
    <x v="0"/>
  </r>
  <r>
    <n v="9"/>
    <x v="3"/>
    <x v="24"/>
    <x v="0"/>
    <x v="1"/>
    <x v="0"/>
    <x v="89"/>
    <x v="2"/>
    <x v="172"/>
    <n v="33"/>
    <x v="1"/>
    <x v="1"/>
    <x v="1"/>
    <x v="0"/>
    <x v="0"/>
  </r>
  <r>
    <n v="10"/>
    <x v="45"/>
    <x v="16"/>
    <x v="0"/>
    <x v="45"/>
    <x v="106"/>
    <x v="37"/>
    <x v="0"/>
    <x v="516"/>
    <n v="63"/>
    <x v="4"/>
    <x v="1"/>
    <x v="1"/>
    <x v="0"/>
    <x v="1"/>
  </r>
  <r>
    <n v="2"/>
    <x v="32"/>
    <x v="6"/>
    <x v="0"/>
    <x v="22"/>
    <x v="0"/>
    <x v="186"/>
    <x v="0"/>
    <x v="251"/>
    <n v="27"/>
    <x v="2"/>
    <x v="1"/>
    <x v="1"/>
    <x v="0"/>
    <x v="0"/>
  </r>
  <r>
    <n v="5"/>
    <x v="126"/>
    <x v="0"/>
    <x v="0"/>
    <x v="2"/>
    <x v="184"/>
    <x v="179"/>
    <x v="1"/>
    <x v="27"/>
    <n v="30"/>
    <x v="1"/>
    <x v="1"/>
    <x v="1"/>
    <x v="1"/>
    <x v="0"/>
  </r>
  <r>
    <n v="1"/>
    <x v="19"/>
    <x v="10"/>
    <x v="0"/>
    <x v="1"/>
    <x v="0"/>
    <x v="13"/>
    <x v="0"/>
    <x v="289"/>
    <n v="47"/>
    <x v="3"/>
    <x v="0"/>
    <x v="1"/>
    <x v="0"/>
    <x v="0"/>
  </r>
  <r>
    <n v="1"/>
    <x v="70"/>
    <x v="6"/>
    <x v="0"/>
    <x v="15"/>
    <x v="0"/>
    <x v="131"/>
    <x v="0"/>
    <x v="269"/>
    <n v="23"/>
    <x v="2"/>
    <x v="1"/>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01ADA14-CF54-4DAF-9375-0B2A6C945556}" name="PivotTable5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9">
  <location ref="K20:N22"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sortType="ascending"/>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dataField="1" showAll="0">
      <items count="3">
        <item x="1"/>
        <item x="0"/>
        <item t="default"/>
      </items>
    </pivotField>
    <pivotField showAll="0"/>
    <pivotField showAll="0"/>
    <pivotField axis="axisCol" showAll="0">
      <items count="5">
        <item x="1"/>
        <item m="1" x="3"/>
        <item m="1" x="2"/>
        <item x="0"/>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s>
  <rowItems count="1">
    <i/>
  </rowItems>
  <colFields count="1">
    <field x="14"/>
  </colFields>
  <colItems count="3">
    <i>
      <x/>
    </i>
    <i>
      <x v="3"/>
    </i>
    <i t="grand">
      <x/>
    </i>
  </colItems>
  <dataFields count="1">
    <dataField name="Count of Diabetes" fld="11" subtotal="count" showDataAs="percentOfTotal" baseField="1" baseItem="0" numFmtId="9"/>
  </dataFields>
  <formats count="7">
    <format dxfId="66">
      <pivotArea outline="0" collapsedLevelsAreSubtotals="1" fieldPosition="0"/>
    </format>
    <format dxfId="65">
      <pivotArea type="all" dataOnly="0" outline="0" fieldPosition="0"/>
    </format>
    <format dxfId="64">
      <pivotArea outline="0" collapsedLevelsAreSubtotals="1" fieldPosition="0"/>
    </format>
    <format dxfId="63">
      <pivotArea type="origin" dataOnly="0" labelOnly="1" outline="0" fieldPosition="0"/>
    </format>
    <format dxfId="62">
      <pivotArea dataOnly="0" labelOnly="1" outline="0" axis="axisValues" fieldPosition="0"/>
    </format>
    <format dxfId="61">
      <pivotArea field="14" type="button" dataOnly="0" labelOnly="1" outline="0" axis="axisCol" fieldPosition="0"/>
    </format>
    <format dxfId="60">
      <pivotArea type="topRight" dataOnly="0" labelOnly="1" outline="0" fieldPosition="0"/>
    </format>
  </formats>
  <chartFormats count="12">
    <chartFormat chart="10" format="690" series="1">
      <pivotArea type="data" outline="0" fieldPosition="0">
        <references count="1">
          <reference field="4294967294" count="1" selected="0">
            <x v="0"/>
          </reference>
        </references>
      </pivotArea>
    </chartFormat>
    <chartFormat chart="10" format="691" series="1">
      <pivotArea type="data" outline="0" fieldPosition="0">
        <references count="2">
          <reference field="4294967294" count="1" selected="0">
            <x v="0"/>
          </reference>
          <reference field="14" count="1" selected="0">
            <x v="2"/>
          </reference>
        </references>
      </pivotArea>
    </chartFormat>
    <chartFormat chart="10" format="692" series="1">
      <pivotArea type="data" outline="0" fieldPosition="0">
        <references count="2">
          <reference field="4294967294" count="1" selected="0">
            <x v="0"/>
          </reference>
          <reference field="14" count="1" selected="0">
            <x v="1"/>
          </reference>
        </references>
      </pivotArea>
    </chartFormat>
    <chartFormat chart="25" format="695" series="1">
      <pivotArea type="data" outline="0" fieldPosition="0">
        <references count="2">
          <reference field="4294967294" count="1" selected="0">
            <x v="0"/>
          </reference>
          <reference field="14" count="1" selected="0">
            <x v="1"/>
          </reference>
        </references>
      </pivotArea>
    </chartFormat>
    <chartFormat chart="25" format="696" series="1">
      <pivotArea type="data" outline="0" fieldPosition="0">
        <references count="2">
          <reference field="4294967294" count="1" selected="0">
            <x v="0"/>
          </reference>
          <reference field="14" count="1" selected="0">
            <x v="2"/>
          </reference>
        </references>
      </pivotArea>
    </chartFormat>
    <chartFormat chart="25" format="697" series="1">
      <pivotArea type="data" outline="0" fieldPosition="0">
        <references count="2">
          <reference field="4294967294" count="1" selected="0">
            <x v="0"/>
          </reference>
          <reference field="14" count="1" selected="0">
            <x v="0"/>
          </reference>
        </references>
      </pivotArea>
    </chartFormat>
    <chartFormat chart="25" format="698" series="1">
      <pivotArea type="data" outline="0" fieldPosition="0">
        <references count="2">
          <reference field="4294967294" count="1" selected="0">
            <x v="0"/>
          </reference>
          <reference field="14" count="1" selected="0">
            <x v="3"/>
          </reference>
        </references>
      </pivotArea>
    </chartFormat>
    <chartFormat chart="25" format="699">
      <pivotArea type="data" outline="0" fieldPosition="0">
        <references count="2">
          <reference field="4294967294" count="1" selected="0">
            <x v="0"/>
          </reference>
          <reference field="14" count="1" selected="0">
            <x v="0"/>
          </reference>
        </references>
      </pivotArea>
    </chartFormat>
    <chartFormat chart="25" format="700" series="1">
      <pivotArea type="data" outline="0" fieldPosition="0">
        <references count="1">
          <reference field="4294967294" count="1" selected="0">
            <x v="0"/>
          </reference>
        </references>
      </pivotArea>
    </chartFormat>
    <chartFormat chart="10" format="693" series="1">
      <pivotArea type="data" outline="0" fieldPosition="0">
        <references count="2">
          <reference field="4294967294" count="1" selected="0">
            <x v="0"/>
          </reference>
          <reference field="14" count="1" selected="0">
            <x v="3"/>
          </reference>
        </references>
      </pivotArea>
    </chartFormat>
    <chartFormat chart="25" format="701">
      <pivotArea type="data" outline="0" fieldPosition="0">
        <references count="2">
          <reference field="4294967294" count="1" selected="0">
            <x v="0"/>
          </reference>
          <reference field="14" count="1" selected="0">
            <x v="3"/>
          </reference>
        </references>
      </pivotArea>
    </chartFormat>
    <chartFormat chart="10" format="694" series="1">
      <pivotArea type="data" outline="0" fieldPosition="0">
        <references count="2">
          <reference field="4294967294" count="1" selected="0">
            <x v="0"/>
          </reference>
          <reference field="1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E165A87-DBA1-46BC-8FAC-C98F7CB1F353}" name="PivotTable3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7">
  <location ref="A3:B6" firstHeaderRow="1" firstDataRow="1"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Row" dataField="1" showAll="0">
      <items count="3">
        <item x="1"/>
        <item x="0"/>
        <item t="default"/>
      </items>
    </pivotField>
    <pivotField showAll="0"/>
    <pivotField showAll="0"/>
    <pivotField showAll="0"/>
    <pivotField showAll="0">
      <items count="3">
        <item x="0"/>
        <item x="1"/>
        <item t="default"/>
      </items>
    </pivotField>
    <pivotField showAll="0">
      <items count="3">
        <item x="1"/>
        <item x="0"/>
        <item t="default"/>
      </items>
    </pivotField>
    <pivotField showAll="0">
      <items count="3">
        <item x="0"/>
        <item x="1"/>
        <item t="default"/>
      </items>
    </pivotField>
  </pivotFields>
  <rowFields count="1">
    <field x="11"/>
  </rowFields>
  <rowItems count="3">
    <i>
      <x/>
    </i>
    <i>
      <x v="1"/>
    </i>
    <i t="grand">
      <x/>
    </i>
  </rowItems>
  <colItems count="1">
    <i/>
  </colItems>
  <dataFields count="1">
    <dataField name="Count of Diabetes" fld="11" subtotal="count" baseField="1" baseItem="0"/>
  </dataFields>
  <formats count="2">
    <format dxfId="68">
      <pivotArea outline="0" collapsedLevelsAreSubtotals="1" fieldPosition="0"/>
    </format>
    <format dxfId="67">
      <pivotArea outline="0" fieldPosition="0">
        <references count="1">
          <reference field="4294967294" count="1">
            <x v="0"/>
          </reference>
        </references>
      </pivotArea>
    </format>
  </formats>
  <chartFormats count="8">
    <chartFormat chart="16" format="176" series="1">
      <pivotArea type="data" outline="0" fieldPosition="0">
        <references count="1">
          <reference field="4294967294" count="1" selected="0">
            <x v="0"/>
          </reference>
        </references>
      </pivotArea>
    </chartFormat>
    <chartFormat chart="20" format="190"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6" format="4" series="1">
      <pivotArea type="data" outline="0" fieldPosition="0">
        <references count="1">
          <reference field="4294967294" count="1" selected="0">
            <x v="0"/>
          </reference>
        </references>
      </pivotArea>
    </chartFormat>
    <chartFormat chart="26" format="5">
      <pivotArea type="data" outline="0" fieldPosition="0">
        <references count="2">
          <reference field="4294967294" count="1" selected="0">
            <x v="0"/>
          </reference>
          <reference field="11" count="1" selected="0">
            <x v="0"/>
          </reference>
        </references>
      </pivotArea>
    </chartFormat>
    <chartFormat chart="26" format="6">
      <pivotArea type="data" outline="0" fieldPosition="0">
        <references count="2">
          <reference field="4294967294" count="1" selected="0">
            <x v="0"/>
          </reference>
          <reference field="11" count="1" selected="0">
            <x v="1"/>
          </reference>
        </references>
      </pivotArea>
    </chartFormat>
    <chartFormat chart="23" format="1">
      <pivotArea type="data" outline="0" fieldPosition="0">
        <references count="2">
          <reference field="4294967294" count="1" selected="0">
            <x v="0"/>
          </reference>
          <reference field="11" count="1" selected="0">
            <x v="0"/>
          </reference>
        </references>
      </pivotArea>
    </chartFormat>
    <chartFormat chart="23" format="2">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C51718E-FB5D-4468-BA89-B61B1532EE12}" name="PivotTable5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9">
  <location ref="K4:N6"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dataField="1" showAll="0">
      <items count="3">
        <item x="1"/>
        <item x="0"/>
        <item t="default"/>
      </items>
    </pivotField>
    <pivotField showAll="0"/>
    <pivotField axis="axisCol" showAll="0">
      <items count="5">
        <item m="1" x="3"/>
        <item m="1" x="2"/>
        <item x="0"/>
        <item x="1"/>
        <item t="default"/>
      </items>
    </pivotField>
    <pivotField showAll="0"/>
    <pivotField showAll="0">
      <items count="3">
        <item x="0"/>
        <item x="1"/>
        <item t="default"/>
      </items>
    </pivotField>
    <pivotField showAll="0">
      <items count="3">
        <item x="1"/>
        <item x="0"/>
        <item t="default"/>
      </items>
    </pivotField>
    <pivotField showAll="0">
      <items count="3">
        <item x="0"/>
        <item x="1"/>
        <item t="default"/>
      </items>
    </pivotField>
  </pivotFields>
  <rowItems count="1">
    <i/>
  </rowItems>
  <colFields count="1">
    <field x="13"/>
  </colFields>
  <colItems count="3">
    <i>
      <x v="2"/>
    </i>
    <i>
      <x v="3"/>
    </i>
    <i t="grand">
      <x/>
    </i>
  </colItems>
  <dataFields count="1">
    <dataField name="Count of Diabetes" fld="11" subtotal="count" showDataAs="percentOfTotal" baseField="1" baseItem="0" numFmtId="9"/>
  </dataFields>
  <formats count="1">
    <format dxfId="69">
      <pivotArea outline="0" collapsedLevelsAreSubtotals="1" fieldPosition="0"/>
    </format>
  </formats>
  <chartFormats count="10">
    <chartFormat chart="9" format="79" series="1">
      <pivotArea type="data" outline="0" fieldPosition="0">
        <references count="1">
          <reference field="4294967294" count="1" selected="0">
            <x v="0"/>
          </reference>
        </references>
      </pivotArea>
    </chartFormat>
    <chartFormat chart="9" format="80" series="1">
      <pivotArea type="data" outline="0" fieldPosition="0">
        <references count="2">
          <reference field="4294967294" count="1" selected="0">
            <x v="0"/>
          </reference>
          <reference field="13" count="1" selected="0">
            <x v="1"/>
          </reference>
        </references>
      </pivotArea>
    </chartFormat>
    <chartFormat chart="9" format="81" series="1">
      <pivotArea type="data" outline="0" fieldPosition="0">
        <references count="2">
          <reference field="4294967294" count="1" selected="0">
            <x v="0"/>
          </reference>
          <reference field="13" count="1" selected="0">
            <x v="0"/>
          </reference>
        </references>
      </pivotArea>
    </chartFormat>
    <chartFormat chart="28" format="88" series="1">
      <pivotArea type="data" outline="0" fieldPosition="0">
        <references count="2">
          <reference field="4294967294" count="1" selected="0">
            <x v="0"/>
          </reference>
          <reference field="13" count="1" selected="0">
            <x v="2"/>
          </reference>
        </references>
      </pivotArea>
    </chartFormat>
    <chartFormat chart="28" format="89" series="1">
      <pivotArea type="data" outline="0" fieldPosition="0">
        <references count="2">
          <reference field="4294967294" count="1" selected="0">
            <x v="0"/>
          </reference>
          <reference field="13" count="1" selected="0">
            <x v="3"/>
          </reference>
        </references>
      </pivotArea>
    </chartFormat>
    <chartFormat chart="28" format="90">
      <pivotArea type="data" outline="0" fieldPosition="0">
        <references count="2">
          <reference field="4294967294" count="1" selected="0">
            <x v="0"/>
          </reference>
          <reference field="13" count="1" selected="0">
            <x v="2"/>
          </reference>
        </references>
      </pivotArea>
    </chartFormat>
    <chartFormat chart="28" format="91" series="1">
      <pivotArea type="data" outline="0" fieldPosition="0">
        <references count="1">
          <reference field="4294967294" count="1" selected="0">
            <x v="0"/>
          </reference>
        </references>
      </pivotArea>
    </chartFormat>
    <chartFormat chart="9" format="82" series="1">
      <pivotArea type="data" outline="0" fieldPosition="0">
        <references count="2">
          <reference field="4294967294" count="1" selected="0">
            <x v="0"/>
          </reference>
          <reference field="13" count="1" selected="0">
            <x v="3"/>
          </reference>
        </references>
      </pivotArea>
    </chartFormat>
    <chartFormat chart="28" format="92">
      <pivotArea type="data" outline="0" fieldPosition="0">
        <references count="2">
          <reference field="4294967294" count="1" selected="0">
            <x v="0"/>
          </reference>
          <reference field="13" count="1" selected="0">
            <x v="3"/>
          </reference>
        </references>
      </pivotArea>
    </chartFormat>
    <chartFormat chart="9" format="83" series="1">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5AE72B-C637-49FA-8691-365A2F983804}" name="PivotTable5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F20:I23" firstHeaderRow="1" firstDataRow="3"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axis="axisCol" showAll="0">
      <items count="5">
        <item x="2"/>
        <item x="1"/>
        <item x="3"/>
        <item x="0"/>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dataField="1" showAll="0">
      <items count="3">
        <item x="1"/>
        <item x="0"/>
        <item t="default"/>
      </items>
    </pivotField>
    <pivotField showAll="0"/>
    <pivotField showAll="0"/>
    <pivotField showAll="0"/>
    <pivotField showAll="0">
      <items count="3">
        <item sd="0" x="0"/>
        <item sd="0" x="1"/>
        <item t="default"/>
      </items>
    </pivotField>
    <pivotField axis="axisCol" showAll="0">
      <items count="3">
        <item sd="0" x="1"/>
        <item sd="0" x="0"/>
        <item t="default"/>
      </items>
    </pivotField>
    <pivotField showAll="0">
      <items count="3">
        <item x="0"/>
        <item x="1"/>
        <item t="default"/>
      </items>
    </pivotField>
  </pivotFields>
  <rowItems count="1">
    <i/>
  </rowItems>
  <colFields count="2">
    <field x="16"/>
    <field x="3"/>
  </colFields>
  <colItems count="3">
    <i>
      <x/>
    </i>
    <i>
      <x v="1"/>
    </i>
    <i t="grand">
      <x/>
    </i>
  </colItems>
  <dataFields count="1">
    <dataField name="Count of Diabetes" fld="11" subtotal="count" showDataAs="percentOfTotal" baseField="0" baseItem="0" numFmtId="9"/>
  </dataFields>
  <formats count="1">
    <format dxfId="70">
      <pivotArea outline="0" collapsedLevelsAreSubtotals="1" fieldPosition="0"/>
    </format>
  </formats>
  <chartFormats count="12">
    <chartFormat chart="6" format="87" series="1">
      <pivotArea type="data" outline="0" fieldPosition="0">
        <references count="1">
          <reference field="4294967294" count="1" selected="0">
            <x v="0"/>
          </reference>
        </references>
      </pivotArea>
    </chartFormat>
    <chartFormat chart="6" format="88" series="1">
      <pivotArea type="data" outline="0" fieldPosition="0">
        <references count="2">
          <reference field="4294967294" count="1" selected="0">
            <x v="0"/>
          </reference>
          <reference field="3" count="1" selected="0">
            <x v="3"/>
          </reference>
        </references>
      </pivotArea>
    </chartFormat>
    <chartFormat chart="6" format="89" series="1">
      <pivotArea type="data" outline="0" fieldPosition="0">
        <references count="2">
          <reference field="4294967294" count="1" selected="0">
            <x v="0"/>
          </reference>
          <reference field="3" count="1" selected="0">
            <x v="1"/>
          </reference>
        </references>
      </pivotArea>
    </chartFormat>
    <chartFormat chart="6" format="90" series="1">
      <pivotArea type="data" outline="0" fieldPosition="0">
        <references count="2">
          <reference field="4294967294" count="1" selected="0">
            <x v="0"/>
          </reference>
          <reference field="3" count="1" selected="0">
            <x v="2"/>
          </reference>
        </references>
      </pivotArea>
    </chartFormat>
    <chartFormat chart="6" format="91" series="1">
      <pivotArea type="data" outline="0" fieldPosition="0">
        <references count="3">
          <reference field="4294967294" count="1" selected="0">
            <x v="0"/>
          </reference>
          <reference field="3" count="1" selected="0">
            <x v="2"/>
          </reference>
          <reference field="16" count="1" selected="0">
            <x v="0"/>
          </reference>
        </references>
      </pivotArea>
    </chartFormat>
    <chartFormat chart="6" format="92" series="1">
      <pivotArea type="data" outline="0" fieldPosition="0">
        <references count="2">
          <reference field="4294967294" count="1" selected="0">
            <x v="0"/>
          </reference>
          <reference field="16" count="1" selected="0">
            <x v="1"/>
          </reference>
        </references>
      </pivotArea>
    </chartFormat>
    <chartFormat chart="6" format="93" series="1">
      <pivotArea type="data" outline="0" fieldPosition="0">
        <references count="2">
          <reference field="4294967294" count="1" selected="0">
            <x v="0"/>
          </reference>
          <reference field="16" count="1" selected="0">
            <x v="0"/>
          </reference>
        </references>
      </pivotArea>
    </chartFormat>
    <chartFormat chart="10" format="98" series="1">
      <pivotArea type="data" outline="0" fieldPosition="0">
        <references count="2">
          <reference field="4294967294" count="1" selected="0">
            <x v="0"/>
          </reference>
          <reference field="16" count="1" selected="0">
            <x v="0"/>
          </reference>
        </references>
      </pivotArea>
    </chartFormat>
    <chartFormat chart="10" format="99" series="1">
      <pivotArea type="data" outline="0" fieldPosition="0">
        <references count="2">
          <reference field="4294967294" count="1" selected="0">
            <x v="0"/>
          </reference>
          <reference field="16" count="1" selected="0">
            <x v="1"/>
          </reference>
        </references>
      </pivotArea>
    </chartFormat>
    <chartFormat chart="10" format="100">
      <pivotArea type="data" outline="0" fieldPosition="0">
        <references count="2">
          <reference field="4294967294" count="1" selected="0">
            <x v="0"/>
          </reference>
          <reference field="16" count="1" selected="0">
            <x v="0"/>
          </reference>
        </references>
      </pivotArea>
    </chartFormat>
    <chartFormat chart="10" format="101" series="1">
      <pivotArea type="data" outline="0" fieldPosition="0">
        <references count="1">
          <reference field="4294967294" count="1" selected="0">
            <x v="0"/>
          </reference>
        </references>
      </pivotArea>
    </chartFormat>
    <chartFormat chart="10" format="102">
      <pivotArea type="data" outline="0" fieldPosition="0">
        <references count="2">
          <reference field="4294967294" count="1" selected="0">
            <x v="0"/>
          </reference>
          <reference field="1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81B1AD3-E1AA-4CFB-80B5-EFCF16E9F437}" name="PivotTable5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3">
  <location ref="F4:I6"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dataField="1" showAll="0">
      <items count="3">
        <item x="1"/>
        <item x="0"/>
        <item t="default"/>
      </items>
    </pivotField>
    <pivotField axis="axisCol" showAll="0">
      <items count="4">
        <item x="0"/>
        <item m="1" x="2"/>
        <item x="1"/>
        <item t="default"/>
      </items>
    </pivotField>
    <pivotField showAll="0"/>
    <pivotField showAll="0"/>
    <pivotField showAll="0">
      <items count="3">
        <item x="0"/>
        <item x="1"/>
        <item t="default"/>
      </items>
    </pivotField>
    <pivotField showAll="0">
      <items count="3">
        <item x="1"/>
        <item x="0"/>
        <item t="default"/>
      </items>
    </pivotField>
    <pivotField showAll="0">
      <items count="3">
        <item x="0"/>
        <item x="1"/>
        <item t="default"/>
      </items>
    </pivotField>
  </pivotFields>
  <rowItems count="1">
    <i/>
  </rowItems>
  <colFields count="1">
    <field x="12"/>
  </colFields>
  <colItems count="3">
    <i>
      <x/>
    </i>
    <i>
      <x v="2"/>
    </i>
    <i t="grand">
      <x/>
    </i>
  </colItems>
  <dataFields count="1">
    <dataField name="Count of Diabetes" fld="11" subtotal="count" showDataAs="percentOfTotal" baseField="1" baseItem="0" numFmtId="9"/>
  </dataFields>
  <formats count="1">
    <format dxfId="71">
      <pivotArea outline="0" collapsedLevelsAreSubtotals="1" fieldPosition="0"/>
    </format>
  </formats>
  <chartFormats count="11">
    <chartFormat chart="16" format="176" series="1">
      <pivotArea type="data" outline="0" fieldPosition="0">
        <references count="1">
          <reference field="4294967294" count="1" selected="0">
            <x v="0"/>
          </reference>
        </references>
      </pivotArea>
    </chartFormat>
    <chartFormat chart="16" format="177" series="1">
      <pivotArea type="data" outline="0" fieldPosition="0">
        <references count="2">
          <reference field="4294967294" count="1" selected="0">
            <x v="0"/>
          </reference>
          <reference field="12" count="1" selected="0">
            <x v="0"/>
          </reference>
        </references>
      </pivotArea>
    </chartFormat>
    <chartFormat chart="16" format="178">
      <pivotArea type="data" outline="0" fieldPosition="0">
        <references count="2">
          <reference field="4294967294" count="1" selected="0">
            <x v="0"/>
          </reference>
          <reference field="12" count="1" selected="0">
            <x v="1"/>
          </reference>
        </references>
      </pivotArea>
    </chartFormat>
    <chartFormat chart="16" format="179" series="1">
      <pivotArea type="data" outline="0" fieldPosition="0">
        <references count="2">
          <reference field="4294967294" count="1" selected="0">
            <x v="0"/>
          </reference>
          <reference field="12" count="1" selected="0">
            <x v="1"/>
          </reference>
        </references>
      </pivotArea>
    </chartFormat>
    <chartFormat chart="20" format="187" series="1">
      <pivotArea type="data" outline="0" fieldPosition="0">
        <references count="2">
          <reference field="4294967294" count="1" selected="0">
            <x v="0"/>
          </reference>
          <reference field="12" count="1" selected="0">
            <x v="0"/>
          </reference>
        </references>
      </pivotArea>
    </chartFormat>
    <chartFormat chart="20" format="188" series="1">
      <pivotArea type="data" outline="0" fieldPosition="0">
        <references count="2">
          <reference field="4294967294" count="1" selected="0">
            <x v="0"/>
          </reference>
          <reference field="12" count="1" selected="0">
            <x v="2"/>
          </reference>
        </references>
      </pivotArea>
    </chartFormat>
    <chartFormat chart="20" format="189">
      <pivotArea type="data" outline="0" fieldPosition="0">
        <references count="2">
          <reference field="4294967294" count="1" selected="0">
            <x v="0"/>
          </reference>
          <reference field="12" count="1" selected="0">
            <x v="0"/>
          </reference>
        </references>
      </pivotArea>
    </chartFormat>
    <chartFormat chart="20" format="190" series="1">
      <pivotArea type="data" outline="0" fieldPosition="0">
        <references count="1">
          <reference field="4294967294" count="1" selected="0">
            <x v="0"/>
          </reference>
        </references>
      </pivotArea>
    </chartFormat>
    <chartFormat chart="16" format="180" series="1">
      <pivotArea type="data" outline="0" fieldPosition="0">
        <references count="2">
          <reference field="4294967294" count="1" selected="0">
            <x v="0"/>
          </reference>
          <reference field="12" count="1" selected="0">
            <x v="2"/>
          </reference>
        </references>
      </pivotArea>
    </chartFormat>
    <chartFormat chart="16" format="181">
      <pivotArea type="data" outline="0" fieldPosition="0">
        <references count="2">
          <reference field="4294967294" count="1" selected="0">
            <x v="0"/>
          </reference>
          <reference field="12" count="1" selected="0">
            <x v="2"/>
          </reference>
        </references>
      </pivotArea>
    </chartFormat>
    <chartFormat chart="20" format="191">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1F25906-9FD8-4865-BC5E-3FF0A1F30DF2}" name="PivotTable6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9">
  <location ref="Q5:T8" firstHeaderRow="1" firstDataRow="3"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axis="axisCol" showAll="0">
      <items count="6">
        <item x="4"/>
        <item x="2"/>
        <item x="1"/>
        <item x="0"/>
        <item x="3"/>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dataField="1" showAll="0">
      <items count="3">
        <item x="1"/>
        <item x="0"/>
        <item t="default"/>
      </items>
    </pivotField>
    <pivotField showAll="0"/>
    <pivotField showAll="0"/>
    <pivotField showAll="0"/>
    <pivotField showAll="0">
      <items count="3">
        <item x="0"/>
        <item x="1"/>
        <item t="default"/>
      </items>
    </pivotField>
    <pivotField showAll="0">
      <items count="3">
        <item x="1"/>
        <item x="0"/>
        <item t="default"/>
      </items>
    </pivotField>
    <pivotField axis="axisCol" showAll="0">
      <items count="3">
        <item sd="0" x="1"/>
        <item sd="0" x="0"/>
        <item t="default"/>
      </items>
    </pivotField>
  </pivotFields>
  <rowItems count="1">
    <i/>
  </rowItems>
  <colFields count="2">
    <field x="17"/>
    <field x="7"/>
  </colFields>
  <colItems count="3">
    <i>
      <x/>
    </i>
    <i>
      <x v="1"/>
    </i>
    <i t="grand">
      <x/>
    </i>
  </colItems>
  <dataFields count="1">
    <dataField name="Count of Diabetes" fld="11" subtotal="count" showDataAs="percentOfTotal" baseField="1" baseItem="0" numFmtId="9"/>
  </dataFields>
  <formats count="1">
    <format dxfId="72">
      <pivotArea outline="0" collapsedLevelsAreSubtotals="1" fieldPosition="0"/>
    </format>
  </formats>
  <chartFormats count="26">
    <chartFormat chart="6" format="296" series="1">
      <pivotArea type="data" outline="0" fieldPosition="0">
        <references count="1">
          <reference field="4294967294" count="1" selected="0">
            <x v="0"/>
          </reference>
        </references>
      </pivotArea>
    </chartFormat>
    <chartFormat chart="9" format="332" series="1">
      <pivotArea type="data" outline="0" fieldPosition="0">
        <references count="1">
          <reference field="4294967294" count="1" selected="0">
            <x v="0"/>
          </reference>
        </references>
      </pivotArea>
    </chartFormat>
    <chartFormat chart="6" format="544" series="1">
      <pivotArea type="data" outline="0" fieldPosition="0">
        <references count="2">
          <reference field="4294967294" count="1" selected="0">
            <x v="0"/>
          </reference>
          <reference field="7" count="1" selected="0">
            <x v="3"/>
          </reference>
        </references>
      </pivotArea>
    </chartFormat>
    <chartFormat chart="6" format="545" series="1">
      <pivotArea type="data" outline="0" fieldPosition="0">
        <references count="2">
          <reference field="4294967294" count="1" selected="0">
            <x v="0"/>
          </reference>
          <reference field="7" count="1" selected="0">
            <x v="4"/>
          </reference>
        </references>
      </pivotArea>
    </chartFormat>
    <chartFormat chart="6" format="546" series="1">
      <pivotArea type="data" outline="0" fieldPosition="0">
        <references count="2">
          <reference field="4294967294" count="1" selected="0">
            <x v="0"/>
          </reference>
          <reference field="7" count="1" selected="0">
            <x v="2"/>
          </reference>
        </references>
      </pivotArea>
    </chartFormat>
    <chartFormat chart="6" format="547" series="1">
      <pivotArea type="data" outline="0" fieldPosition="0">
        <references count="2">
          <reference field="4294967294" count="1" selected="0">
            <x v="0"/>
          </reference>
          <reference field="7" count="1" selected="0">
            <x v="0"/>
          </reference>
        </references>
      </pivotArea>
    </chartFormat>
    <chartFormat chart="9" format="581" series="1">
      <pivotArea type="data" outline="0" fieldPosition="0">
        <references count="2">
          <reference field="4294967294" count="1" selected="0">
            <x v="0"/>
          </reference>
          <reference field="7" count="1" selected="0">
            <x v="3"/>
          </reference>
        </references>
      </pivotArea>
    </chartFormat>
    <chartFormat chart="9" format="582" series="1">
      <pivotArea type="data" outline="0" fieldPosition="0">
        <references count="2">
          <reference field="4294967294" count="1" selected="0">
            <x v="0"/>
          </reference>
          <reference field="7" count="1" selected="0">
            <x v="4"/>
          </reference>
        </references>
      </pivotArea>
    </chartFormat>
    <chartFormat chart="9" format="583" series="1">
      <pivotArea type="data" outline="0" fieldPosition="0">
        <references count="2">
          <reference field="4294967294" count="1" selected="0">
            <x v="0"/>
          </reference>
          <reference field="7" count="1" selected="0">
            <x v="2"/>
          </reference>
        </references>
      </pivotArea>
    </chartFormat>
    <chartFormat chart="9" format="584" series="1">
      <pivotArea type="data" outline="0" fieldPosition="0">
        <references count="2">
          <reference field="4294967294" count="1" selected="0">
            <x v="0"/>
          </reference>
          <reference field="7" count="1" selected="0">
            <x v="0"/>
          </reference>
        </references>
      </pivotArea>
    </chartFormat>
    <chartFormat chart="10" format="548" series="1">
      <pivotArea type="data" outline="0" fieldPosition="0">
        <references count="2">
          <reference field="4294967294" count="1" selected="0">
            <x v="0"/>
          </reference>
          <reference field="7" count="1" selected="0">
            <x v="1"/>
          </reference>
        </references>
      </pivotArea>
    </chartFormat>
    <chartFormat chart="10" format="549" series="1">
      <pivotArea type="data" outline="0" fieldPosition="0">
        <references count="2">
          <reference field="4294967294" count="1" selected="0">
            <x v="0"/>
          </reference>
          <reference field="7" count="1" selected="0">
            <x v="2"/>
          </reference>
        </references>
      </pivotArea>
    </chartFormat>
    <chartFormat chart="10" format="550" series="1">
      <pivotArea type="data" outline="0" fieldPosition="0">
        <references count="2">
          <reference field="4294967294" count="1" selected="0">
            <x v="0"/>
          </reference>
          <reference field="7" count="1" selected="0">
            <x v="3"/>
          </reference>
        </references>
      </pivotArea>
    </chartFormat>
    <chartFormat chart="10" format="551" series="1">
      <pivotArea type="data" outline="0" fieldPosition="0">
        <references count="2">
          <reference field="4294967294" count="1" selected="0">
            <x v="0"/>
          </reference>
          <reference field="7" count="1" selected="0">
            <x v="4"/>
          </reference>
        </references>
      </pivotArea>
    </chartFormat>
    <chartFormat chart="10" format="552" series="1">
      <pivotArea type="data" outline="0" fieldPosition="0">
        <references count="2">
          <reference field="4294967294" count="1" selected="0">
            <x v="0"/>
          </reference>
          <reference field="7" count="1" selected="0">
            <x v="0"/>
          </reference>
        </references>
      </pivotArea>
    </chartFormat>
    <chartFormat chart="10" format="562" series="1">
      <pivotArea type="data" outline="0" fieldPosition="0">
        <references count="2">
          <reference field="4294967294" count="1" selected="0">
            <x v="0"/>
          </reference>
          <reference field="17" count="1" selected="0">
            <x v="1"/>
          </reference>
        </references>
      </pivotArea>
    </chartFormat>
    <chartFormat chart="10" format="563" series="1">
      <pivotArea type="data" outline="0" fieldPosition="0">
        <references count="2">
          <reference field="4294967294" count="1" selected="0">
            <x v="0"/>
          </reference>
          <reference field="17" count="1" selected="0">
            <x v="0"/>
          </reference>
        </references>
      </pivotArea>
    </chartFormat>
    <chartFormat chart="10" format="564" series="1">
      <pivotArea type="data" outline="0" fieldPosition="0">
        <references count="3">
          <reference field="4294967294" count="1" selected="0">
            <x v="0"/>
          </reference>
          <reference field="7" count="1" selected="0">
            <x v="1"/>
          </reference>
          <reference field="17" count="1" selected="0">
            <x v="1"/>
          </reference>
        </references>
      </pivotArea>
    </chartFormat>
    <chartFormat chart="25" format="567" series="1">
      <pivotArea type="data" outline="0" fieldPosition="0">
        <references count="2">
          <reference field="4294967294" count="1" selected="0">
            <x v="0"/>
          </reference>
          <reference field="17" count="1" selected="0">
            <x v="0"/>
          </reference>
        </references>
      </pivotArea>
    </chartFormat>
    <chartFormat chart="25" format="568" series="1">
      <pivotArea type="data" outline="0" fieldPosition="0">
        <references count="2">
          <reference field="4294967294" count="1" selected="0">
            <x v="0"/>
          </reference>
          <reference field="17" count="1" selected="0">
            <x v="1"/>
          </reference>
        </references>
      </pivotArea>
    </chartFormat>
    <chartFormat chart="25" format="569" series="1">
      <pivotArea type="data" outline="0" fieldPosition="0">
        <references count="3">
          <reference field="4294967294" count="1" selected="0">
            <x v="0"/>
          </reference>
          <reference field="7" count="1" selected="0">
            <x v="4"/>
          </reference>
          <reference field="17" count="1" selected="0">
            <x v="0"/>
          </reference>
        </references>
      </pivotArea>
    </chartFormat>
    <chartFormat chart="10" format="565" series="1">
      <pivotArea type="data" outline="0" fieldPosition="0">
        <references count="3">
          <reference field="4294967294" count="1" selected="0">
            <x v="0"/>
          </reference>
          <reference field="7" count="1" selected="0">
            <x v="4"/>
          </reference>
          <reference field="17" count="1" selected="0">
            <x v="0"/>
          </reference>
        </references>
      </pivotArea>
    </chartFormat>
    <chartFormat chart="25" format="570">
      <pivotArea type="data" outline="0" fieldPosition="0">
        <references count="2">
          <reference field="4294967294" count="1" selected="0">
            <x v="0"/>
          </reference>
          <reference field="17" count="1" selected="0">
            <x v="0"/>
          </reference>
        </references>
      </pivotArea>
    </chartFormat>
    <chartFormat chart="25" format="571" series="1">
      <pivotArea type="data" outline="0" fieldPosition="0">
        <references count="1">
          <reference field="4294967294" count="1" selected="0">
            <x v="0"/>
          </reference>
        </references>
      </pivotArea>
    </chartFormat>
    <chartFormat chart="10" format="566" series="1">
      <pivotArea type="data" outline="0" fieldPosition="0">
        <references count="1">
          <reference field="4294967294" count="1" selected="0">
            <x v="0"/>
          </reference>
        </references>
      </pivotArea>
    </chartFormat>
    <chartFormat chart="25" format="572">
      <pivotArea type="data" outline="0" fieldPosition="0">
        <references count="2">
          <reference field="4294967294" count="1" selected="0">
            <x v="0"/>
          </reference>
          <reference field="1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F5491FC-55C7-4AB0-BAAA-2F1449A94EEF}" name="PivotTable1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3">
  <location ref="A3:D10"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sortType="ascending"/>
    <pivotField axis="axisRow" showAll="0">
      <items count="6">
        <item x="4"/>
        <item x="2"/>
        <item x="1"/>
        <item x="0"/>
        <item x="3"/>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0"/>
        <item x="1"/>
        <item t="default"/>
      </items>
    </pivotField>
  </pivotFields>
  <rowFields count="1">
    <field x="7"/>
  </rowFields>
  <rowItems count="6">
    <i>
      <x/>
    </i>
    <i>
      <x v="1"/>
    </i>
    <i>
      <x v="2"/>
    </i>
    <i>
      <x v="3"/>
    </i>
    <i>
      <x v="4"/>
    </i>
    <i t="grand">
      <x/>
    </i>
  </rowItems>
  <colFields count="1">
    <field x="11"/>
  </colFields>
  <colItems count="3">
    <i>
      <x/>
    </i>
    <i>
      <x v="1"/>
    </i>
    <i t="grand">
      <x/>
    </i>
  </colItems>
  <dataFields count="1">
    <dataField name="Count of Diabetes" fld="11" subtotal="count" baseField="4"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11" type="button" dataOnly="0" labelOnly="1" outline="0" axis="axisCol" fieldPosition="0"/>
    </format>
    <format dxfId="5">
      <pivotArea type="topRight" dataOnly="0" labelOnly="1" outline="0" fieldPosition="0"/>
    </format>
    <format dxfId="4">
      <pivotArea field="7" type="button" dataOnly="0" labelOnly="1" outline="0" axis="axisRow" fieldPosition="0"/>
    </format>
    <format dxfId="3">
      <pivotArea dataOnly="0" labelOnly="1" fieldPosition="0">
        <references count="1">
          <reference field="7" count="4">
            <x v="1"/>
            <x v="2"/>
            <x v="3"/>
            <x v="4"/>
          </reference>
        </references>
      </pivotArea>
    </format>
    <format dxfId="2">
      <pivotArea dataOnly="0" labelOnly="1" grandRow="1" outline="0" fieldPosition="0"/>
    </format>
    <format dxfId="1">
      <pivotArea dataOnly="0" labelOnly="1" fieldPosition="0">
        <references count="1">
          <reference field="11" count="0"/>
        </references>
      </pivotArea>
    </format>
    <format dxfId="0">
      <pivotArea dataOnly="0" labelOnly="1" grandCol="1" outline="0" fieldPosition="0"/>
    </format>
  </formats>
  <chartFormats count="12">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4" format="4" series="1">
      <pivotArea type="data" outline="0" fieldPosition="0">
        <references count="2">
          <reference field="4294967294" count="1" selected="0">
            <x v="0"/>
          </reference>
          <reference field="11" count="1" selected="0">
            <x v="0"/>
          </reference>
        </references>
      </pivotArea>
    </chartFormat>
    <chartFormat chart="4" format="5" series="1">
      <pivotArea type="data" outline="0" fieldPosition="0">
        <references count="2">
          <reference field="4294967294" count="1" selected="0">
            <x v="0"/>
          </reference>
          <reference field="11" count="1" selected="0">
            <x v="1"/>
          </reference>
        </references>
      </pivotArea>
    </chartFormat>
    <chartFormat chart="9" format="8" series="1">
      <pivotArea type="data" outline="0" fieldPosition="0">
        <references count="2">
          <reference field="4294967294" count="1" selected="0">
            <x v="0"/>
          </reference>
          <reference field="11" count="1" selected="0">
            <x v="0"/>
          </reference>
        </references>
      </pivotArea>
    </chartFormat>
    <chartFormat chart="9" format="9" series="1">
      <pivotArea type="data" outline="0" fieldPosition="0">
        <references count="2">
          <reference field="4294967294" count="1" selected="0">
            <x v="0"/>
          </reference>
          <reference field="11" count="1" selected="0">
            <x v="1"/>
          </reference>
        </references>
      </pivotArea>
    </chartFormat>
    <chartFormat chart="10" format="0" series="1">
      <pivotArea type="data" outline="0" fieldPosition="0">
        <references count="2">
          <reference field="4294967294" count="1" selected="0">
            <x v="0"/>
          </reference>
          <reference field="11" count="1" selected="0">
            <x v="0"/>
          </reference>
        </references>
      </pivotArea>
    </chartFormat>
    <chartFormat chart="10" format="1" series="1">
      <pivotArea type="data" outline="0" fieldPosition="0">
        <references count="2">
          <reference field="4294967294" count="1" selected="0">
            <x v="0"/>
          </reference>
          <reference field="11" count="1" selected="0">
            <x v="1"/>
          </reference>
        </references>
      </pivotArea>
    </chartFormat>
    <chartFormat chart="22" format="6" series="1">
      <pivotArea type="data" outline="0" fieldPosition="0">
        <references count="2">
          <reference field="4294967294" count="1" selected="0">
            <x v="0"/>
          </reference>
          <reference field="11" count="1" selected="0">
            <x v="0"/>
          </reference>
        </references>
      </pivotArea>
    </chartFormat>
    <chartFormat chart="22" format="7" series="1">
      <pivotArea type="data" outline="0" fieldPosition="0">
        <references count="2">
          <reference field="4294967294" count="1" selected="0">
            <x v="0"/>
          </reference>
          <reference field="11" count="1" selected="0">
            <x v="1"/>
          </reference>
        </references>
      </pivotArea>
    </chartFormat>
    <chartFormat chart="22" format="8"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FC53F7D-09DD-4F83-98D9-666A4C71966E}" name="PivotTable2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location ref="V3:Y9"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axis="axisRow" showAll="0">
      <items count="5">
        <item x="0"/>
        <item x="2"/>
        <item x="1"/>
        <item x="3"/>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s>
  <rowFields count="1">
    <field x="3"/>
  </rowFields>
  <rowItems count="5">
    <i>
      <x/>
    </i>
    <i>
      <x v="1"/>
    </i>
    <i>
      <x v="2"/>
    </i>
    <i>
      <x v="3"/>
    </i>
    <i t="grand">
      <x/>
    </i>
  </rowItems>
  <colFields count="1">
    <field x="11"/>
  </colFields>
  <colItems count="3">
    <i>
      <x/>
    </i>
    <i>
      <x v="1"/>
    </i>
    <i t="grand">
      <x/>
    </i>
  </colItems>
  <dataFields count="1">
    <dataField name="Count of Diabetes" fld="11" subtotal="count" baseField="4" baseItem="0"/>
  </dataFields>
  <formats count="10">
    <format dxfId="19">
      <pivotArea type="all" dataOnly="0" outline="0" fieldPosition="0"/>
    </format>
    <format dxfId="18">
      <pivotArea outline="0" collapsedLevelsAreSubtotals="1" fieldPosition="0"/>
    </format>
    <format dxfId="17">
      <pivotArea type="origin" dataOnly="0" labelOnly="1" outline="0" fieldPosition="0"/>
    </format>
    <format dxfId="16">
      <pivotArea field="11" type="button" dataOnly="0" labelOnly="1" outline="0" axis="axisCol" fieldPosition="0"/>
    </format>
    <format dxfId="15">
      <pivotArea type="topRight" dataOnly="0" labelOnly="1" outline="0" fieldPosition="0"/>
    </format>
    <format dxfId="14">
      <pivotArea field="3" type="button" dataOnly="0" labelOnly="1" outline="0" axis="axisRow" fieldPosition="0"/>
    </format>
    <format dxfId="13">
      <pivotArea dataOnly="0" labelOnly="1" fieldPosition="0">
        <references count="1">
          <reference field="3" count="0"/>
        </references>
      </pivotArea>
    </format>
    <format dxfId="12">
      <pivotArea dataOnly="0" labelOnly="1" grandRow="1" outline="0" fieldPosition="0"/>
    </format>
    <format dxfId="11">
      <pivotArea dataOnly="0" labelOnly="1" fieldPosition="0">
        <references count="1">
          <reference field="11" count="0"/>
        </references>
      </pivotArea>
    </format>
    <format dxfId="10">
      <pivotArea dataOnly="0" labelOnly="1" grandCol="1" outline="0" fieldPosition="0"/>
    </format>
  </formats>
  <chartFormats count="16">
    <chartFormat chart="5" format="4" series="1">
      <pivotArea type="data" outline="0" fieldPosition="0">
        <references count="2">
          <reference field="4294967294" count="1" selected="0">
            <x v="0"/>
          </reference>
          <reference field="11" count="1" selected="0">
            <x v="0"/>
          </reference>
        </references>
      </pivotArea>
    </chartFormat>
    <chartFormat chart="5" format="5" series="1">
      <pivotArea type="data" outline="0" fieldPosition="0">
        <references count="2">
          <reference field="4294967294" count="1" selected="0">
            <x v="0"/>
          </reference>
          <reference field="11" count="1" selected="0">
            <x v="1"/>
          </reference>
        </references>
      </pivotArea>
    </chartFormat>
    <chartFormat chart="6" format="0" series="1">
      <pivotArea type="data" outline="0" fieldPosition="0">
        <references count="2">
          <reference field="4294967294" count="1" selected="0">
            <x v="0"/>
          </reference>
          <reference field="11" count="1" selected="0">
            <x v="0"/>
          </reference>
        </references>
      </pivotArea>
    </chartFormat>
    <chartFormat chart="6" format="1" series="1">
      <pivotArea type="data" outline="0" fieldPosition="0">
        <references count="2">
          <reference field="4294967294" count="1" selected="0">
            <x v="0"/>
          </reference>
          <reference field="11" count="1" selected="0">
            <x v="1"/>
          </reference>
        </references>
      </pivotArea>
    </chartFormat>
    <chartFormat chart="9" format="4" series="1">
      <pivotArea type="data" outline="0" fieldPosition="0">
        <references count="2">
          <reference field="4294967294" count="1" selected="0">
            <x v="0"/>
          </reference>
          <reference field="11" count="1" selected="0">
            <x v="0"/>
          </reference>
        </references>
      </pivotArea>
    </chartFormat>
    <chartFormat chart="9" format="5" series="1">
      <pivotArea type="data" outline="0" fieldPosition="0">
        <references count="2">
          <reference field="4294967294" count="1" selected="0">
            <x v="0"/>
          </reference>
          <reference field="11" count="1" selected="0">
            <x v="1"/>
          </reference>
        </references>
      </pivotArea>
    </chartFormat>
    <chartFormat chart="14" format="4" series="1">
      <pivotArea type="data" outline="0" fieldPosition="0">
        <references count="2">
          <reference field="4294967294" count="1" selected="0">
            <x v="0"/>
          </reference>
          <reference field="11" count="1" selected="0">
            <x v="0"/>
          </reference>
        </references>
      </pivotArea>
    </chartFormat>
    <chartFormat chart="14" format="5" series="1">
      <pivotArea type="data" outline="0" fieldPosition="0">
        <references count="2">
          <reference field="4294967294" count="1" selected="0">
            <x v="0"/>
          </reference>
          <reference field="11" count="1" selected="0">
            <x v="1"/>
          </reference>
        </references>
      </pivotArea>
    </chartFormat>
    <chartFormat chart="15" format="0" series="1">
      <pivotArea type="data" outline="0" fieldPosition="0">
        <references count="2">
          <reference field="4294967294" count="1" selected="0">
            <x v="0"/>
          </reference>
          <reference field="11" count="1" selected="0">
            <x v="0"/>
          </reference>
        </references>
      </pivotArea>
    </chartFormat>
    <chartFormat chart="15" format="1" series="1">
      <pivotArea type="data" outline="0" fieldPosition="0">
        <references count="2">
          <reference field="4294967294" count="1" selected="0">
            <x v="0"/>
          </reference>
          <reference field="11" count="1" selected="0">
            <x v="1"/>
          </reference>
        </references>
      </pivotArea>
    </chartFormat>
    <chartFormat chart="16" format="0" series="1">
      <pivotArea type="data" outline="0" fieldPosition="0">
        <references count="2">
          <reference field="4294967294" count="1" selected="0">
            <x v="0"/>
          </reference>
          <reference field="11" count="1" selected="0">
            <x v="0"/>
          </reference>
        </references>
      </pivotArea>
    </chartFormat>
    <chartFormat chart="16" format="1" series="1">
      <pivotArea type="data" outline="0" fieldPosition="0">
        <references count="2">
          <reference field="4294967294" count="1" selected="0">
            <x v="0"/>
          </reference>
          <reference field="11" count="1" selected="0">
            <x v="1"/>
          </reference>
        </references>
      </pivotArea>
    </chartFormat>
    <chartFormat chart="20" format="6" series="1">
      <pivotArea type="data" outline="0" fieldPosition="0">
        <references count="2">
          <reference field="4294967294" count="1" selected="0">
            <x v="0"/>
          </reference>
          <reference field="11" count="1" selected="0">
            <x v="0"/>
          </reference>
        </references>
      </pivotArea>
    </chartFormat>
    <chartFormat chart="20" format="7" series="1">
      <pivotArea type="data" outline="0" fieldPosition="0">
        <references count="2">
          <reference field="4294967294" count="1" selected="0">
            <x v="0"/>
          </reference>
          <reference field="11" count="1" selected="0">
            <x v="1"/>
          </reference>
        </references>
      </pivotArea>
    </chartFormat>
    <chartFormat chart="20" format="8"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EFD3D17-14CA-42DC-B991-C26E2F18E2B5}" name="PivotTable1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location ref="F3:I13" firstHeaderRow="1" firstDataRow="2" firstDataCol="1"/>
  <pivotFields count="18">
    <pivotField showAll="0"/>
    <pivotField axis="axisRow" showAll="0">
      <items count="13">
        <item x="0"/>
        <item x="1"/>
        <item x="2"/>
        <item x="3"/>
        <item x="4"/>
        <item x="5"/>
        <item x="6"/>
        <item x="7"/>
        <item x="8"/>
        <item x="9"/>
        <item x="10"/>
        <item x="11"/>
        <item t="default"/>
      </items>
    </pivotField>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s>
  <rowFields count="1">
    <field x="1"/>
  </rowFields>
  <rowItems count="9">
    <i>
      <x v="3"/>
    </i>
    <i>
      <x v="4"/>
    </i>
    <i>
      <x v="5"/>
    </i>
    <i>
      <x v="6"/>
    </i>
    <i>
      <x v="7"/>
    </i>
    <i>
      <x v="8"/>
    </i>
    <i>
      <x v="9"/>
    </i>
    <i>
      <x v="10"/>
    </i>
    <i t="grand">
      <x/>
    </i>
  </rowItems>
  <colFields count="1">
    <field x="11"/>
  </colFields>
  <colItems count="3">
    <i>
      <x/>
    </i>
    <i>
      <x v="1"/>
    </i>
    <i t="grand">
      <x/>
    </i>
  </colItems>
  <dataFields count="1">
    <dataField name="Count of Diabetes" fld="11" subtotal="count" baseField="4" baseItem="0"/>
  </dataFields>
  <formats count="10">
    <format dxfId="29">
      <pivotArea type="all" dataOnly="0" outline="0" fieldPosition="0"/>
    </format>
    <format dxfId="28">
      <pivotArea outline="0" collapsedLevelsAreSubtotals="1" fieldPosition="0"/>
    </format>
    <format dxfId="27">
      <pivotArea type="origin" dataOnly="0" labelOnly="1" outline="0" fieldPosition="0"/>
    </format>
    <format dxfId="26">
      <pivotArea field="11" type="button" dataOnly="0" labelOnly="1" outline="0" axis="axisCol" fieldPosition="0"/>
    </format>
    <format dxfId="25">
      <pivotArea type="topRight" dataOnly="0" labelOnly="1" outline="0" fieldPosition="0"/>
    </format>
    <format dxfId="24">
      <pivotArea field="1" type="button" dataOnly="0" labelOnly="1" outline="0" axis="axisRow" fieldPosition="0"/>
    </format>
    <format dxfId="23">
      <pivotArea dataOnly="0" labelOnly="1" fieldPosition="0">
        <references count="1">
          <reference field="1" count="8">
            <x v="3"/>
            <x v="4"/>
            <x v="5"/>
            <x v="6"/>
            <x v="7"/>
            <x v="8"/>
            <x v="9"/>
            <x v="10"/>
          </reference>
        </references>
      </pivotArea>
    </format>
    <format dxfId="22">
      <pivotArea dataOnly="0" labelOnly="1" grandRow="1" outline="0" fieldPosition="0"/>
    </format>
    <format dxfId="21">
      <pivotArea dataOnly="0" labelOnly="1" fieldPosition="0">
        <references count="1">
          <reference field="11" count="0"/>
        </references>
      </pivotArea>
    </format>
    <format dxfId="20">
      <pivotArea dataOnly="0" labelOnly="1" grandCol="1" outline="0" fieldPosition="0"/>
    </format>
  </formats>
  <chartFormats count="9">
    <chartFormat chart="5" format="4" series="1">
      <pivotArea type="data" outline="0" fieldPosition="0">
        <references count="2">
          <reference field="4294967294" count="1" selected="0">
            <x v="0"/>
          </reference>
          <reference field="11" count="1" selected="0">
            <x v="0"/>
          </reference>
        </references>
      </pivotArea>
    </chartFormat>
    <chartFormat chart="5" format="5" series="1">
      <pivotArea type="data" outline="0" fieldPosition="0">
        <references count="2">
          <reference field="4294967294" count="1" selected="0">
            <x v="0"/>
          </reference>
          <reference field="11" count="1" selected="0">
            <x v="1"/>
          </reference>
        </references>
      </pivotArea>
    </chartFormat>
    <chartFormat chart="16" format="4" series="1">
      <pivotArea type="data" outline="0" fieldPosition="0">
        <references count="2">
          <reference field="4294967294" count="1" selected="0">
            <x v="0"/>
          </reference>
          <reference field="11" count="1" selected="0">
            <x v="0"/>
          </reference>
        </references>
      </pivotArea>
    </chartFormat>
    <chartFormat chart="16" format="5" series="1">
      <pivotArea type="data" outline="0" fieldPosition="0">
        <references count="2">
          <reference field="4294967294" count="1" selected="0">
            <x v="0"/>
          </reference>
          <reference field="11" count="1" selected="0">
            <x v="1"/>
          </reference>
        </references>
      </pivotArea>
    </chartFormat>
    <chartFormat chart="20" format="10" series="1">
      <pivotArea type="data" outline="0" fieldPosition="0">
        <references count="2">
          <reference field="4294967294" count="1" selected="0">
            <x v="0"/>
          </reference>
          <reference field="11" count="1" selected="0">
            <x v="0"/>
          </reference>
        </references>
      </pivotArea>
    </chartFormat>
    <chartFormat chart="20" format="11" series="1">
      <pivotArea type="data" outline="0" fieldPosition="0">
        <references count="2">
          <reference field="4294967294" count="1" selected="0">
            <x v="0"/>
          </reference>
          <reference field="11" count="1" selected="0">
            <x v="1"/>
          </reference>
        </references>
      </pivotArea>
    </chartFormat>
    <chartFormat chart="20" format="12" series="1">
      <pivotArea type="data" outline="0" fieldPosition="0">
        <references count="1">
          <reference field="4294967294" count="1" selected="0">
            <x v="0"/>
          </reference>
        </references>
      </pivotArea>
    </chartFormat>
    <chartFormat chart="16" format="6" series="1">
      <pivotArea type="data" outline="0" fieldPosition="0">
        <references count="1">
          <reference field="4294967294" count="1" selected="0">
            <x v="0"/>
          </reference>
        </references>
      </pivotArea>
    </chartFormat>
    <chartFormat chart="20" format="13">
      <pivotArea type="data" outline="0" fieldPosition="0">
        <references count="3">
          <reference field="4294967294" count="1" selected="0">
            <x v="0"/>
          </reference>
          <reference field="1" count="1" selected="0">
            <x v="7"/>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AE60498-AB6E-468C-A69D-7E4EBC23B869}"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location ref="L3:O13"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axis="axisRow" showAll="0">
      <items count="16">
        <item x="0"/>
        <item x="1"/>
        <item x="2"/>
        <item x="3"/>
        <item x="4"/>
        <item x="5"/>
        <item x="6"/>
        <item x="7"/>
        <item x="8"/>
        <item h="1" x="9"/>
        <item h="1" x="10"/>
        <item h="1" x="11"/>
        <item h="1" x="12"/>
        <item h="1" x="13"/>
        <item h="1" x="14"/>
        <item t="default"/>
      </items>
    </pivotField>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s>
  <rowFields count="1">
    <field x="5"/>
  </rowFields>
  <rowItems count="9">
    <i>
      <x v="1"/>
    </i>
    <i>
      <x v="2"/>
    </i>
    <i>
      <x v="3"/>
    </i>
    <i>
      <x v="4"/>
    </i>
    <i>
      <x v="5"/>
    </i>
    <i>
      <x v="6"/>
    </i>
    <i>
      <x v="7"/>
    </i>
    <i>
      <x v="8"/>
    </i>
    <i t="grand">
      <x/>
    </i>
  </rowItems>
  <colFields count="1">
    <field x="11"/>
  </colFields>
  <colItems count="3">
    <i>
      <x/>
    </i>
    <i>
      <x v="1"/>
    </i>
    <i t="grand">
      <x/>
    </i>
  </colItems>
  <dataFields count="1">
    <dataField name="Count of Diabetes" fld="11" subtotal="count" baseField="4" baseItem="0"/>
  </dataFields>
  <formats count="10">
    <format dxfId="39">
      <pivotArea type="all" dataOnly="0" outline="0" fieldPosition="0"/>
    </format>
    <format dxfId="38">
      <pivotArea outline="0" collapsedLevelsAreSubtotals="1" fieldPosition="0"/>
    </format>
    <format dxfId="37">
      <pivotArea type="origin" dataOnly="0" labelOnly="1" outline="0" fieldPosition="0"/>
    </format>
    <format dxfId="36">
      <pivotArea field="11" type="button" dataOnly="0" labelOnly="1" outline="0" axis="axisCol" fieldPosition="0"/>
    </format>
    <format dxfId="35">
      <pivotArea type="topRight" dataOnly="0" labelOnly="1" outline="0" fieldPosition="0"/>
    </format>
    <format dxfId="34">
      <pivotArea field="5" type="button" dataOnly="0" labelOnly="1" outline="0" axis="axisRow" fieldPosition="0"/>
    </format>
    <format dxfId="33">
      <pivotArea dataOnly="0" labelOnly="1" fieldPosition="0">
        <references count="1">
          <reference field="5" count="8">
            <x v="1"/>
            <x v="2"/>
            <x v="3"/>
            <x v="4"/>
            <x v="5"/>
            <x v="6"/>
            <x v="7"/>
            <x v="8"/>
          </reference>
        </references>
      </pivotArea>
    </format>
    <format dxfId="32">
      <pivotArea dataOnly="0" labelOnly="1" grandRow="1" outline="0" fieldPosition="0"/>
    </format>
    <format dxfId="31">
      <pivotArea dataOnly="0" labelOnly="1" fieldPosition="0">
        <references count="1">
          <reference field="11" count="0"/>
        </references>
      </pivotArea>
    </format>
    <format dxfId="30">
      <pivotArea dataOnly="0" labelOnly="1" grandCol="1" outline="0" fieldPosition="0"/>
    </format>
  </formats>
  <chartFormats count="6">
    <chartFormat chart="16" format="8" series="1">
      <pivotArea type="data" outline="0" fieldPosition="0">
        <references count="2">
          <reference field="4294967294" count="1" selected="0">
            <x v="0"/>
          </reference>
          <reference field="11" count="1" selected="0">
            <x v="0"/>
          </reference>
        </references>
      </pivotArea>
    </chartFormat>
    <chartFormat chart="16" format="9" series="1">
      <pivotArea type="data" outline="0" fieldPosition="0">
        <references count="2">
          <reference field="4294967294" count="1" selected="0">
            <x v="0"/>
          </reference>
          <reference field="11" count="1" selected="0">
            <x v="1"/>
          </reference>
        </references>
      </pivotArea>
    </chartFormat>
    <chartFormat chart="19" format="12" series="1">
      <pivotArea type="data" outline="0" fieldPosition="0">
        <references count="2">
          <reference field="4294967294" count="1" selected="0">
            <x v="0"/>
          </reference>
          <reference field="11" count="1" selected="0">
            <x v="0"/>
          </reference>
        </references>
      </pivotArea>
    </chartFormat>
    <chartFormat chart="19" format="13" series="1">
      <pivotArea type="data" outline="0" fieldPosition="0">
        <references count="2">
          <reference field="4294967294" count="1" selected="0">
            <x v="0"/>
          </reference>
          <reference field="11" count="1" selected="0">
            <x v="1"/>
          </reference>
        </references>
      </pivotArea>
    </chartFormat>
    <chartFormat chart="19" format="14" series="1">
      <pivotArea type="data" outline="0" fieldPosition="0">
        <references count="1">
          <reference field="4294967294" count="1" selected="0">
            <x v="0"/>
          </reference>
        </references>
      </pivotArea>
    </chartFormat>
    <chartFormat chart="16"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559BB55-5CB3-41E7-B70B-7C78ED33CF82}" name="PivotTable3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4">
  <location ref="Q3:T12"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axis="axisRow" showAll="0">
      <items count="13">
        <item x="0"/>
        <item x="1"/>
        <item x="2"/>
        <item x="3"/>
        <item x="4"/>
        <item x="5"/>
        <item x="6"/>
        <item x="7"/>
        <item x="8"/>
        <item x="9"/>
        <item x="10"/>
        <item x="11"/>
        <item t="default"/>
      </items>
    </pivotField>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s>
  <rowFields count="1">
    <field x="4"/>
  </rowFields>
  <rowItems count="8">
    <i>
      <x v="1"/>
    </i>
    <i>
      <x v="2"/>
    </i>
    <i>
      <x v="3"/>
    </i>
    <i>
      <x v="4"/>
    </i>
    <i>
      <x v="5"/>
    </i>
    <i>
      <x v="6"/>
    </i>
    <i>
      <x v="10"/>
    </i>
    <i t="grand">
      <x/>
    </i>
  </rowItems>
  <colFields count="1">
    <field x="11"/>
  </colFields>
  <colItems count="3">
    <i>
      <x/>
    </i>
    <i>
      <x v="1"/>
    </i>
    <i t="grand">
      <x/>
    </i>
  </colItems>
  <dataFields count="1">
    <dataField name="Count of Diabetes" fld="11" subtotal="count" baseField="4" baseItem="0"/>
  </dataFields>
  <formats count="10">
    <format dxfId="49">
      <pivotArea type="all" dataOnly="0" outline="0" fieldPosition="0"/>
    </format>
    <format dxfId="48">
      <pivotArea outline="0" collapsedLevelsAreSubtotals="1" fieldPosition="0"/>
    </format>
    <format dxfId="47">
      <pivotArea type="origin" dataOnly="0" labelOnly="1" outline="0" fieldPosition="0"/>
    </format>
    <format dxfId="46">
      <pivotArea field="11" type="button" dataOnly="0" labelOnly="1" outline="0" axis="axisCol" fieldPosition="0"/>
    </format>
    <format dxfId="45">
      <pivotArea type="topRight" dataOnly="0" labelOnly="1" outline="0" fieldPosition="0"/>
    </format>
    <format dxfId="44">
      <pivotArea field="4" type="button" dataOnly="0" labelOnly="1" outline="0" axis="axisRow" fieldPosition="0"/>
    </format>
    <format dxfId="43">
      <pivotArea dataOnly="0" labelOnly="1" fieldPosition="0">
        <references count="1">
          <reference field="4" count="5">
            <x v="1"/>
            <x v="2"/>
            <x v="3"/>
            <x v="4"/>
            <x v="5"/>
          </reference>
        </references>
      </pivotArea>
    </format>
    <format dxfId="42">
      <pivotArea dataOnly="0" labelOnly="1" grandRow="1" outline="0" fieldPosition="0"/>
    </format>
    <format dxfId="41">
      <pivotArea dataOnly="0" labelOnly="1" fieldPosition="0">
        <references count="1">
          <reference field="11" count="0"/>
        </references>
      </pivotArea>
    </format>
    <format dxfId="40">
      <pivotArea dataOnly="0" labelOnly="1" grandCol="1" outline="0" fieldPosition="0"/>
    </format>
  </formats>
  <chartFormats count="14">
    <chartFormat chart="16" format="8" series="1">
      <pivotArea type="data" outline="0" fieldPosition="0">
        <references count="2">
          <reference field="4294967294" count="1" selected="0">
            <x v="0"/>
          </reference>
          <reference field="11" count="1" selected="0">
            <x v="0"/>
          </reference>
        </references>
      </pivotArea>
    </chartFormat>
    <chartFormat chart="16" format="9" series="1">
      <pivotArea type="data" outline="0" fieldPosition="0">
        <references count="2">
          <reference field="4294967294" count="1" selected="0">
            <x v="0"/>
          </reference>
          <reference field="11" count="1" selected="0">
            <x v="1"/>
          </reference>
        </references>
      </pivotArea>
    </chartFormat>
    <chartFormat chart="19" format="12" series="1">
      <pivotArea type="data" outline="0" fieldPosition="0">
        <references count="2">
          <reference field="4294967294" count="1" selected="0">
            <x v="0"/>
          </reference>
          <reference field="11" count="1" selected="0">
            <x v="0"/>
          </reference>
        </references>
      </pivotArea>
    </chartFormat>
    <chartFormat chart="19" format="13" series="1">
      <pivotArea type="data" outline="0" fieldPosition="0">
        <references count="2">
          <reference field="4294967294" count="1" selected="0">
            <x v="0"/>
          </reference>
          <reference field="11" count="1" selected="0">
            <x v="1"/>
          </reference>
        </references>
      </pivotArea>
    </chartFormat>
    <chartFormat chart="20" format="0" series="1">
      <pivotArea type="data" outline="0" fieldPosition="0">
        <references count="2">
          <reference field="4294967294" count="1" selected="0">
            <x v="0"/>
          </reference>
          <reference field="11" count="1" selected="0">
            <x v="0"/>
          </reference>
        </references>
      </pivotArea>
    </chartFormat>
    <chartFormat chart="20" format="1" series="1">
      <pivotArea type="data" outline="0" fieldPosition="0">
        <references count="2">
          <reference field="4294967294" count="1" selected="0">
            <x v="0"/>
          </reference>
          <reference field="11" count="1" selected="0">
            <x v="1"/>
          </reference>
        </references>
      </pivotArea>
    </chartFormat>
    <chartFormat chart="21" format="2" series="1">
      <pivotArea type="data" outline="0" fieldPosition="0">
        <references count="2">
          <reference field="4294967294" count="1" selected="0">
            <x v="0"/>
          </reference>
          <reference field="11" count="1" selected="0">
            <x v="0"/>
          </reference>
        </references>
      </pivotArea>
    </chartFormat>
    <chartFormat chart="21" format="3" series="1">
      <pivotArea type="data" outline="0" fieldPosition="0">
        <references count="2">
          <reference field="4294967294" count="1" selected="0">
            <x v="0"/>
          </reference>
          <reference field="11" count="1" selected="0">
            <x v="1"/>
          </reference>
        </references>
      </pivotArea>
    </chartFormat>
    <chartFormat chart="22" format="4" series="1">
      <pivotArea type="data" outline="0" fieldPosition="0">
        <references count="2">
          <reference field="4294967294" count="1" selected="0">
            <x v="0"/>
          </reference>
          <reference field="11" count="1" selected="0">
            <x v="0"/>
          </reference>
        </references>
      </pivotArea>
    </chartFormat>
    <chartFormat chart="22" format="5" series="1">
      <pivotArea type="data" outline="0" fieldPosition="0">
        <references count="2">
          <reference field="4294967294" count="1" selected="0">
            <x v="0"/>
          </reference>
          <reference field="11" count="1" selected="0">
            <x v="1"/>
          </reference>
        </references>
      </pivotArea>
    </chartFormat>
    <chartFormat chart="23" format="4" series="1">
      <pivotArea type="data" outline="0" fieldPosition="0">
        <references count="2">
          <reference field="4294967294" count="1" selected="0">
            <x v="0"/>
          </reference>
          <reference field="11" count="1" selected="0">
            <x v="0"/>
          </reference>
        </references>
      </pivotArea>
    </chartFormat>
    <chartFormat chart="23" format="5" series="1">
      <pivotArea type="data" outline="0" fieldPosition="0">
        <references count="2">
          <reference field="4294967294" count="1" selected="0">
            <x v="0"/>
          </reference>
          <reference field="11" count="1" selected="0">
            <x v="1"/>
          </reference>
        </references>
      </pivotArea>
    </chartFormat>
    <chartFormat chart="23" format="6"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1CB245A-BDBC-4906-84E2-F7518AA21955}" name="PivotTable4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9">
  <location ref="AB3:AE10"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showAll="0">
      <items count="6">
        <item x="2"/>
        <item x="0"/>
        <item x="3"/>
        <item x="1"/>
        <item x="4"/>
        <item t="default"/>
      </items>
    </pivotField>
    <pivotField axis="axisRow" showAll="0">
      <items count="8">
        <item x="0"/>
        <item x="1"/>
        <item x="2"/>
        <item x="3"/>
        <item x="4"/>
        <item x="5"/>
        <item x="6"/>
        <item t="default"/>
      </items>
    </pivotField>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s>
  <rowFields count="1">
    <field x="8"/>
  </rowFields>
  <rowItems count="6">
    <i>
      <x v="1"/>
    </i>
    <i>
      <x v="2"/>
    </i>
    <i>
      <x v="3"/>
    </i>
    <i>
      <x v="4"/>
    </i>
    <i>
      <x v="5"/>
    </i>
    <i t="grand">
      <x/>
    </i>
  </rowItems>
  <colFields count="1">
    <field x="11"/>
  </colFields>
  <colItems count="3">
    <i>
      <x/>
    </i>
    <i>
      <x v="1"/>
    </i>
    <i t="grand">
      <x/>
    </i>
  </colItems>
  <dataFields count="1">
    <dataField name="Count of Diabetes" fld="11" subtotal="count" baseField="4" baseItem="0"/>
  </dataFields>
  <formats count="10">
    <format dxfId="59">
      <pivotArea type="all" dataOnly="0" outline="0" fieldPosition="0"/>
    </format>
    <format dxfId="58">
      <pivotArea outline="0" collapsedLevelsAreSubtotals="1" fieldPosition="0"/>
    </format>
    <format dxfId="57">
      <pivotArea type="origin" dataOnly="0" labelOnly="1" outline="0" fieldPosition="0"/>
    </format>
    <format dxfId="56">
      <pivotArea field="11" type="button" dataOnly="0" labelOnly="1" outline="0" axis="axisCol" fieldPosition="0"/>
    </format>
    <format dxfId="55">
      <pivotArea type="topRight" dataOnly="0" labelOnly="1" outline="0" fieldPosition="0"/>
    </format>
    <format dxfId="54">
      <pivotArea field="8" type="button" dataOnly="0" labelOnly="1" outline="0" axis="axisRow" fieldPosition="0"/>
    </format>
    <format dxfId="53">
      <pivotArea dataOnly="0" labelOnly="1" fieldPosition="0">
        <references count="1">
          <reference field="8" count="4">
            <x v="1"/>
            <x v="2"/>
            <x v="3"/>
            <x v="4"/>
          </reference>
        </references>
      </pivotArea>
    </format>
    <format dxfId="52">
      <pivotArea dataOnly="0" labelOnly="1" grandRow="1" outline="0" fieldPosition="0"/>
    </format>
    <format dxfId="51">
      <pivotArea dataOnly="0" labelOnly="1" fieldPosition="0">
        <references count="1">
          <reference field="11" count="0"/>
        </references>
      </pivotArea>
    </format>
    <format dxfId="50">
      <pivotArea dataOnly="0" labelOnly="1" grandCol="1" outline="0" fieldPosition="0"/>
    </format>
  </formats>
  <chartFormats count="16">
    <chartFormat chart="16" format="8" series="1">
      <pivotArea type="data" outline="0" fieldPosition="0">
        <references count="2">
          <reference field="4294967294" count="1" selected="0">
            <x v="0"/>
          </reference>
          <reference field="11" count="1" selected="0">
            <x v="0"/>
          </reference>
        </references>
      </pivotArea>
    </chartFormat>
    <chartFormat chart="16" format="9" series="1">
      <pivotArea type="data" outline="0" fieldPosition="0">
        <references count="2">
          <reference field="4294967294" count="1" selected="0">
            <x v="0"/>
          </reference>
          <reference field="11" count="1" selected="0">
            <x v="1"/>
          </reference>
        </references>
      </pivotArea>
    </chartFormat>
    <chartFormat chart="19" format="12" series="1">
      <pivotArea type="data" outline="0" fieldPosition="0">
        <references count="2">
          <reference field="4294967294" count="1" selected="0">
            <x v="0"/>
          </reference>
          <reference field="11" count="1" selected="0">
            <x v="0"/>
          </reference>
        </references>
      </pivotArea>
    </chartFormat>
    <chartFormat chart="19" format="13" series="1">
      <pivotArea type="data" outline="0" fieldPosition="0">
        <references count="2">
          <reference field="4294967294" count="1" selected="0">
            <x v="0"/>
          </reference>
          <reference field="11" count="1" selected="0">
            <x v="1"/>
          </reference>
        </references>
      </pivotArea>
    </chartFormat>
    <chartFormat chart="20" format="0" series="1">
      <pivotArea type="data" outline="0" fieldPosition="0">
        <references count="2">
          <reference field="4294967294" count="1" selected="0">
            <x v="0"/>
          </reference>
          <reference field="11" count="1" selected="0">
            <x v="0"/>
          </reference>
        </references>
      </pivotArea>
    </chartFormat>
    <chartFormat chart="20" format="1" series="1">
      <pivotArea type="data" outline="0" fieldPosition="0">
        <references count="2">
          <reference field="4294967294" count="1" selected="0">
            <x v="0"/>
          </reference>
          <reference field="11" count="1" selected="0">
            <x v="1"/>
          </reference>
        </references>
      </pivotArea>
    </chartFormat>
    <chartFormat chart="21" format="2" series="1">
      <pivotArea type="data" outline="0" fieldPosition="0">
        <references count="2">
          <reference field="4294967294" count="1" selected="0">
            <x v="0"/>
          </reference>
          <reference field="11" count="1" selected="0">
            <x v="0"/>
          </reference>
        </references>
      </pivotArea>
    </chartFormat>
    <chartFormat chart="21" format="3" series="1">
      <pivotArea type="data" outline="0" fieldPosition="0">
        <references count="2">
          <reference field="4294967294" count="1" selected="0">
            <x v="0"/>
          </reference>
          <reference field="11" count="1" selected="0">
            <x v="1"/>
          </reference>
        </references>
      </pivotArea>
    </chartFormat>
    <chartFormat chart="22" format="4" series="1">
      <pivotArea type="data" outline="0" fieldPosition="0">
        <references count="2">
          <reference field="4294967294" count="1" selected="0">
            <x v="0"/>
          </reference>
          <reference field="11" count="1" selected="0">
            <x v="0"/>
          </reference>
        </references>
      </pivotArea>
    </chartFormat>
    <chartFormat chart="22" format="5" series="1">
      <pivotArea type="data" outline="0" fieldPosition="0">
        <references count="2">
          <reference field="4294967294" count="1" selected="0">
            <x v="0"/>
          </reference>
          <reference field="11" count="1" selected="0">
            <x v="1"/>
          </reference>
        </references>
      </pivotArea>
    </chartFormat>
    <chartFormat chart="23" format="4" series="1">
      <pivotArea type="data" outline="0" fieldPosition="0">
        <references count="2">
          <reference field="4294967294" count="1" selected="0">
            <x v="0"/>
          </reference>
          <reference field="11" count="1" selected="0">
            <x v="0"/>
          </reference>
        </references>
      </pivotArea>
    </chartFormat>
    <chartFormat chart="23" format="5" series="1">
      <pivotArea type="data" outline="0" fieldPosition="0">
        <references count="2">
          <reference field="4294967294" count="1" selected="0">
            <x v="0"/>
          </reference>
          <reference field="11" count="1" selected="0">
            <x v="1"/>
          </reference>
        </references>
      </pivotArea>
    </chartFormat>
    <chartFormat chart="23" format="6"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5" format="0" series="1">
      <pivotArea type="data" outline="0" fieldPosition="0">
        <references count="2">
          <reference field="4294967294" count="1" selected="0">
            <x v="0"/>
          </reference>
          <reference field="11" count="1" selected="0">
            <x v="0"/>
          </reference>
        </references>
      </pivotArea>
    </chartFormat>
    <chartFormat chart="25" format="1"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1CAC0A1-7ECE-4592-9A3D-CFFAD3033C09}" autoFormatId="16" applyNumberFormats="0" applyBorderFormats="0" applyFontFormats="0" applyPatternFormats="0" applyAlignmentFormats="0" applyWidthHeightFormats="0">
  <queryTableRefresh nextId="51">
    <queryTableFields count="15">
      <queryTableField id="1" name="Pregnancies" tableColumnId="1"/>
      <queryTableField id="2" name="Glucose" tableColumnId="2"/>
      <queryTableField id="3" name="Blood Pressure" tableColumnId="3"/>
      <queryTableField id="15" name="Blood Pressure Category" tableColumnId="13"/>
      <queryTableField id="4" name="Skin Thickness" tableColumnId="4"/>
      <queryTableField id="5" name="Insulin" tableColumnId="5"/>
      <queryTableField id="6" name="BMI" tableColumnId="6"/>
      <queryTableField id="18" name="BMI Category" tableColumnId="14"/>
      <queryTableField id="7" name="Diabetes Pedigree Function" tableColumnId="7"/>
      <queryTableField id="8" name="Age" tableColumnId="8"/>
      <queryTableField id="11" name="Age Group" tableColumnId="11"/>
      <queryTableField id="9" name="Diabetes" tableColumnId="9"/>
      <queryTableField id="48" name="Glucose Category" tableColumnId="10"/>
      <queryTableField id="49" name="Skin Thickness Category" tableColumnId="12"/>
      <queryTableField id="50" name="Insulin Category"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08305FD8-F619-4904-8B6F-BBF12E709A6E}" sourceName="Age Group">
  <pivotTables>
    <pivotTable tabId="39" name="PivotTable59"/>
    <pivotTable tabId="39" name="PivotTable56"/>
    <pivotTable tabId="39" name="PivotTable57"/>
    <pivotTable tabId="39" name="PivotTable58"/>
    <pivotTable tabId="39" name="PivotTable61"/>
    <pivotTable tabId="36" name="PivotTable14"/>
    <pivotTable tabId="36" name="PivotTable16"/>
    <pivotTable tabId="36" name="PivotTable20"/>
    <pivotTable tabId="36" name="PivotTable3"/>
    <pivotTable tabId="36" name="PivotTable37"/>
    <pivotTable tabId="39" name="PivotTable38"/>
    <pivotTable tabId="36" name="PivotTable45"/>
  </pivotTables>
  <data>
    <tabular pivotCacheId="1178109573">
      <items count="16">
        <i x="2" s="1"/>
        <i x="1" s="1"/>
        <i x="3" s="1"/>
        <i x="0" s="1"/>
        <i x="4" s="1"/>
        <i x="5" s="1"/>
        <i x="15" s="1" nd="1"/>
        <i x="7" s="1" nd="1"/>
        <i x="9" s="1" nd="1"/>
        <i x="13" s="1" nd="1"/>
        <i x="14" s="1" nd="1"/>
        <i x="10" s="1" nd="1"/>
        <i x="11" s="1" nd="1"/>
        <i x="6" s="1" nd="1"/>
        <i x="8" s="1" nd="1"/>
        <i x="1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abetes" xr10:uid="{0DB26556-B4F7-4C39-B601-4D90ED0C80AD}" sourceName="Diabetes">
  <pivotTables>
    <pivotTable tabId="39" name="PivotTable61"/>
    <pivotTable tabId="39" name="PivotTable38"/>
    <pivotTable tabId="39" name="PivotTable56"/>
    <pivotTable tabId="39" name="PivotTable57"/>
    <pivotTable tabId="39" name="PivotTable58"/>
    <pivotTable tabId="39" name="PivotTable59"/>
    <pivotTable tabId="36" name="PivotTable14"/>
    <pivotTable tabId="36" name="PivotTable16"/>
    <pivotTable tabId="36" name="PivotTable20"/>
    <pivotTable tabId="36" name="PivotTable3"/>
    <pivotTable tabId="36" name="PivotTable37"/>
    <pivotTable tabId="36" name="PivotTable45"/>
  </pivotTables>
  <data>
    <tabular pivotCacheId="1178109573">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xr10:uid="{2F4C9D3F-E2E3-4130-8590-6E1AE3F4DAB3}" cache="Slicer_Age_Group" caption="Age Group" columnCount="6" style="SlicerStyleLight1 2" rowHeight="648000"/>
  <slicer name="Diabetes" xr10:uid="{44BCACBB-47E8-4D7D-B702-00898EE535F1}" cache="Slicer_Diabetes" caption="Diabetes" columnCount="2" style="SlicerStyleLight1 2" rowHeight="64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C62855-79AB-44A6-B9CA-C99548C5AB1C}" name="diabetesoriginal" displayName="diabetesoriginal" ref="A1:O769" tableType="queryTable" totalsRowShown="0" headerRowDxfId="89" dataDxfId="88">
  <autoFilter ref="A1:O769" xr:uid="{00000000-000C-0000-FFFF-FFFF00000000}"/>
  <tableColumns count="15">
    <tableColumn id="1" xr3:uid="{CFC81EBC-05EF-4B05-BA23-C2926057F3DF}" uniqueName="1" name="Pregnancies" queryTableFieldId="1" dataDxfId="87"/>
    <tableColumn id="2" xr3:uid="{BB873F03-8E95-4787-8AC1-9BB2425EFF69}" uniqueName="2" name="Glucose" queryTableFieldId="2" dataDxfId="86"/>
    <tableColumn id="3" xr3:uid="{E8F0756D-440A-4FCF-BC9E-7F6A1B5EA225}" uniqueName="3" name="Blood Pressure" queryTableFieldId="3" dataDxfId="85"/>
    <tableColumn id="13" xr3:uid="{D036B606-97FE-485A-B49D-20D034435744}" uniqueName="13" name="Blood Pressure Category" queryTableFieldId="15" dataDxfId="84"/>
    <tableColumn id="4" xr3:uid="{BDDAC6EA-E1E9-46AB-B7E7-6F1028E86F06}" uniqueName="4" name="Skin Thickness" queryTableFieldId="4" dataDxfId="83"/>
    <tableColumn id="5" xr3:uid="{623BB3C2-CEEC-477D-AE16-D223FC9C4D3B}" uniqueName="5" name="Insulin" queryTableFieldId="5" dataDxfId="82"/>
    <tableColumn id="6" xr3:uid="{F024DE2C-A5AC-4140-87D9-D7D60B170191}" uniqueName="6" name="BMI" queryTableFieldId="6" dataDxfId="81"/>
    <tableColumn id="14" xr3:uid="{0B83D645-56FE-4E97-9B69-98135E672DA1}" uniqueName="14" name="BMI Category" queryTableFieldId="18" dataDxfId="80"/>
    <tableColumn id="7" xr3:uid="{6A8434A7-FCCD-40ED-8487-200E67C1FCED}" uniqueName="7" name="Diabetes Pedigree Function" queryTableFieldId="7" dataDxfId="79"/>
    <tableColumn id="8" xr3:uid="{ECC6DFB9-EA9B-48A5-87F5-A9702F3ED0B4}" uniqueName="8" name="Age" queryTableFieldId="8" dataDxfId="78"/>
    <tableColumn id="11" xr3:uid="{9E604CAC-E2DA-4CA4-9B3E-E085EB2BA3AD}" uniqueName="11" name="Age Group" queryTableFieldId="11" dataDxfId="77"/>
    <tableColumn id="9" xr3:uid="{C135634C-5EDB-4641-AD2E-2E82D20D0217}" uniqueName="9" name="Diabetes" queryTableFieldId="9" dataDxfId="76"/>
    <tableColumn id="10" xr3:uid="{447ED5F3-8600-4A37-A480-9CE58E961D43}" uniqueName="10" name="Glucose Category" queryTableFieldId="48" dataDxfId="75"/>
    <tableColumn id="12" xr3:uid="{051D1343-A413-45CC-B506-F51158CEB994}" uniqueName="12" name="Skin Thickness Category" queryTableFieldId="49" dataDxfId="74"/>
    <tableColumn id="15" xr3:uid="{08EE9CD0-A6EC-4C2D-B820-C920100B79D7}" uniqueName="15" name="Insulin Category" queryTableFieldId="50" dataDxfId="73"/>
  </tableColumns>
  <tableStyleInfo name="TableStyleMedium9"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Boardroom">
  <a:themeElements>
    <a:clrScheme name="Custom 3">
      <a:dk1>
        <a:sysClr val="windowText" lastClr="000000"/>
      </a:dk1>
      <a:lt1>
        <a:sysClr val="window" lastClr="FFFFFF"/>
      </a:lt1>
      <a:dk2>
        <a:srgbClr val="775F55"/>
      </a:dk2>
      <a:lt2>
        <a:srgbClr val="EBDDC3"/>
      </a:lt2>
      <a:accent1>
        <a:srgbClr val="94B6D2"/>
      </a:accent1>
      <a:accent2>
        <a:srgbClr val="B85B22"/>
      </a:accent2>
      <a:accent3>
        <a:srgbClr val="A5AB81"/>
      </a:accent3>
      <a:accent4>
        <a:srgbClr val="D8B25C"/>
      </a:accent4>
      <a:accent5>
        <a:srgbClr val="7BA79D"/>
      </a:accent5>
      <a:accent6>
        <a:srgbClr val="968C8C"/>
      </a:accent6>
      <a:hlink>
        <a:srgbClr val="F7B615"/>
      </a:hlink>
      <a:folHlink>
        <a:srgbClr val="704404"/>
      </a:folHlink>
    </a:clrScheme>
    <a:fontScheme name="Ion Boardroom">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on Boardroom">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8000"/>
                <a:hueMod val="124000"/>
                <a:satMod val="148000"/>
                <a:lumMod val="124000"/>
              </a:schemeClr>
            </a:gs>
            <a:gs pos="100000">
              <a:schemeClr val="phClr">
                <a:shade val="76000"/>
                <a:hueMod val="89000"/>
                <a:satMod val="164000"/>
                <a:lumMod val="56000"/>
              </a:schemeClr>
            </a:gs>
          </a:gsLst>
          <a:path path="circle">
            <a:fillToRect l="45000" t="65000" r="125000" b="100000"/>
          </a:path>
        </a:gradFill>
        <a:blipFill rotWithShape="1">
          <a:blip xmlns:r="http://schemas.openxmlformats.org/officeDocument/2006/relationships" r:embed="rId1">
            <a:duotone>
              <a:schemeClr val="phClr">
                <a:shade val="69000"/>
                <a:hueMod val="91000"/>
                <a:satMod val="164000"/>
                <a:lumMod val="74000"/>
              </a:schemeClr>
              <a:schemeClr val="phClr">
                <a:hueMod val="124000"/>
                <a:satMod val="140000"/>
                <a:lumMod val="142000"/>
              </a:schemeClr>
            </a:duotone>
          </a:blip>
          <a:stretch/>
        </a:blipFill>
      </a:bgFillStyleLst>
    </a:fmtScheme>
  </a:themeElements>
  <a:objectDefaults/>
  <a:extraClrSchemeLst/>
  <a:extLst>
    <a:ext uri="{05A4C25C-085E-4340-85A3-A5531E510DB2}">
      <thm15:themeFamily xmlns:thm15="http://schemas.microsoft.com/office/thememl/2012/main" name="Ion Boardroom" id="{FC33163D-4339-46B1-8EED-24C834239D99}" vid="{B8502691-933B-45FE-8764-BA278511EF27}"/>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9.xml"/><Relationship Id="rId7" Type="http://schemas.openxmlformats.org/officeDocument/2006/relationships/drawing" Target="../drawings/drawing5.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85"/>
  <sheetViews>
    <sheetView showGridLines="0" showRowColHeaders="0" tabSelected="1" zoomScale="50" zoomScaleNormal="50" zoomScaleSheetLayoutView="50" workbookViewId="0">
      <selection activeCell="AN32" sqref="AN32"/>
    </sheetView>
  </sheetViews>
  <sheetFormatPr defaultRowHeight="22.8" x14ac:dyDescent="0.4"/>
  <cols>
    <col min="1" max="16384" width="8.796875" style="19"/>
  </cols>
  <sheetData>
    <row r="1" spans="1:37" x14ac:dyDescent="0.4">
      <c r="A1" s="16"/>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8"/>
    </row>
    <row r="2" spans="1:37" x14ac:dyDescent="0.4">
      <c r="A2" s="20"/>
      <c r="B2" s="21"/>
      <c r="C2" s="21"/>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2"/>
    </row>
    <row r="3" spans="1:37" x14ac:dyDescent="0.4">
      <c r="A3" s="20"/>
      <c r="B3" s="21"/>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2"/>
    </row>
    <row r="4" spans="1:37" x14ac:dyDescent="0.4">
      <c r="A4" s="20"/>
      <c r="B4" s="21"/>
      <c r="C4" s="21"/>
      <c r="D4" s="21"/>
      <c r="E4" s="21"/>
      <c r="F4" s="21"/>
      <c r="G4" s="21"/>
      <c r="H4" s="21"/>
      <c r="I4" s="21"/>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2"/>
    </row>
    <row r="5" spans="1:37" x14ac:dyDescent="0.4">
      <c r="A5" s="20"/>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2"/>
    </row>
    <row r="6" spans="1:37" x14ac:dyDescent="0.4">
      <c r="A6" s="20"/>
      <c r="B6" s="2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2"/>
    </row>
    <row r="7" spans="1:37" x14ac:dyDescent="0.4">
      <c r="A7" s="20"/>
      <c r="B7" s="21"/>
      <c r="C7" s="21"/>
      <c r="D7" s="21"/>
      <c r="E7" s="21"/>
      <c r="F7" s="21"/>
      <c r="G7" s="21"/>
      <c r="H7" s="21"/>
      <c r="I7" s="21"/>
      <c r="J7" s="21"/>
      <c r="K7" s="21"/>
      <c r="L7" s="21"/>
      <c r="M7" s="21"/>
      <c r="N7" s="21"/>
      <c r="O7" s="21"/>
      <c r="P7" s="21"/>
      <c r="Q7" s="21"/>
      <c r="R7" s="21"/>
      <c r="S7" s="21"/>
      <c r="T7" s="21"/>
      <c r="U7" s="21"/>
      <c r="V7" s="21"/>
      <c r="W7" s="21"/>
      <c r="X7" s="21"/>
      <c r="Y7" s="21"/>
      <c r="Z7" s="21"/>
      <c r="AA7" s="21"/>
      <c r="AB7" s="21"/>
      <c r="AC7" s="21"/>
      <c r="AD7" s="21"/>
      <c r="AE7" s="21"/>
      <c r="AF7" s="21"/>
      <c r="AG7" s="21"/>
      <c r="AH7" s="21"/>
      <c r="AI7" s="21"/>
      <c r="AJ7" s="21"/>
      <c r="AK7" s="22"/>
    </row>
    <row r="8" spans="1:37" x14ac:dyDescent="0.4">
      <c r="A8" s="20"/>
      <c r="B8" s="21"/>
      <c r="C8" s="21"/>
      <c r="D8" s="21"/>
      <c r="E8" s="21"/>
      <c r="F8" s="21"/>
      <c r="G8" s="21"/>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2"/>
    </row>
    <row r="9" spans="1:37" x14ac:dyDescent="0.4">
      <c r="A9" s="20"/>
      <c r="B9" s="21"/>
      <c r="C9" s="21"/>
      <c r="D9" s="21"/>
      <c r="E9" s="21"/>
      <c r="F9" s="21"/>
      <c r="G9" s="21"/>
      <c r="H9" s="21"/>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2"/>
    </row>
    <row r="10" spans="1:37" x14ac:dyDescent="0.4">
      <c r="A10" s="20"/>
      <c r="B10" s="21"/>
      <c r="C10" s="21"/>
      <c r="D10" s="21"/>
      <c r="E10" s="21"/>
      <c r="F10" s="21"/>
      <c r="G10" s="21"/>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2"/>
    </row>
    <row r="11" spans="1:37" x14ac:dyDescent="0.4">
      <c r="A11" s="20"/>
      <c r="B11" s="21"/>
      <c r="C11" s="21"/>
      <c r="D11" s="21"/>
      <c r="E11" s="21"/>
      <c r="F11" s="21"/>
      <c r="G11" s="21"/>
      <c r="H11" s="21"/>
      <c r="I11" s="21"/>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2"/>
    </row>
    <row r="12" spans="1:37" x14ac:dyDescent="0.4">
      <c r="A12" s="20"/>
      <c r="B12" s="21"/>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2"/>
    </row>
    <row r="13" spans="1:37" x14ac:dyDescent="0.4">
      <c r="A13" s="20"/>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2"/>
    </row>
    <row r="14" spans="1:37" x14ac:dyDescent="0.4">
      <c r="A14" s="20"/>
      <c r="B14" s="21"/>
      <c r="C14" s="21"/>
      <c r="D14" s="21"/>
      <c r="E14" s="21"/>
      <c r="F14" s="21"/>
      <c r="G14" s="21"/>
      <c r="H14" s="21"/>
      <c r="I14" s="21"/>
      <c r="J14" s="21"/>
      <c r="K14" s="21"/>
      <c r="L14" s="21"/>
      <c r="M14" s="21"/>
      <c r="N14" s="21"/>
      <c r="O14" s="21"/>
      <c r="P14" s="21"/>
      <c r="Q14" s="21"/>
      <c r="R14" s="21"/>
      <c r="S14" s="21"/>
      <c r="T14" s="21"/>
      <c r="U14" s="21"/>
      <c r="V14" s="21"/>
      <c r="W14" s="21"/>
      <c r="X14" s="21"/>
      <c r="Y14" s="21"/>
      <c r="Z14" s="21"/>
      <c r="AA14" s="21"/>
      <c r="AB14" s="21"/>
      <c r="AC14" s="21"/>
      <c r="AD14" s="21"/>
      <c r="AE14" s="21"/>
      <c r="AF14" s="21"/>
      <c r="AG14" s="21"/>
      <c r="AH14" s="21"/>
      <c r="AI14" s="21"/>
      <c r="AJ14" s="21"/>
      <c r="AK14" s="22"/>
    </row>
    <row r="15" spans="1:37" x14ac:dyDescent="0.4">
      <c r="A15" s="20"/>
      <c r="B15" s="21"/>
      <c r="C15" s="21"/>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2"/>
    </row>
    <row r="16" spans="1:37" x14ac:dyDescent="0.4">
      <c r="A16" s="20"/>
      <c r="B16" s="21"/>
      <c r="C16" s="21"/>
      <c r="D16" s="21"/>
      <c r="E16" s="21"/>
      <c r="F16" s="21"/>
      <c r="G16" s="21"/>
      <c r="H16" s="21"/>
      <c r="I16" s="21"/>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2"/>
    </row>
    <row r="17" spans="1:37" x14ac:dyDescent="0.4">
      <c r="A17" s="20"/>
      <c r="B17" s="21"/>
      <c r="C17" s="21"/>
      <c r="D17" s="21"/>
      <c r="E17" s="21"/>
      <c r="F17" s="21"/>
      <c r="G17" s="21"/>
      <c r="H17" s="21"/>
      <c r="I17" s="21"/>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2"/>
    </row>
    <row r="18" spans="1:37" x14ac:dyDescent="0.4">
      <c r="A18" s="20"/>
      <c r="B18" s="21"/>
      <c r="C18" s="21"/>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2"/>
    </row>
    <row r="19" spans="1:37" x14ac:dyDescent="0.4">
      <c r="A19" s="20"/>
      <c r="B19" s="21"/>
      <c r="C19" s="21"/>
      <c r="D19" s="21"/>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2"/>
    </row>
    <row r="20" spans="1:37" x14ac:dyDescent="0.4">
      <c r="A20" s="20"/>
      <c r="B20" s="21"/>
      <c r="C20" s="21"/>
      <c r="D20" s="21"/>
      <c r="E20" s="21"/>
      <c r="F20" s="21"/>
      <c r="G20" s="21"/>
      <c r="H20" s="21"/>
      <c r="I20" s="21"/>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2"/>
    </row>
    <row r="21" spans="1:37" x14ac:dyDescent="0.4">
      <c r="A21" s="20"/>
      <c r="B21" s="21"/>
      <c r="C21" s="21"/>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2"/>
    </row>
    <row r="22" spans="1:37" x14ac:dyDescent="0.4">
      <c r="A22" s="20"/>
      <c r="B22" s="21"/>
      <c r="C22" s="21"/>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2"/>
    </row>
    <row r="23" spans="1:37" x14ac:dyDescent="0.4">
      <c r="A23" s="20"/>
      <c r="B23" s="21"/>
      <c r="C23" s="21"/>
      <c r="D23" s="21"/>
      <c r="E23" s="21"/>
      <c r="F23" s="21"/>
      <c r="G23" s="21"/>
      <c r="H23" s="21"/>
      <c r="I23" s="21"/>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2"/>
    </row>
    <row r="24" spans="1:37" x14ac:dyDescent="0.4">
      <c r="A24" s="20"/>
      <c r="B24" s="21"/>
      <c r="C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2"/>
    </row>
    <row r="25" spans="1:37" x14ac:dyDescent="0.4">
      <c r="A25" s="20"/>
      <c r="B25" s="21"/>
      <c r="C25" s="21"/>
      <c r="D25" s="21"/>
      <c r="E25" s="21"/>
      <c r="F25" s="21"/>
      <c r="G25" s="21"/>
      <c r="H25" s="21"/>
      <c r="I25" s="2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2"/>
    </row>
    <row r="26" spans="1:37" x14ac:dyDescent="0.4">
      <c r="A26" s="20"/>
      <c r="B26" s="21"/>
      <c r="C26" s="21"/>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2"/>
    </row>
    <row r="27" spans="1:37" x14ac:dyDescent="0.4">
      <c r="A27" s="20"/>
      <c r="B27" s="21"/>
      <c r="C27" s="21"/>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2"/>
    </row>
    <row r="28" spans="1:37" x14ac:dyDescent="0.4">
      <c r="A28" s="20"/>
      <c r="B28" s="21"/>
      <c r="C28" s="21"/>
      <c r="D28" s="21"/>
      <c r="E28" s="21"/>
      <c r="F28" s="21"/>
      <c r="G28" s="21"/>
      <c r="H28" s="21"/>
      <c r="I28" s="21"/>
      <c r="J28" s="21"/>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2"/>
    </row>
    <row r="29" spans="1:37" x14ac:dyDescent="0.4">
      <c r="A29" s="20"/>
      <c r="B29" s="21"/>
      <c r="C29" s="21"/>
      <c r="D29" s="21"/>
      <c r="E29" s="21"/>
      <c r="F29" s="21"/>
      <c r="G29" s="21"/>
      <c r="H29" s="21"/>
      <c r="I29" s="21"/>
      <c r="J29" s="21"/>
      <c r="K29" s="21"/>
      <c r="L29" s="21"/>
      <c r="M29" s="21"/>
      <c r="N29" s="21"/>
      <c r="O29" s="21"/>
      <c r="P29" s="21"/>
      <c r="Q29" s="21"/>
      <c r="R29" s="21"/>
      <c r="S29" s="21"/>
      <c r="T29" s="21"/>
      <c r="U29" s="21"/>
      <c r="V29" s="21"/>
      <c r="W29" s="21"/>
      <c r="X29" s="21"/>
      <c r="Y29" s="21"/>
      <c r="Z29" s="21"/>
      <c r="AA29" s="21"/>
      <c r="AB29" s="21"/>
      <c r="AC29" s="21"/>
      <c r="AD29" s="21"/>
      <c r="AE29" s="21"/>
      <c r="AF29" s="21"/>
      <c r="AG29" s="21"/>
      <c r="AH29" s="21"/>
      <c r="AI29" s="21"/>
      <c r="AJ29" s="21"/>
      <c r="AK29" s="22"/>
    </row>
    <row r="30" spans="1:37" x14ac:dyDescent="0.4">
      <c r="A30" s="20"/>
      <c r="B30" s="21"/>
      <c r="C30" s="21"/>
      <c r="D30" s="21"/>
      <c r="E30" s="21"/>
      <c r="F30" s="21"/>
      <c r="G30" s="21"/>
      <c r="H30" s="21"/>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2"/>
    </row>
    <row r="31" spans="1:37" x14ac:dyDescent="0.4">
      <c r="A31" s="20"/>
      <c r="B31" s="21"/>
      <c r="C31" s="21"/>
      <c r="D31" s="21"/>
      <c r="E31" s="21"/>
      <c r="F31" s="21"/>
      <c r="G31" s="21"/>
      <c r="H31" s="21"/>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2"/>
    </row>
    <row r="32" spans="1:37" x14ac:dyDescent="0.4">
      <c r="A32" s="20"/>
      <c r="B32" s="21"/>
      <c r="C32" s="21"/>
      <c r="D32" s="21"/>
      <c r="E32" s="21"/>
      <c r="F32" s="21"/>
      <c r="G32" s="21"/>
      <c r="H32" s="21"/>
      <c r="I32" s="21"/>
      <c r="J32" s="21"/>
      <c r="K32" s="21"/>
      <c r="L32" s="21"/>
      <c r="M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2"/>
    </row>
    <row r="33" spans="1:37" x14ac:dyDescent="0.4">
      <c r="A33" s="20"/>
      <c r="B33" s="21"/>
      <c r="C33" s="21"/>
      <c r="D33" s="21"/>
      <c r="E33" s="21"/>
      <c r="F33" s="21"/>
      <c r="G33" s="21"/>
      <c r="H33" s="21"/>
      <c r="I33" s="21"/>
      <c r="J33" s="21"/>
      <c r="K33" s="21"/>
      <c r="L33" s="21"/>
      <c r="M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2"/>
    </row>
    <row r="34" spans="1:37" x14ac:dyDescent="0.4">
      <c r="A34" s="20"/>
      <c r="B34" s="21"/>
      <c r="C34" s="21"/>
      <c r="D34" s="21"/>
      <c r="E34" s="21"/>
      <c r="F34" s="21"/>
      <c r="G34" s="21"/>
      <c r="H34" s="21"/>
      <c r="I34" s="21"/>
      <c r="J34" s="21"/>
      <c r="K34" s="21"/>
      <c r="L34" s="21"/>
      <c r="M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2"/>
    </row>
    <row r="35" spans="1:37" x14ac:dyDescent="0.4">
      <c r="A35" s="20"/>
      <c r="B35" s="21"/>
      <c r="C35" s="21"/>
      <c r="D35" s="21"/>
      <c r="E35" s="21"/>
      <c r="F35" s="21"/>
      <c r="G35" s="21"/>
      <c r="H35" s="21"/>
      <c r="I35" s="21"/>
      <c r="J35" s="21"/>
      <c r="K35" s="21"/>
      <c r="L35" s="21"/>
      <c r="M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2"/>
    </row>
    <row r="36" spans="1:37" x14ac:dyDescent="0.4">
      <c r="A36" s="20"/>
      <c r="B36" s="21"/>
      <c r="C36" s="21"/>
      <c r="D36" s="21"/>
      <c r="E36" s="21"/>
      <c r="F36" s="21"/>
      <c r="G36" s="21"/>
      <c r="H36" s="21"/>
      <c r="I36" s="21"/>
      <c r="J36" s="21"/>
      <c r="K36" s="21"/>
      <c r="L36" s="21"/>
      <c r="M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2"/>
    </row>
    <row r="37" spans="1:37" x14ac:dyDescent="0.4">
      <c r="A37" s="20"/>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2"/>
    </row>
    <row r="38" spans="1:37" x14ac:dyDescent="0.4">
      <c r="A38" s="20"/>
      <c r="B38" s="21"/>
      <c r="C38" s="21"/>
      <c r="D38" s="21"/>
      <c r="E38" s="21"/>
      <c r="F38" s="21"/>
      <c r="G38" s="21"/>
      <c r="H38" s="21"/>
      <c r="I38" s="21"/>
      <c r="J38" s="21"/>
      <c r="K38" s="21"/>
      <c r="L38" s="21"/>
      <c r="M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2"/>
    </row>
    <row r="39" spans="1:37" x14ac:dyDescent="0.4">
      <c r="A39" s="20"/>
      <c r="B39" s="21"/>
      <c r="C39" s="21"/>
      <c r="D39" s="21"/>
      <c r="E39" s="21"/>
      <c r="F39" s="21"/>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2"/>
    </row>
    <row r="40" spans="1:37" x14ac:dyDescent="0.4">
      <c r="A40" s="20"/>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2"/>
    </row>
    <row r="41" spans="1:37" x14ac:dyDescent="0.4">
      <c r="A41" s="20"/>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2"/>
    </row>
    <row r="42" spans="1:37" x14ac:dyDescent="0.4">
      <c r="A42" s="20"/>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2"/>
    </row>
    <row r="43" spans="1:37" x14ac:dyDescent="0.4">
      <c r="A43" s="20"/>
      <c r="B43" s="21"/>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2"/>
    </row>
    <row r="44" spans="1:37" x14ac:dyDescent="0.4">
      <c r="A44" s="20"/>
      <c r="B44" s="2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2"/>
    </row>
    <row r="45" spans="1:37" x14ac:dyDescent="0.4">
      <c r="A45" s="20"/>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2"/>
    </row>
    <row r="46" spans="1:37" x14ac:dyDescent="0.4">
      <c r="A46" s="20"/>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2"/>
    </row>
    <row r="47" spans="1:37" x14ac:dyDescent="0.4">
      <c r="A47" s="20"/>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2"/>
    </row>
    <row r="48" spans="1:37" x14ac:dyDescent="0.4">
      <c r="A48" s="20"/>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2"/>
    </row>
    <row r="49" spans="1:37" x14ac:dyDescent="0.4">
      <c r="A49" s="20"/>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2"/>
    </row>
    <row r="50" spans="1:37" x14ac:dyDescent="0.4">
      <c r="A50" s="20"/>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2"/>
    </row>
    <row r="51" spans="1:37" x14ac:dyDescent="0.4">
      <c r="A51" s="20"/>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2"/>
    </row>
    <row r="52" spans="1:37" x14ac:dyDescent="0.4">
      <c r="A52" s="20"/>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2"/>
    </row>
    <row r="53" spans="1:37" x14ac:dyDescent="0.4">
      <c r="A53" s="20"/>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2"/>
    </row>
    <row r="54" spans="1:37" x14ac:dyDescent="0.4">
      <c r="A54" s="20"/>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2"/>
    </row>
    <row r="55" spans="1:37" x14ac:dyDescent="0.4">
      <c r="A55" s="20"/>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2"/>
    </row>
    <row r="56" spans="1:37" x14ac:dyDescent="0.4">
      <c r="A56" s="20"/>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2"/>
    </row>
    <row r="57" spans="1:37" x14ac:dyDescent="0.4">
      <c r="A57" s="20"/>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2"/>
    </row>
    <row r="58" spans="1:37" x14ac:dyDescent="0.4">
      <c r="A58" s="20"/>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2"/>
    </row>
    <row r="59" spans="1:37" x14ac:dyDescent="0.4">
      <c r="A59" s="20"/>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2"/>
    </row>
    <row r="60" spans="1:37" x14ac:dyDescent="0.4">
      <c r="A60" s="20"/>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2"/>
    </row>
    <row r="61" spans="1:37" x14ac:dyDescent="0.4">
      <c r="A61" s="20"/>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2"/>
    </row>
    <row r="62" spans="1:37" x14ac:dyDescent="0.4">
      <c r="A62" s="20"/>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2"/>
    </row>
    <row r="63" spans="1:37" x14ac:dyDescent="0.4">
      <c r="A63" s="20"/>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2"/>
    </row>
    <row r="64" spans="1:37" x14ac:dyDescent="0.4">
      <c r="A64" s="20"/>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2"/>
    </row>
    <row r="65" spans="1:37" x14ac:dyDescent="0.4">
      <c r="A65" s="20"/>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2"/>
    </row>
    <row r="66" spans="1:37" x14ac:dyDescent="0.4">
      <c r="A66" s="20"/>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2"/>
    </row>
    <row r="67" spans="1:37" ht="23.4" thickBot="1" x14ac:dyDescent="0.45">
      <c r="A67" s="23"/>
      <c r="B67" s="24"/>
      <c r="C67" s="24"/>
      <c r="D67" s="24"/>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5"/>
    </row>
    <row r="68" spans="1:37" x14ac:dyDescent="0.4">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row>
    <row r="69" spans="1:37" x14ac:dyDescent="0.4">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row>
    <row r="70" spans="1:37" x14ac:dyDescent="0.4">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row>
    <row r="71" spans="1:37" x14ac:dyDescent="0.4">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row>
    <row r="72" spans="1:37" x14ac:dyDescent="0.4">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row>
    <row r="73" spans="1:37" x14ac:dyDescent="0.4">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row>
    <row r="74" spans="1:37" x14ac:dyDescent="0.4">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row>
    <row r="75" spans="1:37" x14ac:dyDescent="0.4">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row>
    <row r="76" spans="1:37" x14ac:dyDescent="0.4">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row>
    <row r="77" spans="1:37" x14ac:dyDescent="0.4">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row>
    <row r="78" spans="1:37" x14ac:dyDescent="0.4">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row>
    <row r="79" spans="1:37" x14ac:dyDescent="0.4">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row>
    <row r="80" spans="1:37" x14ac:dyDescent="0.4">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row>
    <row r="81" spans="1:31" x14ac:dyDescent="0.4">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row>
    <row r="82" spans="1:31" x14ac:dyDescent="0.4">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row>
    <row r="83" spans="1:31" x14ac:dyDescent="0.4">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row>
    <row r="84" spans="1:31" x14ac:dyDescent="0.4">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row>
    <row r="85" spans="1:31" x14ac:dyDescent="0.4">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I769"/>
  <sheetViews>
    <sheetView zoomScale="80" zoomScaleNormal="80" workbookViewId="0">
      <selection activeCell="I12" sqref="I12"/>
    </sheetView>
  </sheetViews>
  <sheetFormatPr defaultRowHeight="13.8" x14ac:dyDescent="0.25"/>
  <cols>
    <col min="1" max="1" width="10.59765625" style="5" customWidth="1"/>
    <col min="2" max="2" width="7.5" style="5" customWidth="1"/>
    <col min="3" max="3" width="12.59765625" style="5" customWidth="1"/>
    <col min="4" max="4" width="11.8984375" style="5" customWidth="1"/>
    <col min="5" max="5" width="5.8984375" style="5" customWidth="1"/>
    <col min="6" max="6" width="6.796875" style="5" customWidth="1"/>
    <col min="7" max="7" width="22.5" style="5" customWidth="1"/>
    <col min="8" max="8" width="5.5" style="5" customWidth="1"/>
    <col min="9" max="9" width="8.5" style="5" customWidth="1"/>
    <col min="10" max="16384" width="8.796875" style="5"/>
  </cols>
  <sheetData>
    <row r="1" spans="1:9" x14ac:dyDescent="0.25">
      <c r="A1" s="5" t="s">
        <v>0</v>
      </c>
      <c r="B1" s="5" t="s">
        <v>1</v>
      </c>
      <c r="C1" s="5" t="s">
        <v>2</v>
      </c>
      <c r="D1" s="5" t="s">
        <v>3</v>
      </c>
      <c r="E1" s="5" t="s">
        <v>4</v>
      </c>
      <c r="F1" s="5" t="s">
        <v>5</v>
      </c>
      <c r="G1" s="5" t="s">
        <v>6</v>
      </c>
      <c r="H1" s="5" t="s">
        <v>7</v>
      </c>
      <c r="I1" s="5" t="s">
        <v>8</v>
      </c>
    </row>
    <row r="2" spans="1:9" x14ac:dyDescent="0.25">
      <c r="A2" s="5">
        <v>6</v>
      </c>
      <c r="B2" s="5">
        <v>148</v>
      </c>
      <c r="C2" s="5">
        <v>72</v>
      </c>
      <c r="D2" s="5">
        <v>35</v>
      </c>
      <c r="E2" s="5">
        <v>0</v>
      </c>
      <c r="F2" s="5">
        <v>33.6</v>
      </c>
      <c r="G2" s="5">
        <v>0.627</v>
      </c>
      <c r="H2" s="5">
        <v>50</v>
      </c>
      <c r="I2" s="5">
        <v>1</v>
      </c>
    </row>
    <row r="3" spans="1:9" x14ac:dyDescent="0.25">
      <c r="A3" s="5">
        <v>1</v>
      </c>
      <c r="B3" s="5">
        <v>85</v>
      </c>
      <c r="C3" s="5">
        <v>66</v>
      </c>
      <c r="D3" s="5">
        <v>29</v>
      </c>
      <c r="E3" s="5">
        <v>0</v>
      </c>
      <c r="F3" s="5">
        <v>26.6</v>
      </c>
      <c r="G3" s="5">
        <v>0.35099999999999998</v>
      </c>
      <c r="H3" s="5">
        <v>31</v>
      </c>
      <c r="I3" s="5">
        <v>0</v>
      </c>
    </row>
    <row r="4" spans="1:9" x14ac:dyDescent="0.25">
      <c r="A4" s="5">
        <v>8</v>
      </c>
      <c r="B4" s="5">
        <v>183</v>
      </c>
      <c r="C4" s="5">
        <v>64</v>
      </c>
      <c r="D4" s="5">
        <v>0</v>
      </c>
      <c r="E4" s="5">
        <v>0</v>
      </c>
      <c r="F4" s="5">
        <v>23.3</v>
      </c>
      <c r="G4" s="5">
        <v>0.67200000000000004</v>
      </c>
      <c r="H4" s="5">
        <v>32</v>
      </c>
      <c r="I4" s="5">
        <v>1</v>
      </c>
    </row>
    <row r="5" spans="1:9" x14ac:dyDescent="0.25">
      <c r="A5" s="5">
        <v>5</v>
      </c>
      <c r="B5" s="5">
        <v>116</v>
      </c>
      <c r="C5" s="5">
        <v>74</v>
      </c>
      <c r="D5" s="5">
        <v>0</v>
      </c>
      <c r="E5" s="5">
        <v>0</v>
      </c>
      <c r="F5" s="5">
        <v>25.6</v>
      </c>
      <c r="G5" s="5">
        <v>0.20100000000000001</v>
      </c>
      <c r="H5" s="5">
        <v>30</v>
      </c>
      <c r="I5" s="5">
        <v>0</v>
      </c>
    </row>
    <row r="6" spans="1:9" x14ac:dyDescent="0.25">
      <c r="A6" s="5">
        <v>10</v>
      </c>
      <c r="B6" s="5">
        <v>115</v>
      </c>
      <c r="C6" s="5">
        <v>0</v>
      </c>
      <c r="D6" s="5">
        <v>0</v>
      </c>
      <c r="E6" s="5">
        <v>0</v>
      </c>
      <c r="F6" s="5">
        <v>35.299999999999997</v>
      </c>
      <c r="G6" s="5">
        <v>0.13400000000000001</v>
      </c>
      <c r="H6" s="5">
        <v>29</v>
      </c>
      <c r="I6" s="5">
        <v>0</v>
      </c>
    </row>
    <row r="7" spans="1:9" x14ac:dyDescent="0.25">
      <c r="A7" s="5">
        <v>8</v>
      </c>
      <c r="B7" s="5">
        <v>125</v>
      </c>
      <c r="C7" s="5">
        <v>96</v>
      </c>
      <c r="D7" s="5">
        <v>0</v>
      </c>
      <c r="E7" s="5">
        <v>0</v>
      </c>
      <c r="F7" s="5">
        <v>0</v>
      </c>
      <c r="G7" s="5">
        <v>0.23200000000000001</v>
      </c>
      <c r="H7" s="5">
        <v>54</v>
      </c>
      <c r="I7" s="5">
        <v>1</v>
      </c>
    </row>
    <row r="8" spans="1:9" x14ac:dyDescent="0.25">
      <c r="A8" s="5">
        <v>4</v>
      </c>
      <c r="B8" s="5">
        <v>110</v>
      </c>
      <c r="C8" s="5">
        <v>92</v>
      </c>
      <c r="D8" s="5">
        <v>0</v>
      </c>
      <c r="E8" s="5">
        <v>0</v>
      </c>
      <c r="F8" s="5">
        <v>37.6</v>
      </c>
      <c r="G8" s="5">
        <v>0.191</v>
      </c>
      <c r="H8" s="5">
        <v>30</v>
      </c>
      <c r="I8" s="5">
        <v>0</v>
      </c>
    </row>
    <row r="9" spans="1:9" x14ac:dyDescent="0.25">
      <c r="A9" s="5">
        <v>10</v>
      </c>
      <c r="B9" s="5">
        <v>168</v>
      </c>
      <c r="C9" s="5">
        <v>74</v>
      </c>
      <c r="D9" s="5">
        <v>0</v>
      </c>
      <c r="E9" s="5">
        <v>0</v>
      </c>
      <c r="F9" s="5">
        <v>38</v>
      </c>
      <c r="G9" s="5">
        <v>0.53700000000000003</v>
      </c>
      <c r="H9" s="5">
        <v>34</v>
      </c>
      <c r="I9" s="5">
        <v>1</v>
      </c>
    </row>
    <row r="10" spans="1:9" x14ac:dyDescent="0.25">
      <c r="A10" s="5">
        <v>10</v>
      </c>
      <c r="B10" s="5">
        <v>139</v>
      </c>
      <c r="C10" s="5">
        <v>80</v>
      </c>
      <c r="D10" s="5">
        <v>0</v>
      </c>
      <c r="E10" s="5">
        <v>0</v>
      </c>
      <c r="F10" s="5">
        <v>27.1</v>
      </c>
      <c r="G10" s="5">
        <v>1.4410000000000001</v>
      </c>
      <c r="H10" s="5">
        <v>57</v>
      </c>
      <c r="I10" s="5">
        <v>0</v>
      </c>
    </row>
    <row r="11" spans="1:9" x14ac:dyDescent="0.25">
      <c r="A11" s="5">
        <v>7</v>
      </c>
      <c r="B11" s="5">
        <v>100</v>
      </c>
      <c r="C11" s="5">
        <v>0</v>
      </c>
      <c r="D11" s="5">
        <v>0</v>
      </c>
      <c r="E11" s="5">
        <v>0</v>
      </c>
      <c r="F11" s="5">
        <v>30</v>
      </c>
      <c r="G11" s="5">
        <v>0.48399999999999999</v>
      </c>
      <c r="H11" s="5">
        <v>32</v>
      </c>
      <c r="I11" s="5">
        <v>1</v>
      </c>
    </row>
    <row r="12" spans="1:9" x14ac:dyDescent="0.25">
      <c r="A12" s="5">
        <v>7</v>
      </c>
      <c r="B12" s="5">
        <v>107</v>
      </c>
      <c r="C12" s="5">
        <v>74</v>
      </c>
      <c r="D12" s="5">
        <v>0</v>
      </c>
      <c r="E12" s="5">
        <v>0</v>
      </c>
      <c r="F12" s="5">
        <v>29.6</v>
      </c>
      <c r="G12" s="5">
        <v>0.254</v>
      </c>
      <c r="H12" s="5">
        <v>31</v>
      </c>
      <c r="I12" s="5">
        <v>1</v>
      </c>
    </row>
    <row r="13" spans="1:9" x14ac:dyDescent="0.25">
      <c r="A13" s="5">
        <v>8</v>
      </c>
      <c r="B13" s="5">
        <v>99</v>
      </c>
      <c r="C13" s="5">
        <v>84</v>
      </c>
      <c r="D13" s="5">
        <v>0</v>
      </c>
      <c r="E13" s="5">
        <v>0</v>
      </c>
      <c r="F13" s="5">
        <v>35.4</v>
      </c>
      <c r="G13" s="5">
        <v>0.38800000000000001</v>
      </c>
      <c r="H13" s="5">
        <v>50</v>
      </c>
      <c r="I13" s="5">
        <v>0</v>
      </c>
    </row>
    <row r="14" spans="1:9" x14ac:dyDescent="0.25">
      <c r="A14" s="5">
        <v>7</v>
      </c>
      <c r="B14" s="5">
        <v>196</v>
      </c>
      <c r="C14" s="5">
        <v>90</v>
      </c>
      <c r="D14" s="5">
        <v>0</v>
      </c>
      <c r="E14" s="5">
        <v>0</v>
      </c>
      <c r="F14" s="5">
        <v>39.799999999999997</v>
      </c>
      <c r="G14" s="5">
        <v>0.45100000000000001</v>
      </c>
      <c r="H14" s="5">
        <v>41</v>
      </c>
      <c r="I14" s="5">
        <v>1</v>
      </c>
    </row>
    <row r="15" spans="1:9" x14ac:dyDescent="0.25">
      <c r="A15" s="5">
        <v>9</v>
      </c>
      <c r="B15" s="5">
        <v>119</v>
      </c>
      <c r="C15" s="5">
        <v>80</v>
      </c>
      <c r="D15" s="5">
        <v>35</v>
      </c>
      <c r="E15" s="5">
        <v>0</v>
      </c>
      <c r="F15" s="5">
        <v>29</v>
      </c>
      <c r="G15" s="5">
        <v>0.26300000000000001</v>
      </c>
      <c r="H15" s="5">
        <v>29</v>
      </c>
      <c r="I15" s="5">
        <v>1</v>
      </c>
    </row>
    <row r="16" spans="1:9" x14ac:dyDescent="0.25">
      <c r="A16" s="5">
        <v>7</v>
      </c>
      <c r="B16" s="5">
        <v>147</v>
      </c>
      <c r="C16" s="5">
        <v>76</v>
      </c>
      <c r="D16" s="5">
        <v>0</v>
      </c>
      <c r="E16" s="5">
        <v>0</v>
      </c>
      <c r="F16" s="5">
        <v>39.4</v>
      </c>
      <c r="G16" s="5">
        <v>0.25700000000000001</v>
      </c>
      <c r="H16" s="5">
        <v>43</v>
      </c>
      <c r="I16" s="5">
        <v>1</v>
      </c>
    </row>
    <row r="17" spans="1:9" x14ac:dyDescent="0.25">
      <c r="A17" s="5">
        <v>5</v>
      </c>
      <c r="B17" s="5">
        <v>117</v>
      </c>
      <c r="C17" s="5">
        <v>92</v>
      </c>
      <c r="D17" s="5">
        <v>0</v>
      </c>
      <c r="E17" s="5">
        <v>0</v>
      </c>
      <c r="F17" s="5">
        <v>34.1</v>
      </c>
      <c r="G17" s="5">
        <v>0.33700000000000002</v>
      </c>
      <c r="H17" s="5">
        <v>38</v>
      </c>
      <c r="I17" s="5">
        <v>0</v>
      </c>
    </row>
    <row r="18" spans="1:9" x14ac:dyDescent="0.25">
      <c r="A18" s="5">
        <v>5</v>
      </c>
      <c r="B18" s="5">
        <v>109</v>
      </c>
      <c r="C18" s="5">
        <v>75</v>
      </c>
      <c r="D18" s="5">
        <v>26</v>
      </c>
      <c r="E18" s="5">
        <v>0</v>
      </c>
      <c r="F18" s="5">
        <v>36</v>
      </c>
      <c r="G18" s="5">
        <v>0.54600000000000004</v>
      </c>
      <c r="H18" s="5">
        <v>60</v>
      </c>
      <c r="I18" s="5">
        <v>0</v>
      </c>
    </row>
    <row r="19" spans="1:9" x14ac:dyDescent="0.25">
      <c r="A19" s="5">
        <v>6</v>
      </c>
      <c r="B19" s="5">
        <v>92</v>
      </c>
      <c r="C19" s="5">
        <v>92</v>
      </c>
      <c r="D19" s="5">
        <v>0</v>
      </c>
      <c r="E19" s="5">
        <v>0</v>
      </c>
      <c r="F19" s="5">
        <v>19.899999999999999</v>
      </c>
      <c r="G19" s="5">
        <v>0.188</v>
      </c>
      <c r="H19" s="5">
        <v>28</v>
      </c>
      <c r="I19" s="5">
        <v>0</v>
      </c>
    </row>
    <row r="20" spans="1:9" x14ac:dyDescent="0.25">
      <c r="A20" s="5">
        <v>10</v>
      </c>
      <c r="B20" s="5">
        <v>122</v>
      </c>
      <c r="C20" s="5">
        <v>78</v>
      </c>
      <c r="D20" s="5">
        <v>31</v>
      </c>
      <c r="E20" s="5">
        <v>0</v>
      </c>
      <c r="F20" s="5">
        <v>27.6</v>
      </c>
      <c r="G20" s="5">
        <v>0.51200000000000001</v>
      </c>
      <c r="H20" s="5">
        <v>45</v>
      </c>
      <c r="I20" s="5">
        <v>0</v>
      </c>
    </row>
    <row r="21" spans="1:9" x14ac:dyDescent="0.25">
      <c r="A21" s="5">
        <v>11</v>
      </c>
      <c r="B21" s="5">
        <v>138</v>
      </c>
      <c r="C21" s="5">
        <v>76</v>
      </c>
      <c r="D21" s="5">
        <v>0</v>
      </c>
      <c r="E21" s="5">
        <v>0</v>
      </c>
      <c r="F21" s="5">
        <v>33.200000000000003</v>
      </c>
      <c r="G21" s="5">
        <v>0.42</v>
      </c>
      <c r="H21" s="5">
        <v>35</v>
      </c>
      <c r="I21" s="5">
        <v>0</v>
      </c>
    </row>
    <row r="22" spans="1:9" x14ac:dyDescent="0.25">
      <c r="A22" s="5">
        <v>9</v>
      </c>
      <c r="B22" s="5">
        <v>102</v>
      </c>
      <c r="C22" s="5">
        <v>76</v>
      </c>
      <c r="D22" s="5">
        <v>37</v>
      </c>
      <c r="E22" s="5">
        <v>0</v>
      </c>
      <c r="F22" s="5">
        <v>32.9</v>
      </c>
      <c r="G22" s="5">
        <v>0.66500000000000004</v>
      </c>
      <c r="H22" s="5">
        <v>46</v>
      </c>
      <c r="I22" s="5">
        <v>1</v>
      </c>
    </row>
    <row r="23" spans="1:9" x14ac:dyDescent="0.25">
      <c r="A23" s="5">
        <v>2</v>
      </c>
      <c r="B23" s="5">
        <v>90</v>
      </c>
      <c r="C23" s="5">
        <v>68</v>
      </c>
      <c r="D23" s="5">
        <v>42</v>
      </c>
      <c r="E23" s="5">
        <v>0</v>
      </c>
      <c r="F23" s="5">
        <v>38.200000000000003</v>
      </c>
      <c r="G23" s="5">
        <v>0.503</v>
      </c>
      <c r="H23" s="5">
        <v>27</v>
      </c>
      <c r="I23" s="5">
        <v>1</v>
      </c>
    </row>
    <row r="24" spans="1:9" x14ac:dyDescent="0.25">
      <c r="A24" s="5">
        <v>7</v>
      </c>
      <c r="B24" s="5">
        <v>133</v>
      </c>
      <c r="C24" s="5">
        <v>84</v>
      </c>
      <c r="D24" s="5">
        <v>0</v>
      </c>
      <c r="E24" s="5">
        <v>0</v>
      </c>
      <c r="F24" s="5">
        <v>40.200000000000003</v>
      </c>
      <c r="G24" s="5">
        <v>0.69599999999999995</v>
      </c>
      <c r="H24" s="5">
        <v>37</v>
      </c>
      <c r="I24" s="5">
        <v>0</v>
      </c>
    </row>
    <row r="25" spans="1:9" x14ac:dyDescent="0.25">
      <c r="A25" s="5">
        <v>7</v>
      </c>
      <c r="B25" s="5">
        <v>106</v>
      </c>
      <c r="C25" s="5">
        <v>92</v>
      </c>
      <c r="D25" s="5">
        <v>18</v>
      </c>
      <c r="E25" s="5">
        <v>0</v>
      </c>
      <c r="F25" s="5">
        <v>22.7</v>
      </c>
      <c r="G25" s="5">
        <v>0.23499999999999999</v>
      </c>
      <c r="H25" s="5">
        <v>48</v>
      </c>
      <c r="I25" s="5">
        <v>0</v>
      </c>
    </row>
    <row r="26" spans="1:9" x14ac:dyDescent="0.25">
      <c r="A26" s="5">
        <v>7</v>
      </c>
      <c r="B26" s="5">
        <v>159</v>
      </c>
      <c r="C26" s="5">
        <v>64</v>
      </c>
      <c r="D26" s="5">
        <v>0</v>
      </c>
      <c r="E26" s="5">
        <v>0</v>
      </c>
      <c r="F26" s="5">
        <v>27.4</v>
      </c>
      <c r="G26" s="5">
        <v>0.29399999999999998</v>
      </c>
      <c r="H26" s="5">
        <v>40</v>
      </c>
      <c r="I26" s="5">
        <v>0</v>
      </c>
    </row>
    <row r="27" spans="1:9" x14ac:dyDescent="0.25">
      <c r="A27" s="5">
        <v>0</v>
      </c>
      <c r="B27" s="5">
        <v>180</v>
      </c>
      <c r="C27" s="5">
        <v>66</v>
      </c>
      <c r="D27" s="5">
        <v>39</v>
      </c>
      <c r="E27" s="5">
        <v>0</v>
      </c>
      <c r="F27" s="5">
        <v>42</v>
      </c>
      <c r="G27" s="5">
        <v>1.893</v>
      </c>
      <c r="H27" s="5">
        <v>25</v>
      </c>
      <c r="I27" s="5">
        <v>1</v>
      </c>
    </row>
    <row r="28" spans="1:9" x14ac:dyDescent="0.25">
      <c r="A28" s="5">
        <v>1</v>
      </c>
      <c r="B28" s="5">
        <v>146</v>
      </c>
      <c r="C28" s="5">
        <v>56</v>
      </c>
      <c r="D28" s="5">
        <v>0</v>
      </c>
      <c r="E28" s="5">
        <v>0</v>
      </c>
      <c r="F28" s="5">
        <v>29.7</v>
      </c>
      <c r="G28" s="5">
        <v>0.56399999999999995</v>
      </c>
      <c r="H28" s="5">
        <v>29</v>
      </c>
      <c r="I28" s="5">
        <v>0</v>
      </c>
    </row>
    <row r="29" spans="1:9" x14ac:dyDescent="0.25">
      <c r="A29" s="5">
        <v>2</v>
      </c>
      <c r="B29" s="5">
        <v>71</v>
      </c>
      <c r="C29" s="5">
        <v>70</v>
      </c>
      <c r="D29" s="5">
        <v>27</v>
      </c>
      <c r="E29" s="5">
        <v>0</v>
      </c>
      <c r="F29" s="5">
        <v>28</v>
      </c>
      <c r="G29" s="5">
        <v>0.58599999999999997</v>
      </c>
      <c r="H29" s="5">
        <v>22</v>
      </c>
      <c r="I29" s="5">
        <v>0</v>
      </c>
    </row>
    <row r="30" spans="1:9" x14ac:dyDescent="0.25">
      <c r="A30" s="5">
        <v>7</v>
      </c>
      <c r="B30" s="5">
        <v>103</v>
      </c>
      <c r="C30" s="5">
        <v>66</v>
      </c>
      <c r="D30" s="5">
        <v>32</v>
      </c>
      <c r="E30" s="5">
        <v>0</v>
      </c>
      <c r="F30" s="5">
        <v>39.1</v>
      </c>
      <c r="G30" s="5">
        <v>0.34399999999999997</v>
      </c>
      <c r="H30" s="5">
        <v>31</v>
      </c>
      <c r="I30" s="5">
        <v>1</v>
      </c>
    </row>
    <row r="31" spans="1:9" x14ac:dyDescent="0.25">
      <c r="A31" s="5">
        <v>7</v>
      </c>
      <c r="B31" s="5">
        <v>105</v>
      </c>
      <c r="C31" s="5">
        <v>0</v>
      </c>
      <c r="D31" s="5">
        <v>0</v>
      </c>
      <c r="E31" s="5">
        <v>0</v>
      </c>
      <c r="F31" s="5">
        <v>0</v>
      </c>
      <c r="G31" s="5">
        <v>0.30499999999999999</v>
      </c>
      <c r="H31" s="5">
        <v>24</v>
      </c>
      <c r="I31" s="5">
        <v>0</v>
      </c>
    </row>
    <row r="32" spans="1:9" x14ac:dyDescent="0.25">
      <c r="A32" s="5">
        <v>1</v>
      </c>
      <c r="B32" s="5">
        <v>73</v>
      </c>
      <c r="C32" s="5">
        <v>50</v>
      </c>
      <c r="D32" s="5">
        <v>10</v>
      </c>
      <c r="E32" s="5">
        <v>0</v>
      </c>
      <c r="F32" s="5">
        <v>23</v>
      </c>
      <c r="G32" s="5">
        <v>0.248</v>
      </c>
      <c r="H32" s="5">
        <v>21</v>
      </c>
      <c r="I32" s="5">
        <v>0</v>
      </c>
    </row>
    <row r="33" spans="1:9" x14ac:dyDescent="0.25">
      <c r="A33" s="5">
        <v>0</v>
      </c>
      <c r="B33" s="5">
        <v>146</v>
      </c>
      <c r="C33" s="5">
        <v>82</v>
      </c>
      <c r="D33" s="5">
        <v>0</v>
      </c>
      <c r="E33" s="5">
        <v>0</v>
      </c>
      <c r="F33" s="5">
        <v>40.5</v>
      </c>
      <c r="G33" s="5">
        <v>1.7809999999999999</v>
      </c>
      <c r="H33" s="5">
        <v>44</v>
      </c>
      <c r="I33" s="5">
        <v>0</v>
      </c>
    </row>
    <row r="34" spans="1:9" x14ac:dyDescent="0.25">
      <c r="A34" s="5">
        <v>2</v>
      </c>
      <c r="B34" s="5">
        <v>84</v>
      </c>
      <c r="C34" s="5">
        <v>0</v>
      </c>
      <c r="D34" s="5">
        <v>0</v>
      </c>
      <c r="E34" s="5">
        <v>0</v>
      </c>
      <c r="F34" s="5">
        <v>0</v>
      </c>
      <c r="G34" s="5">
        <v>0.30399999999999999</v>
      </c>
      <c r="H34" s="5">
        <v>21</v>
      </c>
      <c r="I34" s="5">
        <v>0</v>
      </c>
    </row>
    <row r="35" spans="1:9" x14ac:dyDescent="0.25">
      <c r="A35" s="5">
        <v>8</v>
      </c>
      <c r="B35" s="5">
        <v>133</v>
      </c>
      <c r="C35" s="5">
        <v>72</v>
      </c>
      <c r="D35" s="5">
        <v>0</v>
      </c>
      <c r="E35" s="5">
        <v>0</v>
      </c>
      <c r="F35" s="5">
        <v>32.9</v>
      </c>
      <c r="G35" s="5">
        <v>0.27</v>
      </c>
      <c r="H35" s="5">
        <v>39</v>
      </c>
      <c r="I35" s="5">
        <v>1</v>
      </c>
    </row>
    <row r="36" spans="1:9" x14ac:dyDescent="0.25">
      <c r="A36" s="5">
        <v>5</v>
      </c>
      <c r="B36" s="5">
        <v>44</v>
      </c>
      <c r="C36" s="5">
        <v>62</v>
      </c>
      <c r="D36" s="5">
        <v>0</v>
      </c>
      <c r="E36" s="5">
        <v>0</v>
      </c>
      <c r="F36" s="5">
        <v>25</v>
      </c>
      <c r="G36" s="5">
        <v>0.58699999999999997</v>
      </c>
      <c r="H36" s="5">
        <v>36</v>
      </c>
      <c r="I36" s="5">
        <v>0</v>
      </c>
    </row>
    <row r="37" spans="1:9" x14ac:dyDescent="0.25">
      <c r="A37" s="5">
        <v>7</v>
      </c>
      <c r="B37" s="5">
        <v>114</v>
      </c>
      <c r="C37" s="5">
        <v>66</v>
      </c>
      <c r="D37" s="5">
        <v>0</v>
      </c>
      <c r="E37" s="5">
        <v>0</v>
      </c>
      <c r="F37" s="5">
        <v>32.799999999999997</v>
      </c>
      <c r="G37" s="5">
        <v>0.25800000000000001</v>
      </c>
      <c r="H37" s="5">
        <v>42</v>
      </c>
      <c r="I37" s="5">
        <v>1</v>
      </c>
    </row>
    <row r="38" spans="1:9" x14ac:dyDescent="0.25">
      <c r="A38" s="5">
        <v>5</v>
      </c>
      <c r="B38" s="5">
        <v>99</v>
      </c>
      <c r="C38" s="5">
        <v>74</v>
      </c>
      <c r="D38" s="5">
        <v>27</v>
      </c>
      <c r="E38" s="5">
        <v>0</v>
      </c>
      <c r="F38" s="5">
        <v>29</v>
      </c>
      <c r="G38" s="5">
        <v>0.20300000000000001</v>
      </c>
      <c r="H38" s="5">
        <v>32</v>
      </c>
      <c r="I38" s="5">
        <v>0</v>
      </c>
    </row>
    <row r="39" spans="1:9" x14ac:dyDescent="0.25">
      <c r="A39" s="5">
        <v>0</v>
      </c>
      <c r="B39" s="5">
        <v>109</v>
      </c>
      <c r="C39" s="5">
        <v>88</v>
      </c>
      <c r="D39" s="5">
        <v>30</v>
      </c>
      <c r="E39" s="5">
        <v>0</v>
      </c>
      <c r="F39" s="5">
        <v>32.5</v>
      </c>
      <c r="G39" s="5">
        <v>0.85499999999999998</v>
      </c>
      <c r="H39" s="5">
        <v>38</v>
      </c>
      <c r="I39" s="5">
        <v>1</v>
      </c>
    </row>
    <row r="40" spans="1:9" x14ac:dyDescent="0.25">
      <c r="A40" s="5">
        <v>2</v>
      </c>
      <c r="B40" s="5">
        <v>109</v>
      </c>
      <c r="C40" s="5">
        <v>92</v>
      </c>
      <c r="D40" s="5">
        <v>0</v>
      </c>
      <c r="E40" s="5">
        <v>0</v>
      </c>
      <c r="F40" s="5">
        <v>42.7</v>
      </c>
      <c r="G40" s="5">
        <v>0.84499999999999997</v>
      </c>
      <c r="H40" s="5">
        <v>54</v>
      </c>
      <c r="I40" s="5">
        <v>0</v>
      </c>
    </row>
    <row r="41" spans="1:9" x14ac:dyDescent="0.25">
      <c r="A41" s="5">
        <v>13</v>
      </c>
      <c r="B41" s="5">
        <v>126</v>
      </c>
      <c r="C41" s="5">
        <v>90</v>
      </c>
      <c r="D41" s="5">
        <v>0</v>
      </c>
      <c r="E41" s="5">
        <v>0</v>
      </c>
      <c r="F41" s="5">
        <v>43.4</v>
      </c>
      <c r="G41" s="5">
        <v>0.58299999999999996</v>
      </c>
      <c r="H41" s="5">
        <v>42</v>
      </c>
      <c r="I41" s="5">
        <v>1</v>
      </c>
    </row>
    <row r="42" spans="1:9" x14ac:dyDescent="0.25">
      <c r="A42" s="5">
        <v>1</v>
      </c>
      <c r="B42" s="5">
        <v>79</v>
      </c>
      <c r="C42" s="5">
        <v>75</v>
      </c>
      <c r="D42" s="5">
        <v>30</v>
      </c>
      <c r="E42" s="5">
        <v>0</v>
      </c>
      <c r="F42" s="5">
        <v>32</v>
      </c>
      <c r="G42" s="5">
        <v>0.39600000000000002</v>
      </c>
      <c r="H42" s="5">
        <v>22</v>
      </c>
      <c r="I42" s="5">
        <v>0</v>
      </c>
    </row>
    <row r="43" spans="1:9" x14ac:dyDescent="0.25">
      <c r="A43" s="5">
        <v>1</v>
      </c>
      <c r="B43" s="5">
        <v>0</v>
      </c>
      <c r="C43" s="5">
        <v>48</v>
      </c>
      <c r="D43" s="5">
        <v>20</v>
      </c>
      <c r="E43" s="5">
        <v>0</v>
      </c>
      <c r="F43" s="5">
        <v>24.7</v>
      </c>
      <c r="G43" s="5">
        <v>0.14000000000000001</v>
      </c>
      <c r="H43" s="5">
        <v>22</v>
      </c>
      <c r="I43" s="5">
        <v>0</v>
      </c>
    </row>
    <row r="44" spans="1:9" x14ac:dyDescent="0.25">
      <c r="A44" s="5">
        <v>7</v>
      </c>
      <c r="B44" s="5">
        <v>62</v>
      </c>
      <c r="C44" s="5">
        <v>78</v>
      </c>
      <c r="D44" s="5">
        <v>0</v>
      </c>
      <c r="E44" s="5">
        <v>0</v>
      </c>
      <c r="F44" s="5">
        <v>32.6</v>
      </c>
      <c r="G44" s="5">
        <v>0.39100000000000001</v>
      </c>
      <c r="H44" s="5">
        <v>41</v>
      </c>
      <c r="I44" s="5">
        <v>0</v>
      </c>
    </row>
    <row r="45" spans="1:9" x14ac:dyDescent="0.25">
      <c r="A45" s="5">
        <v>5</v>
      </c>
      <c r="B45" s="5">
        <v>95</v>
      </c>
      <c r="C45" s="5">
        <v>72</v>
      </c>
      <c r="D45" s="5">
        <v>33</v>
      </c>
      <c r="E45" s="5">
        <v>0</v>
      </c>
      <c r="F45" s="5">
        <v>37.700000000000003</v>
      </c>
      <c r="G45" s="5">
        <v>0.37</v>
      </c>
      <c r="H45" s="5">
        <v>27</v>
      </c>
      <c r="I45" s="5">
        <v>0</v>
      </c>
    </row>
    <row r="46" spans="1:9" x14ac:dyDescent="0.25">
      <c r="A46" s="5">
        <v>0</v>
      </c>
      <c r="B46" s="5">
        <v>131</v>
      </c>
      <c r="C46" s="5">
        <v>0</v>
      </c>
      <c r="D46" s="5">
        <v>0</v>
      </c>
      <c r="E46" s="5">
        <v>0</v>
      </c>
      <c r="F46" s="5">
        <v>43.2</v>
      </c>
      <c r="G46" s="5">
        <v>0.27</v>
      </c>
      <c r="H46" s="5">
        <v>26</v>
      </c>
      <c r="I46" s="5">
        <v>1</v>
      </c>
    </row>
    <row r="47" spans="1:9" x14ac:dyDescent="0.25">
      <c r="A47" s="5">
        <v>2</v>
      </c>
      <c r="B47" s="5">
        <v>112</v>
      </c>
      <c r="C47" s="5">
        <v>66</v>
      </c>
      <c r="D47" s="5">
        <v>22</v>
      </c>
      <c r="E47" s="5">
        <v>0</v>
      </c>
      <c r="F47" s="5">
        <v>25</v>
      </c>
      <c r="G47" s="5">
        <v>0.307</v>
      </c>
      <c r="H47" s="5">
        <v>24</v>
      </c>
      <c r="I47" s="5">
        <v>0</v>
      </c>
    </row>
    <row r="48" spans="1:9" x14ac:dyDescent="0.25">
      <c r="A48" s="5">
        <v>3</v>
      </c>
      <c r="B48" s="5">
        <v>113</v>
      </c>
      <c r="C48" s="5">
        <v>44</v>
      </c>
      <c r="D48" s="5">
        <v>13</v>
      </c>
      <c r="E48" s="5">
        <v>0</v>
      </c>
      <c r="F48" s="5">
        <v>22.4</v>
      </c>
      <c r="G48" s="5">
        <v>0.14000000000000001</v>
      </c>
      <c r="H48" s="5">
        <v>22</v>
      </c>
      <c r="I48" s="5">
        <v>0</v>
      </c>
    </row>
    <row r="49" spans="1:9" x14ac:dyDescent="0.25">
      <c r="A49" s="5">
        <v>2</v>
      </c>
      <c r="B49" s="5">
        <v>74</v>
      </c>
      <c r="C49" s="5">
        <v>0</v>
      </c>
      <c r="D49" s="5">
        <v>0</v>
      </c>
      <c r="E49" s="5">
        <v>0</v>
      </c>
      <c r="F49" s="5">
        <v>0</v>
      </c>
      <c r="G49" s="5">
        <v>0.10199999999999999</v>
      </c>
      <c r="H49" s="5">
        <v>22</v>
      </c>
      <c r="I49" s="5">
        <v>0</v>
      </c>
    </row>
    <row r="50" spans="1:9" x14ac:dyDescent="0.25">
      <c r="A50" s="5">
        <v>0</v>
      </c>
      <c r="B50" s="5">
        <v>101</v>
      </c>
      <c r="C50" s="5">
        <v>65</v>
      </c>
      <c r="D50" s="5">
        <v>28</v>
      </c>
      <c r="E50" s="5">
        <v>0</v>
      </c>
      <c r="F50" s="5">
        <v>24.6</v>
      </c>
      <c r="G50" s="5">
        <v>0.23699999999999999</v>
      </c>
      <c r="H50" s="5">
        <v>22</v>
      </c>
      <c r="I50" s="5">
        <v>0</v>
      </c>
    </row>
    <row r="51" spans="1:9" x14ac:dyDescent="0.25">
      <c r="A51" s="5">
        <v>5</v>
      </c>
      <c r="B51" s="5">
        <v>137</v>
      </c>
      <c r="C51" s="5">
        <v>108</v>
      </c>
      <c r="D51" s="5">
        <v>0</v>
      </c>
      <c r="E51" s="5">
        <v>0</v>
      </c>
      <c r="F51" s="5">
        <v>48.8</v>
      </c>
      <c r="G51" s="5">
        <v>0.22700000000000001</v>
      </c>
      <c r="H51" s="5">
        <v>37</v>
      </c>
      <c r="I51" s="5">
        <v>1</v>
      </c>
    </row>
    <row r="52" spans="1:9" x14ac:dyDescent="0.25">
      <c r="A52" s="5">
        <v>13</v>
      </c>
      <c r="B52" s="5">
        <v>106</v>
      </c>
      <c r="C52" s="5">
        <v>72</v>
      </c>
      <c r="D52" s="5">
        <v>54</v>
      </c>
      <c r="E52" s="5">
        <v>0</v>
      </c>
      <c r="F52" s="5">
        <v>36.6</v>
      </c>
      <c r="G52" s="5">
        <v>0.17799999999999999</v>
      </c>
      <c r="H52" s="5">
        <v>45</v>
      </c>
      <c r="I52" s="5">
        <v>0</v>
      </c>
    </row>
    <row r="53" spans="1:9" x14ac:dyDescent="0.25">
      <c r="A53" s="5">
        <v>1</v>
      </c>
      <c r="B53" s="5">
        <v>107</v>
      </c>
      <c r="C53" s="5">
        <v>68</v>
      </c>
      <c r="D53" s="5">
        <v>19</v>
      </c>
      <c r="E53" s="5">
        <v>0</v>
      </c>
      <c r="F53" s="5">
        <v>26.5</v>
      </c>
      <c r="G53" s="5">
        <v>0.16500000000000001</v>
      </c>
      <c r="H53" s="5">
        <v>24</v>
      </c>
      <c r="I53" s="5">
        <v>0</v>
      </c>
    </row>
    <row r="54" spans="1:9" x14ac:dyDescent="0.25">
      <c r="A54" s="5">
        <v>1</v>
      </c>
      <c r="B54" s="5">
        <v>80</v>
      </c>
      <c r="C54" s="5">
        <v>55</v>
      </c>
      <c r="D54" s="5">
        <v>0</v>
      </c>
      <c r="E54" s="5">
        <v>0</v>
      </c>
      <c r="F54" s="5">
        <v>19.100000000000001</v>
      </c>
      <c r="G54" s="5">
        <v>0.25800000000000001</v>
      </c>
      <c r="H54" s="5">
        <v>21</v>
      </c>
      <c r="I54" s="5">
        <v>0</v>
      </c>
    </row>
    <row r="55" spans="1:9" x14ac:dyDescent="0.25">
      <c r="A55" s="5">
        <v>4</v>
      </c>
      <c r="B55" s="5">
        <v>134</v>
      </c>
      <c r="C55" s="5">
        <v>72</v>
      </c>
      <c r="D55" s="5">
        <v>0</v>
      </c>
      <c r="E55" s="5">
        <v>0</v>
      </c>
      <c r="F55" s="5">
        <v>23.8</v>
      </c>
      <c r="G55" s="5">
        <v>0.27700000000000002</v>
      </c>
      <c r="H55" s="5">
        <v>60</v>
      </c>
      <c r="I55" s="5">
        <v>1</v>
      </c>
    </row>
    <row r="56" spans="1:9" x14ac:dyDescent="0.25">
      <c r="A56" s="5">
        <v>2</v>
      </c>
      <c r="B56" s="5">
        <v>92</v>
      </c>
      <c r="C56" s="5">
        <v>62</v>
      </c>
      <c r="D56" s="5">
        <v>28</v>
      </c>
      <c r="E56" s="5">
        <v>0</v>
      </c>
      <c r="F56" s="5">
        <v>31.6</v>
      </c>
      <c r="G56" s="5">
        <v>0.13</v>
      </c>
      <c r="H56" s="5">
        <v>24</v>
      </c>
      <c r="I56" s="5">
        <v>0</v>
      </c>
    </row>
    <row r="57" spans="1:9" x14ac:dyDescent="0.25">
      <c r="A57" s="5">
        <v>1</v>
      </c>
      <c r="B57" s="5">
        <v>163</v>
      </c>
      <c r="C57" s="5">
        <v>72</v>
      </c>
      <c r="D57" s="5">
        <v>0</v>
      </c>
      <c r="E57" s="5">
        <v>0</v>
      </c>
      <c r="F57" s="5">
        <v>39</v>
      </c>
      <c r="G57" s="5">
        <v>1.222</v>
      </c>
      <c r="H57" s="5">
        <v>33</v>
      </c>
      <c r="I57" s="5">
        <v>1</v>
      </c>
    </row>
    <row r="58" spans="1:9" x14ac:dyDescent="0.25">
      <c r="A58" s="5">
        <v>1</v>
      </c>
      <c r="B58" s="5">
        <v>151</v>
      </c>
      <c r="C58" s="5">
        <v>60</v>
      </c>
      <c r="D58" s="5">
        <v>0</v>
      </c>
      <c r="E58" s="5">
        <v>0</v>
      </c>
      <c r="F58" s="5">
        <v>26.1</v>
      </c>
      <c r="G58" s="5">
        <v>0.17899999999999999</v>
      </c>
      <c r="H58" s="5">
        <v>22</v>
      </c>
      <c r="I58" s="5">
        <v>0</v>
      </c>
    </row>
    <row r="59" spans="1:9" x14ac:dyDescent="0.25">
      <c r="A59" s="5">
        <v>0</v>
      </c>
      <c r="B59" s="5">
        <v>125</v>
      </c>
      <c r="C59" s="5">
        <v>96</v>
      </c>
      <c r="D59" s="5">
        <v>0</v>
      </c>
      <c r="E59" s="5">
        <v>0</v>
      </c>
      <c r="F59" s="5">
        <v>22.5</v>
      </c>
      <c r="G59" s="5">
        <v>0.26200000000000001</v>
      </c>
      <c r="H59" s="5">
        <v>21</v>
      </c>
      <c r="I59" s="5">
        <v>0</v>
      </c>
    </row>
    <row r="60" spans="1:9" x14ac:dyDescent="0.25">
      <c r="A60" s="5">
        <v>2</v>
      </c>
      <c r="B60" s="5">
        <v>85</v>
      </c>
      <c r="C60" s="5">
        <v>65</v>
      </c>
      <c r="D60" s="5">
        <v>0</v>
      </c>
      <c r="E60" s="5">
        <v>0</v>
      </c>
      <c r="F60" s="5">
        <v>39.6</v>
      </c>
      <c r="G60" s="5">
        <v>0.93</v>
      </c>
      <c r="H60" s="5">
        <v>27</v>
      </c>
      <c r="I60" s="5">
        <v>0</v>
      </c>
    </row>
    <row r="61" spans="1:9" x14ac:dyDescent="0.25">
      <c r="A61" s="5">
        <v>1</v>
      </c>
      <c r="B61" s="5">
        <v>96</v>
      </c>
      <c r="C61" s="5">
        <v>122</v>
      </c>
      <c r="D61" s="5">
        <v>0</v>
      </c>
      <c r="E61" s="5">
        <v>0</v>
      </c>
      <c r="F61" s="5">
        <v>22.4</v>
      </c>
      <c r="G61" s="5">
        <v>0.20699999999999999</v>
      </c>
      <c r="H61" s="5">
        <v>27</v>
      </c>
      <c r="I61" s="5">
        <v>0</v>
      </c>
    </row>
    <row r="62" spans="1:9" x14ac:dyDescent="0.25">
      <c r="A62" s="5">
        <v>4</v>
      </c>
      <c r="B62" s="5">
        <v>76</v>
      </c>
      <c r="C62" s="5">
        <v>62</v>
      </c>
      <c r="D62" s="5">
        <v>0</v>
      </c>
      <c r="E62" s="5">
        <v>0</v>
      </c>
      <c r="F62" s="5">
        <v>34</v>
      </c>
      <c r="G62" s="5">
        <v>0.39100000000000001</v>
      </c>
      <c r="H62" s="5">
        <v>25</v>
      </c>
      <c r="I62" s="5">
        <v>0</v>
      </c>
    </row>
    <row r="63" spans="1:9" x14ac:dyDescent="0.25">
      <c r="A63" s="5">
        <v>4</v>
      </c>
      <c r="B63" s="5">
        <v>146</v>
      </c>
      <c r="C63" s="5">
        <v>92</v>
      </c>
      <c r="D63" s="5">
        <v>0</v>
      </c>
      <c r="E63" s="5">
        <v>0</v>
      </c>
      <c r="F63" s="5">
        <v>31.2</v>
      </c>
      <c r="G63" s="5">
        <v>0.53900000000000003</v>
      </c>
      <c r="H63" s="5">
        <v>61</v>
      </c>
      <c r="I63" s="5">
        <v>1</v>
      </c>
    </row>
    <row r="64" spans="1:9" x14ac:dyDescent="0.25">
      <c r="A64" s="5">
        <v>5</v>
      </c>
      <c r="B64" s="5">
        <v>124</v>
      </c>
      <c r="C64" s="5">
        <v>74</v>
      </c>
      <c r="D64" s="5">
        <v>0</v>
      </c>
      <c r="E64" s="5">
        <v>0</v>
      </c>
      <c r="F64" s="5">
        <v>34</v>
      </c>
      <c r="G64" s="5">
        <v>0.22</v>
      </c>
      <c r="H64" s="5">
        <v>38</v>
      </c>
      <c r="I64" s="5">
        <v>1</v>
      </c>
    </row>
    <row r="65" spans="1:9" x14ac:dyDescent="0.25">
      <c r="A65" s="5">
        <v>5</v>
      </c>
      <c r="B65" s="5">
        <v>78</v>
      </c>
      <c r="C65" s="5">
        <v>48</v>
      </c>
      <c r="D65" s="5">
        <v>0</v>
      </c>
      <c r="E65" s="5">
        <v>0</v>
      </c>
      <c r="F65" s="5">
        <v>33.700000000000003</v>
      </c>
      <c r="G65" s="5">
        <v>0.65400000000000003</v>
      </c>
      <c r="H65" s="5">
        <v>25</v>
      </c>
      <c r="I65" s="5">
        <v>0</v>
      </c>
    </row>
    <row r="66" spans="1:9" x14ac:dyDescent="0.25">
      <c r="A66" s="5">
        <v>4</v>
      </c>
      <c r="B66" s="5">
        <v>97</v>
      </c>
      <c r="C66" s="5">
        <v>60</v>
      </c>
      <c r="D66" s="5">
        <v>23</v>
      </c>
      <c r="E66" s="5">
        <v>0</v>
      </c>
      <c r="F66" s="5">
        <v>28.2</v>
      </c>
      <c r="G66" s="5">
        <v>0.443</v>
      </c>
      <c r="H66" s="5">
        <v>22</v>
      </c>
      <c r="I66" s="5">
        <v>0</v>
      </c>
    </row>
    <row r="67" spans="1:9" x14ac:dyDescent="0.25">
      <c r="A67" s="5">
        <v>6</v>
      </c>
      <c r="B67" s="5">
        <v>111</v>
      </c>
      <c r="C67" s="5">
        <v>64</v>
      </c>
      <c r="D67" s="5">
        <v>39</v>
      </c>
      <c r="E67" s="5">
        <v>0</v>
      </c>
      <c r="F67" s="5">
        <v>34.200000000000003</v>
      </c>
      <c r="G67" s="5">
        <v>0.26</v>
      </c>
      <c r="H67" s="5">
        <v>24</v>
      </c>
      <c r="I67" s="5">
        <v>0</v>
      </c>
    </row>
    <row r="68" spans="1:9" x14ac:dyDescent="0.25">
      <c r="A68" s="5">
        <v>5</v>
      </c>
      <c r="B68" s="5">
        <v>132</v>
      </c>
      <c r="C68" s="5">
        <v>80</v>
      </c>
      <c r="D68" s="5">
        <v>0</v>
      </c>
      <c r="E68" s="5">
        <v>0</v>
      </c>
      <c r="F68" s="5">
        <v>26.8</v>
      </c>
      <c r="G68" s="5">
        <v>0.186</v>
      </c>
      <c r="H68" s="5">
        <v>69</v>
      </c>
      <c r="I68" s="5">
        <v>0</v>
      </c>
    </row>
    <row r="69" spans="1:9" x14ac:dyDescent="0.25">
      <c r="A69" s="5">
        <v>0</v>
      </c>
      <c r="B69" s="5">
        <v>113</v>
      </c>
      <c r="C69" s="5">
        <v>76</v>
      </c>
      <c r="D69" s="5">
        <v>0</v>
      </c>
      <c r="E69" s="5">
        <v>0</v>
      </c>
      <c r="F69" s="5">
        <v>33.299999999999997</v>
      </c>
      <c r="G69" s="5">
        <v>0.27800000000000002</v>
      </c>
      <c r="H69" s="5">
        <v>23</v>
      </c>
      <c r="I69" s="5">
        <v>1</v>
      </c>
    </row>
    <row r="70" spans="1:9" x14ac:dyDescent="0.25">
      <c r="A70" s="5">
        <v>0</v>
      </c>
      <c r="B70" s="5">
        <v>105</v>
      </c>
      <c r="C70" s="5">
        <v>84</v>
      </c>
      <c r="D70" s="5">
        <v>0</v>
      </c>
      <c r="E70" s="5">
        <v>0</v>
      </c>
      <c r="F70" s="5">
        <v>27.9</v>
      </c>
      <c r="G70" s="5">
        <v>0.74099999999999999</v>
      </c>
      <c r="H70" s="5">
        <v>62</v>
      </c>
      <c r="I70" s="5">
        <v>1</v>
      </c>
    </row>
    <row r="71" spans="1:9" x14ac:dyDescent="0.25">
      <c r="A71" s="5">
        <v>9</v>
      </c>
      <c r="B71" s="5">
        <v>122</v>
      </c>
      <c r="C71" s="5">
        <v>56</v>
      </c>
      <c r="D71" s="5">
        <v>0</v>
      </c>
      <c r="E71" s="5">
        <v>0</v>
      </c>
      <c r="F71" s="5">
        <v>33.299999999999997</v>
      </c>
      <c r="G71" s="5">
        <v>1.1140000000000001</v>
      </c>
      <c r="H71" s="5">
        <v>33</v>
      </c>
      <c r="I71" s="5">
        <v>1</v>
      </c>
    </row>
    <row r="72" spans="1:9" x14ac:dyDescent="0.25">
      <c r="A72" s="5">
        <v>8</v>
      </c>
      <c r="B72" s="5">
        <v>84</v>
      </c>
      <c r="C72" s="5">
        <v>74</v>
      </c>
      <c r="D72" s="5">
        <v>31</v>
      </c>
      <c r="E72" s="5">
        <v>0</v>
      </c>
      <c r="F72" s="5">
        <v>38.299999999999997</v>
      </c>
      <c r="G72" s="5">
        <v>0.45700000000000002</v>
      </c>
      <c r="H72" s="5">
        <v>39</v>
      </c>
      <c r="I72" s="5">
        <v>0</v>
      </c>
    </row>
    <row r="73" spans="1:9" x14ac:dyDescent="0.25">
      <c r="A73" s="5">
        <v>0</v>
      </c>
      <c r="B73" s="5">
        <v>129</v>
      </c>
      <c r="C73" s="5">
        <v>80</v>
      </c>
      <c r="D73" s="5">
        <v>0</v>
      </c>
      <c r="E73" s="5">
        <v>0</v>
      </c>
      <c r="F73" s="5">
        <v>31.2</v>
      </c>
      <c r="G73" s="5">
        <v>0.70299999999999996</v>
      </c>
      <c r="H73" s="5">
        <v>29</v>
      </c>
      <c r="I73" s="5">
        <v>0</v>
      </c>
    </row>
    <row r="74" spans="1:9" x14ac:dyDescent="0.25">
      <c r="A74" s="5">
        <v>3</v>
      </c>
      <c r="B74" s="5">
        <v>128</v>
      </c>
      <c r="C74" s="5">
        <v>78</v>
      </c>
      <c r="D74" s="5">
        <v>0</v>
      </c>
      <c r="E74" s="5">
        <v>0</v>
      </c>
      <c r="F74" s="5">
        <v>21.1</v>
      </c>
      <c r="G74" s="5">
        <v>0.26800000000000002</v>
      </c>
      <c r="H74" s="5">
        <v>55</v>
      </c>
      <c r="I74" s="5">
        <v>0</v>
      </c>
    </row>
    <row r="75" spans="1:9" x14ac:dyDescent="0.25">
      <c r="A75" s="5">
        <v>5</v>
      </c>
      <c r="B75" s="5">
        <v>106</v>
      </c>
      <c r="C75" s="5">
        <v>82</v>
      </c>
      <c r="D75" s="5">
        <v>30</v>
      </c>
      <c r="E75" s="5">
        <v>0</v>
      </c>
      <c r="F75" s="5">
        <v>39.5</v>
      </c>
      <c r="G75" s="5">
        <v>0.28599999999999998</v>
      </c>
      <c r="H75" s="5">
        <v>38</v>
      </c>
      <c r="I75" s="5">
        <v>0</v>
      </c>
    </row>
    <row r="76" spans="1:9" x14ac:dyDescent="0.25">
      <c r="A76" s="5">
        <v>10</v>
      </c>
      <c r="B76" s="5">
        <v>108</v>
      </c>
      <c r="C76" s="5">
        <v>66</v>
      </c>
      <c r="D76" s="5">
        <v>0</v>
      </c>
      <c r="E76" s="5">
        <v>0</v>
      </c>
      <c r="F76" s="5">
        <v>32.4</v>
      </c>
      <c r="G76" s="5">
        <v>0.27200000000000002</v>
      </c>
      <c r="H76" s="5">
        <v>42</v>
      </c>
      <c r="I76" s="5">
        <v>1</v>
      </c>
    </row>
    <row r="77" spans="1:9" x14ac:dyDescent="0.25">
      <c r="A77" s="5">
        <v>0</v>
      </c>
      <c r="B77" s="5">
        <v>102</v>
      </c>
      <c r="C77" s="5">
        <v>75</v>
      </c>
      <c r="D77" s="5">
        <v>23</v>
      </c>
      <c r="E77" s="5">
        <v>0</v>
      </c>
      <c r="F77" s="5">
        <v>0</v>
      </c>
      <c r="G77" s="5">
        <v>0.57199999999999995</v>
      </c>
      <c r="H77" s="5">
        <v>21</v>
      </c>
      <c r="I77" s="5">
        <v>0</v>
      </c>
    </row>
    <row r="78" spans="1:9" x14ac:dyDescent="0.25">
      <c r="A78" s="5">
        <v>9</v>
      </c>
      <c r="B78" s="5">
        <v>57</v>
      </c>
      <c r="C78" s="5">
        <v>80</v>
      </c>
      <c r="D78" s="5">
        <v>37</v>
      </c>
      <c r="E78" s="5">
        <v>0</v>
      </c>
      <c r="F78" s="5">
        <v>32.799999999999997</v>
      </c>
      <c r="G78" s="5">
        <v>9.6000000000000002E-2</v>
      </c>
      <c r="H78" s="5">
        <v>41</v>
      </c>
      <c r="I78" s="5">
        <v>0</v>
      </c>
    </row>
    <row r="79" spans="1:9" x14ac:dyDescent="0.25">
      <c r="A79" s="5">
        <v>5</v>
      </c>
      <c r="B79" s="5">
        <v>147</v>
      </c>
      <c r="C79" s="5">
        <v>78</v>
      </c>
      <c r="D79" s="5">
        <v>0</v>
      </c>
      <c r="E79" s="5">
        <v>0</v>
      </c>
      <c r="F79" s="5">
        <v>33.700000000000003</v>
      </c>
      <c r="G79" s="5">
        <v>0.218</v>
      </c>
      <c r="H79" s="5">
        <v>65</v>
      </c>
      <c r="I79" s="5">
        <v>0</v>
      </c>
    </row>
    <row r="80" spans="1:9" x14ac:dyDescent="0.25">
      <c r="A80" s="5">
        <v>2</v>
      </c>
      <c r="B80" s="5">
        <v>90</v>
      </c>
      <c r="C80" s="5">
        <v>70</v>
      </c>
      <c r="D80" s="5">
        <v>17</v>
      </c>
      <c r="E80" s="5">
        <v>0</v>
      </c>
      <c r="F80" s="5">
        <v>27.3</v>
      </c>
      <c r="G80" s="5">
        <v>8.5000000000000006E-2</v>
      </c>
      <c r="H80" s="5">
        <v>22</v>
      </c>
      <c r="I80" s="5">
        <v>0</v>
      </c>
    </row>
    <row r="81" spans="1:9" x14ac:dyDescent="0.25">
      <c r="A81" s="5">
        <v>4</v>
      </c>
      <c r="B81" s="5">
        <v>114</v>
      </c>
      <c r="C81" s="5">
        <v>65</v>
      </c>
      <c r="D81" s="5">
        <v>0</v>
      </c>
      <c r="E81" s="5">
        <v>0</v>
      </c>
      <c r="F81" s="5">
        <v>21.9</v>
      </c>
      <c r="G81" s="5">
        <v>0.432</v>
      </c>
      <c r="H81" s="5">
        <v>37</v>
      </c>
      <c r="I81" s="5">
        <v>0</v>
      </c>
    </row>
    <row r="82" spans="1:9" x14ac:dyDescent="0.25">
      <c r="A82" s="5">
        <v>8</v>
      </c>
      <c r="B82" s="5">
        <v>188</v>
      </c>
      <c r="C82" s="5">
        <v>78</v>
      </c>
      <c r="D82" s="5">
        <v>0</v>
      </c>
      <c r="E82" s="5">
        <v>0</v>
      </c>
      <c r="F82" s="5">
        <v>47.9</v>
      </c>
      <c r="G82" s="5">
        <v>0.13700000000000001</v>
      </c>
      <c r="H82" s="5">
        <v>43</v>
      </c>
      <c r="I82" s="5">
        <v>1</v>
      </c>
    </row>
    <row r="83" spans="1:9" x14ac:dyDescent="0.25">
      <c r="A83" s="5">
        <v>7</v>
      </c>
      <c r="B83" s="5">
        <v>152</v>
      </c>
      <c r="C83" s="5">
        <v>88</v>
      </c>
      <c r="D83" s="5">
        <v>44</v>
      </c>
      <c r="E83" s="5">
        <v>0</v>
      </c>
      <c r="F83" s="5">
        <v>50</v>
      </c>
      <c r="G83" s="5">
        <v>0.33700000000000002</v>
      </c>
      <c r="H83" s="5">
        <v>36</v>
      </c>
      <c r="I83" s="5">
        <v>1</v>
      </c>
    </row>
    <row r="84" spans="1:9" x14ac:dyDescent="0.25">
      <c r="A84" s="5">
        <v>4</v>
      </c>
      <c r="B84" s="5">
        <v>151</v>
      </c>
      <c r="C84" s="5">
        <v>90</v>
      </c>
      <c r="D84" s="5">
        <v>38</v>
      </c>
      <c r="E84" s="5">
        <v>0</v>
      </c>
      <c r="F84" s="5">
        <v>29.7</v>
      </c>
      <c r="G84" s="5">
        <v>0.29399999999999998</v>
      </c>
      <c r="H84" s="5">
        <v>36</v>
      </c>
      <c r="I84" s="5">
        <v>0</v>
      </c>
    </row>
    <row r="85" spans="1:9" x14ac:dyDescent="0.25">
      <c r="A85" s="5">
        <v>2</v>
      </c>
      <c r="B85" s="5">
        <v>100</v>
      </c>
      <c r="C85" s="5">
        <v>64</v>
      </c>
      <c r="D85" s="5">
        <v>23</v>
      </c>
      <c r="E85" s="5">
        <v>0</v>
      </c>
      <c r="F85" s="5">
        <v>29.7</v>
      </c>
      <c r="G85" s="5">
        <v>0.36799999999999999</v>
      </c>
      <c r="H85" s="5">
        <v>21</v>
      </c>
      <c r="I85" s="5">
        <v>0</v>
      </c>
    </row>
    <row r="86" spans="1:9" x14ac:dyDescent="0.25">
      <c r="A86" s="5">
        <v>0</v>
      </c>
      <c r="B86" s="5">
        <v>131</v>
      </c>
      <c r="C86" s="5">
        <v>88</v>
      </c>
      <c r="D86" s="5">
        <v>0</v>
      </c>
      <c r="E86" s="5">
        <v>0</v>
      </c>
      <c r="F86" s="5">
        <v>31.6</v>
      </c>
      <c r="G86" s="5">
        <v>0.74299999999999999</v>
      </c>
      <c r="H86" s="5">
        <v>32</v>
      </c>
      <c r="I86" s="5">
        <v>1</v>
      </c>
    </row>
    <row r="87" spans="1:9" x14ac:dyDescent="0.25">
      <c r="A87" s="5">
        <v>3</v>
      </c>
      <c r="B87" s="5">
        <v>148</v>
      </c>
      <c r="C87" s="5">
        <v>66</v>
      </c>
      <c r="D87" s="5">
        <v>25</v>
      </c>
      <c r="E87" s="5">
        <v>0</v>
      </c>
      <c r="F87" s="5">
        <v>32.5</v>
      </c>
      <c r="G87" s="5">
        <v>0.25600000000000001</v>
      </c>
      <c r="H87" s="5">
        <v>22</v>
      </c>
      <c r="I87" s="5">
        <v>0</v>
      </c>
    </row>
    <row r="88" spans="1:9" x14ac:dyDescent="0.25">
      <c r="A88" s="5">
        <v>4</v>
      </c>
      <c r="B88" s="5">
        <v>120</v>
      </c>
      <c r="C88" s="5">
        <v>68</v>
      </c>
      <c r="D88" s="5">
        <v>0</v>
      </c>
      <c r="E88" s="5">
        <v>0</v>
      </c>
      <c r="F88" s="5">
        <v>29.6</v>
      </c>
      <c r="G88" s="5">
        <v>0.70899999999999996</v>
      </c>
      <c r="H88" s="5">
        <v>34</v>
      </c>
      <c r="I88" s="5">
        <v>0</v>
      </c>
    </row>
    <row r="89" spans="1:9" x14ac:dyDescent="0.25">
      <c r="A89" s="5">
        <v>4</v>
      </c>
      <c r="B89" s="5">
        <v>110</v>
      </c>
      <c r="C89" s="5">
        <v>66</v>
      </c>
      <c r="D89" s="5">
        <v>0</v>
      </c>
      <c r="E89" s="5">
        <v>0</v>
      </c>
      <c r="F89" s="5">
        <v>31.9</v>
      </c>
      <c r="G89" s="5">
        <v>0.47099999999999997</v>
      </c>
      <c r="H89" s="5">
        <v>29</v>
      </c>
      <c r="I89" s="5">
        <v>0</v>
      </c>
    </row>
    <row r="90" spans="1:9" x14ac:dyDescent="0.25">
      <c r="A90" s="5">
        <v>6</v>
      </c>
      <c r="B90" s="5">
        <v>102</v>
      </c>
      <c r="C90" s="5">
        <v>82</v>
      </c>
      <c r="D90" s="5">
        <v>0</v>
      </c>
      <c r="E90" s="5">
        <v>0</v>
      </c>
      <c r="F90" s="5">
        <v>30.8</v>
      </c>
      <c r="G90" s="5">
        <v>0.18</v>
      </c>
      <c r="H90" s="5">
        <v>36</v>
      </c>
      <c r="I90" s="5">
        <v>1</v>
      </c>
    </row>
    <row r="91" spans="1:9" x14ac:dyDescent="0.25">
      <c r="A91" s="5">
        <v>2</v>
      </c>
      <c r="B91" s="5">
        <v>87</v>
      </c>
      <c r="C91" s="5">
        <v>0</v>
      </c>
      <c r="D91" s="5">
        <v>23</v>
      </c>
      <c r="E91" s="5">
        <v>0</v>
      </c>
      <c r="F91" s="5">
        <v>28.9</v>
      </c>
      <c r="G91" s="5">
        <v>0.77300000000000002</v>
      </c>
      <c r="H91" s="5">
        <v>25</v>
      </c>
      <c r="I91" s="5">
        <v>0</v>
      </c>
    </row>
    <row r="92" spans="1:9" x14ac:dyDescent="0.25">
      <c r="A92" s="5">
        <v>6</v>
      </c>
      <c r="B92" s="5">
        <v>85</v>
      </c>
      <c r="C92" s="5">
        <v>78</v>
      </c>
      <c r="D92" s="5">
        <v>0</v>
      </c>
      <c r="E92" s="5">
        <v>0</v>
      </c>
      <c r="F92" s="5">
        <v>31.2</v>
      </c>
      <c r="G92" s="5">
        <v>0.38200000000000001</v>
      </c>
      <c r="H92" s="5">
        <v>42</v>
      </c>
      <c r="I92" s="5">
        <v>0</v>
      </c>
    </row>
    <row r="93" spans="1:9" x14ac:dyDescent="0.25">
      <c r="A93" s="5">
        <v>5</v>
      </c>
      <c r="B93" s="5">
        <v>143</v>
      </c>
      <c r="C93" s="5">
        <v>78</v>
      </c>
      <c r="D93" s="5">
        <v>0</v>
      </c>
      <c r="E93" s="5">
        <v>0</v>
      </c>
      <c r="F93" s="5">
        <v>45</v>
      </c>
      <c r="G93" s="5">
        <v>0.19</v>
      </c>
      <c r="H93" s="5">
        <v>47</v>
      </c>
      <c r="I93" s="5">
        <v>0</v>
      </c>
    </row>
    <row r="94" spans="1:9" x14ac:dyDescent="0.25">
      <c r="A94" s="5">
        <v>5</v>
      </c>
      <c r="B94" s="5">
        <v>130</v>
      </c>
      <c r="C94" s="5">
        <v>82</v>
      </c>
      <c r="D94" s="5">
        <v>0</v>
      </c>
      <c r="E94" s="5">
        <v>0</v>
      </c>
      <c r="F94" s="5">
        <v>39.1</v>
      </c>
      <c r="G94" s="5">
        <v>0.95599999999999996</v>
      </c>
      <c r="H94" s="5">
        <v>37</v>
      </c>
      <c r="I94" s="5">
        <v>1</v>
      </c>
    </row>
    <row r="95" spans="1:9" x14ac:dyDescent="0.25">
      <c r="A95" s="5">
        <v>6</v>
      </c>
      <c r="B95" s="5">
        <v>87</v>
      </c>
      <c r="C95" s="5">
        <v>80</v>
      </c>
      <c r="D95" s="5">
        <v>0</v>
      </c>
      <c r="E95" s="5">
        <v>0</v>
      </c>
      <c r="F95" s="5">
        <v>23.2</v>
      </c>
      <c r="G95" s="5">
        <v>8.4000000000000005E-2</v>
      </c>
      <c r="H95" s="5">
        <v>32</v>
      </c>
      <c r="I95" s="5">
        <v>0</v>
      </c>
    </row>
    <row r="96" spans="1:9" x14ac:dyDescent="0.25">
      <c r="A96" s="5">
        <v>5</v>
      </c>
      <c r="B96" s="5">
        <v>73</v>
      </c>
      <c r="C96" s="5">
        <v>60</v>
      </c>
      <c r="D96" s="5">
        <v>0</v>
      </c>
      <c r="E96" s="5">
        <v>0</v>
      </c>
      <c r="F96" s="5">
        <v>26.8</v>
      </c>
      <c r="G96" s="5">
        <v>0.26800000000000002</v>
      </c>
      <c r="H96" s="5">
        <v>27</v>
      </c>
      <c r="I96" s="5">
        <v>0</v>
      </c>
    </row>
    <row r="97" spans="1:9" x14ac:dyDescent="0.25">
      <c r="A97" s="5">
        <v>4</v>
      </c>
      <c r="B97" s="5">
        <v>141</v>
      </c>
      <c r="C97" s="5">
        <v>74</v>
      </c>
      <c r="D97" s="5">
        <v>0</v>
      </c>
      <c r="E97" s="5">
        <v>0</v>
      </c>
      <c r="F97" s="5">
        <v>27.6</v>
      </c>
      <c r="G97" s="5">
        <v>0.24399999999999999</v>
      </c>
      <c r="H97" s="5">
        <v>40</v>
      </c>
      <c r="I97" s="5">
        <v>0</v>
      </c>
    </row>
    <row r="98" spans="1:9" x14ac:dyDescent="0.25">
      <c r="A98" s="5">
        <v>7</v>
      </c>
      <c r="B98" s="5">
        <v>194</v>
      </c>
      <c r="C98" s="5">
        <v>68</v>
      </c>
      <c r="D98" s="5">
        <v>28</v>
      </c>
      <c r="E98" s="5">
        <v>0</v>
      </c>
      <c r="F98" s="5">
        <v>35.9</v>
      </c>
      <c r="G98" s="5">
        <v>0.745</v>
      </c>
      <c r="H98" s="5">
        <v>41</v>
      </c>
      <c r="I98" s="5">
        <v>1</v>
      </c>
    </row>
    <row r="99" spans="1:9" x14ac:dyDescent="0.25">
      <c r="A99" s="5">
        <v>3</v>
      </c>
      <c r="B99" s="5">
        <v>111</v>
      </c>
      <c r="C99" s="5">
        <v>62</v>
      </c>
      <c r="D99" s="5">
        <v>0</v>
      </c>
      <c r="E99" s="5">
        <v>0</v>
      </c>
      <c r="F99" s="5">
        <v>22.6</v>
      </c>
      <c r="G99" s="5">
        <v>0.14199999999999999</v>
      </c>
      <c r="H99" s="5">
        <v>21</v>
      </c>
      <c r="I99" s="5">
        <v>0</v>
      </c>
    </row>
    <row r="100" spans="1:9" x14ac:dyDescent="0.25">
      <c r="A100" s="5">
        <v>7</v>
      </c>
      <c r="B100" s="5">
        <v>159</v>
      </c>
      <c r="C100" s="5">
        <v>66</v>
      </c>
      <c r="D100" s="5">
        <v>0</v>
      </c>
      <c r="E100" s="5">
        <v>0</v>
      </c>
      <c r="F100" s="5">
        <v>30.4</v>
      </c>
      <c r="G100" s="5">
        <v>0.38300000000000001</v>
      </c>
      <c r="H100" s="5">
        <v>36</v>
      </c>
      <c r="I100" s="5">
        <v>1</v>
      </c>
    </row>
    <row r="101" spans="1:9" x14ac:dyDescent="0.25">
      <c r="A101" s="5">
        <v>11</v>
      </c>
      <c r="B101" s="5">
        <v>135</v>
      </c>
      <c r="C101" s="5">
        <v>0</v>
      </c>
      <c r="D101" s="5">
        <v>0</v>
      </c>
      <c r="E101" s="5">
        <v>0</v>
      </c>
      <c r="F101" s="5">
        <v>52.3</v>
      </c>
      <c r="G101" s="5">
        <v>0.57799999999999996</v>
      </c>
      <c r="H101" s="5">
        <v>40</v>
      </c>
      <c r="I101" s="5">
        <v>1</v>
      </c>
    </row>
    <row r="102" spans="1:9" x14ac:dyDescent="0.25">
      <c r="A102" s="5">
        <v>8</v>
      </c>
      <c r="B102" s="5">
        <v>85</v>
      </c>
      <c r="C102" s="5">
        <v>55</v>
      </c>
      <c r="D102" s="5">
        <v>20</v>
      </c>
      <c r="E102" s="5">
        <v>0</v>
      </c>
      <c r="F102" s="5">
        <v>24.4</v>
      </c>
      <c r="G102" s="5">
        <v>0.13600000000000001</v>
      </c>
      <c r="H102" s="5">
        <v>42</v>
      </c>
      <c r="I102" s="5">
        <v>0</v>
      </c>
    </row>
    <row r="103" spans="1:9" x14ac:dyDescent="0.25">
      <c r="A103" s="5">
        <v>1</v>
      </c>
      <c r="B103" s="5">
        <v>105</v>
      </c>
      <c r="C103" s="5">
        <v>58</v>
      </c>
      <c r="D103" s="5">
        <v>0</v>
      </c>
      <c r="E103" s="5">
        <v>0</v>
      </c>
      <c r="F103" s="5">
        <v>24.3</v>
      </c>
      <c r="G103" s="5">
        <v>0.187</v>
      </c>
      <c r="H103" s="5">
        <v>21</v>
      </c>
      <c r="I103" s="5">
        <v>0</v>
      </c>
    </row>
    <row r="104" spans="1:9" x14ac:dyDescent="0.25">
      <c r="A104" s="5">
        <v>0</v>
      </c>
      <c r="B104" s="5">
        <v>113</v>
      </c>
      <c r="C104" s="5">
        <v>80</v>
      </c>
      <c r="D104" s="5">
        <v>16</v>
      </c>
      <c r="E104" s="5">
        <v>0</v>
      </c>
      <c r="F104" s="5">
        <v>31</v>
      </c>
      <c r="G104" s="5">
        <v>0.874</v>
      </c>
      <c r="H104" s="5">
        <v>21</v>
      </c>
      <c r="I104" s="5">
        <v>0</v>
      </c>
    </row>
    <row r="105" spans="1:9" x14ac:dyDescent="0.25">
      <c r="A105" s="5">
        <v>1</v>
      </c>
      <c r="B105" s="5">
        <v>138</v>
      </c>
      <c r="C105" s="5">
        <v>82</v>
      </c>
      <c r="D105" s="5">
        <v>0</v>
      </c>
      <c r="E105" s="5">
        <v>0</v>
      </c>
      <c r="F105" s="5">
        <v>40.1</v>
      </c>
      <c r="G105" s="5">
        <v>0.23599999999999999</v>
      </c>
      <c r="H105" s="5">
        <v>28</v>
      </c>
      <c r="I105" s="5">
        <v>0</v>
      </c>
    </row>
    <row r="106" spans="1:9" x14ac:dyDescent="0.25">
      <c r="A106" s="5">
        <v>0</v>
      </c>
      <c r="B106" s="5">
        <v>108</v>
      </c>
      <c r="C106" s="5">
        <v>68</v>
      </c>
      <c r="D106" s="5">
        <v>20</v>
      </c>
      <c r="E106" s="5">
        <v>0</v>
      </c>
      <c r="F106" s="5">
        <v>27.3</v>
      </c>
      <c r="G106" s="5">
        <v>0.78700000000000003</v>
      </c>
      <c r="H106" s="5">
        <v>32</v>
      </c>
      <c r="I106" s="5">
        <v>0</v>
      </c>
    </row>
    <row r="107" spans="1:9" x14ac:dyDescent="0.25">
      <c r="A107" s="5">
        <v>5</v>
      </c>
      <c r="B107" s="5">
        <v>111</v>
      </c>
      <c r="C107" s="5">
        <v>72</v>
      </c>
      <c r="D107" s="5">
        <v>28</v>
      </c>
      <c r="E107" s="5">
        <v>0</v>
      </c>
      <c r="F107" s="5">
        <v>23.9</v>
      </c>
      <c r="G107" s="5">
        <v>0.40699999999999997</v>
      </c>
      <c r="H107" s="5">
        <v>27</v>
      </c>
      <c r="I107" s="5">
        <v>0</v>
      </c>
    </row>
    <row r="108" spans="1:9" x14ac:dyDescent="0.25">
      <c r="A108" s="5">
        <v>5</v>
      </c>
      <c r="B108" s="5">
        <v>162</v>
      </c>
      <c r="C108" s="5">
        <v>104</v>
      </c>
      <c r="D108" s="5">
        <v>0</v>
      </c>
      <c r="E108" s="5">
        <v>0</v>
      </c>
      <c r="F108" s="5">
        <v>37.700000000000003</v>
      </c>
      <c r="G108" s="5">
        <v>0.151</v>
      </c>
      <c r="H108" s="5">
        <v>52</v>
      </c>
      <c r="I108" s="5">
        <v>1</v>
      </c>
    </row>
    <row r="109" spans="1:9" x14ac:dyDescent="0.25">
      <c r="A109" s="5">
        <v>7</v>
      </c>
      <c r="B109" s="5">
        <v>184</v>
      </c>
      <c r="C109" s="5">
        <v>84</v>
      </c>
      <c r="D109" s="5">
        <v>33</v>
      </c>
      <c r="E109" s="5">
        <v>0</v>
      </c>
      <c r="F109" s="5">
        <v>35.5</v>
      </c>
      <c r="G109" s="5">
        <v>0.35499999999999998</v>
      </c>
      <c r="H109" s="5">
        <v>41</v>
      </c>
      <c r="I109" s="5">
        <v>1</v>
      </c>
    </row>
    <row r="110" spans="1:9" x14ac:dyDescent="0.25">
      <c r="A110" s="5">
        <v>2</v>
      </c>
      <c r="B110" s="5">
        <v>81</v>
      </c>
      <c r="C110" s="5">
        <v>60</v>
      </c>
      <c r="D110" s="5">
        <v>22</v>
      </c>
      <c r="E110" s="5">
        <v>0</v>
      </c>
      <c r="F110" s="5">
        <v>27.7</v>
      </c>
      <c r="G110" s="5">
        <v>0.28999999999999998</v>
      </c>
      <c r="H110" s="5">
        <v>25</v>
      </c>
      <c r="I110" s="5">
        <v>0</v>
      </c>
    </row>
    <row r="111" spans="1:9" x14ac:dyDescent="0.25">
      <c r="A111" s="5">
        <v>0</v>
      </c>
      <c r="B111" s="5">
        <v>147</v>
      </c>
      <c r="C111" s="5">
        <v>85</v>
      </c>
      <c r="D111" s="5">
        <v>54</v>
      </c>
      <c r="E111" s="5">
        <v>0</v>
      </c>
      <c r="F111" s="5">
        <v>42.8</v>
      </c>
      <c r="G111" s="5">
        <v>0.375</v>
      </c>
      <c r="H111" s="5">
        <v>24</v>
      </c>
      <c r="I111" s="5">
        <v>0</v>
      </c>
    </row>
    <row r="112" spans="1:9" x14ac:dyDescent="0.25">
      <c r="A112" s="5">
        <v>7</v>
      </c>
      <c r="B112" s="5">
        <v>179</v>
      </c>
      <c r="C112" s="5">
        <v>95</v>
      </c>
      <c r="D112" s="5">
        <v>31</v>
      </c>
      <c r="E112" s="5">
        <v>0</v>
      </c>
      <c r="F112" s="5">
        <v>34.200000000000003</v>
      </c>
      <c r="G112" s="5">
        <v>0.16400000000000001</v>
      </c>
      <c r="H112" s="5">
        <v>60</v>
      </c>
      <c r="I112" s="5">
        <v>0</v>
      </c>
    </row>
    <row r="113" spans="1:9" x14ac:dyDescent="0.25">
      <c r="A113" s="5">
        <v>5</v>
      </c>
      <c r="B113" s="5">
        <v>85</v>
      </c>
      <c r="C113" s="5">
        <v>74</v>
      </c>
      <c r="D113" s="5">
        <v>22</v>
      </c>
      <c r="E113" s="5">
        <v>0</v>
      </c>
      <c r="F113" s="5">
        <v>29</v>
      </c>
      <c r="G113" s="5">
        <v>1.224</v>
      </c>
      <c r="H113" s="5">
        <v>32</v>
      </c>
      <c r="I113" s="5">
        <v>1</v>
      </c>
    </row>
    <row r="114" spans="1:9" x14ac:dyDescent="0.25">
      <c r="A114" s="5">
        <v>5</v>
      </c>
      <c r="B114" s="5">
        <v>112</v>
      </c>
      <c r="C114" s="5">
        <v>66</v>
      </c>
      <c r="D114" s="5">
        <v>0</v>
      </c>
      <c r="E114" s="5">
        <v>0</v>
      </c>
      <c r="F114" s="5">
        <v>37.799999999999997</v>
      </c>
      <c r="G114" s="5">
        <v>0.26100000000000001</v>
      </c>
      <c r="H114" s="5">
        <v>41</v>
      </c>
      <c r="I114" s="5">
        <v>1</v>
      </c>
    </row>
    <row r="115" spans="1:9" x14ac:dyDescent="0.25">
      <c r="A115" s="5">
        <v>2</v>
      </c>
      <c r="B115" s="5">
        <v>158</v>
      </c>
      <c r="C115" s="5">
        <v>90</v>
      </c>
      <c r="D115" s="5">
        <v>0</v>
      </c>
      <c r="E115" s="5">
        <v>0</v>
      </c>
      <c r="F115" s="5">
        <v>31.6</v>
      </c>
      <c r="G115" s="5">
        <v>0.80500000000000005</v>
      </c>
      <c r="H115" s="5">
        <v>66</v>
      </c>
      <c r="I115" s="5">
        <v>1</v>
      </c>
    </row>
    <row r="116" spans="1:9" x14ac:dyDescent="0.25">
      <c r="A116" s="5">
        <v>7</v>
      </c>
      <c r="B116" s="5">
        <v>119</v>
      </c>
      <c r="C116" s="5">
        <v>0</v>
      </c>
      <c r="D116" s="5">
        <v>0</v>
      </c>
      <c r="E116" s="5">
        <v>0</v>
      </c>
      <c r="F116" s="5">
        <v>25.2</v>
      </c>
      <c r="G116" s="5">
        <v>0.20899999999999999</v>
      </c>
      <c r="H116" s="5">
        <v>37</v>
      </c>
      <c r="I116" s="5">
        <v>0</v>
      </c>
    </row>
    <row r="117" spans="1:9" x14ac:dyDescent="0.25">
      <c r="A117" s="5">
        <v>0</v>
      </c>
      <c r="B117" s="5">
        <v>101</v>
      </c>
      <c r="C117" s="5">
        <v>76</v>
      </c>
      <c r="D117" s="5">
        <v>0</v>
      </c>
      <c r="E117" s="5">
        <v>0</v>
      </c>
      <c r="F117" s="5">
        <v>35.700000000000003</v>
      </c>
      <c r="G117" s="5">
        <v>0.19800000000000001</v>
      </c>
      <c r="H117" s="5">
        <v>26</v>
      </c>
      <c r="I117" s="5">
        <v>0</v>
      </c>
    </row>
    <row r="118" spans="1:9" x14ac:dyDescent="0.25">
      <c r="A118" s="5">
        <v>3</v>
      </c>
      <c r="B118" s="5">
        <v>162</v>
      </c>
      <c r="C118" s="5">
        <v>52</v>
      </c>
      <c r="D118" s="5">
        <v>38</v>
      </c>
      <c r="E118" s="5">
        <v>0</v>
      </c>
      <c r="F118" s="5">
        <v>37.200000000000003</v>
      </c>
      <c r="G118" s="5">
        <v>0.65200000000000002</v>
      </c>
      <c r="H118" s="5">
        <v>24</v>
      </c>
      <c r="I118" s="5">
        <v>1</v>
      </c>
    </row>
    <row r="119" spans="1:9" x14ac:dyDescent="0.25">
      <c r="A119" s="5">
        <v>4</v>
      </c>
      <c r="B119" s="5">
        <v>142</v>
      </c>
      <c r="C119" s="5">
        <v>86</v>
      </c>
      <c r="D119" s="5">
        <v>0</v>
      </c>
      <c r="E119" s="5">
        <v>0</v>
      </c>
      <c r="F119" s="5">
        <v>44</v>
      </c>
      <c r="G119" s="5">
        <v>0.64500000000000002</v>
      </c>
      <c r="H119" s="5">
        <v>22</v>
      </c>
      <c r="I119" s="5">
        <v>1</v>
      </c>
    </row>
    <row r="120" spans="1:9" x14ac:dyDescent="0.25">
      <c r="A120" s="5">
        <v>4</v>
      </c>
      <c r="B120" s="5">
        <v>122</v>
      </c>
      <c r="C120" s="5">
        <v>68</v>
      </c>
      <c r="D120" s="5">
        <v>0</v>
      </c>
      <c r="E120" s="5">
        <v>0</v>
      </c>
      <c r="F120" s="5">
        <v>35</v>
      </c>
      <c r="G120" s="5">
        <v>0.39400000000000002</v>
      </c>
      <c r="H120" s="5">
        <v>29</v>
      </c>
      <c r="I120" s="5">
        <v>0</v>
      </c>
    </row>
    <row r="121" spans="1:9" x14ac:dyDescent="0.25">
      <c r="A121" s="5">
        <v>4</v>
      </c>
      <c r="B121" s="5">
        <v>171</v>
      </c>
      <c r="C121" s="5">
        <v>72</v>
      </c>
      <c r="D121" s="5">
        <v>0</v>
      </c>
      <c r="E121" s="5">
        <v>0</v>
      </c>
      <c r="F121" s="5">
        <v>43.6</v>
      </c>
      <c r="G121" s="5">
        <v>0.47899999999999998</v>
      </c>
      <c r="H121" s="5">
        <v>26</v>
      </c>
      <c r="I121" s="5">
        <v>1</v>
      </c>
    </row>
    <row r="122" spans="1:9" x14ac:dyDescent="0.25">
      <c r="A122" s="5">
        <v>0</v>
      </c>
      <c r="B122" s="5">
        <v>179</v>
      </c>
      <c r="C122" s="5">
        <v>90</v>
      </c>
      <c r="D122" s="5">
        <v>27</v>
      </c>
      <c r="E122" s="5">
        <v>0</v>
      </c>
      <c r="F122" s="5">
        <v>44.1</v>
      </c>
      <c r="G122" s="5">
        <v>0.68600000000000005</v>
      </c>
      <c r="H122" s="5">
        <v>23</v>
      </c>
      <c r="I122" s="5">
        <v>1</v>
      </c>
    </row>
    <row r="123" spans="1:9" x14ac:dyDescent="0.25">
      <c r="A123" s="5">
        <v>9</v>
      </c>
      <c r="B123" s="5">
        <v>164</v>
      </c>
      <c r="C123" s="5">
        <v>84</v>
      </c>
      <c r="D123" s="5">
        <v>21</v>
      </c>
      <c r="E123" s="5">
        <v>0</v>
      </c>
      <c r="F123" s="5">
        <v>30.8</v>
      </c>
      <c r="G123" s="5">
        <v>0.83099999999999996</v>
      </c>
      <c r="H123" s="5">
        <v>32</v>
      </c>
      <c r="I123" s="5">
        <v>1</v>
      </c>
    </row>
    <row r="124" spans="1:9" x14ac:dyDescent="0.25">
      <c r="A124" s="5">
        <v>0</v>
      </c>
      <c r="B124" s="5">
        <v>104</v>
      </c>
      <c r="C124" s="5">
        <v>76</v>
      </c>
      <c r="D124" s="5">
        <v>0</v>
      </c>
      <c r="E124" s="5">
        <v>0</v>
      </c>
      <c r="F124" s="5">
        <v>18.399999999999999</v>
      </c>
      <c r="G124" s="5">
        <v>0.58199999999999996</v>
      </c>
      <c r="H124" s="5">
        <v>27</v>
      </c>
      <c r="I124" s="5">
        <v>0</v>
      </c>
    </row>
    <row r="125" spans="1:9" x14ac:dyDescent="0.25">
      <c r="A125" s="5">
        <v>1</v>
      </c>
      <c r="B125" s="5">
        <v>91</v>
      </c>
      <c r="C125" s="5">
        <v>64</v>
      </c>
      <c r="D125" s="5">
        <v>24</v>
      </c>
      <c r="E125" s="5">
        <v>0</v>
      </c>
      <c r="F125" s="5">
        <v>29.2</v>
      </c>
      <c r="G125" s="5">
        <v>0.192</v>
      </c>
      <c r="H125" s="5">
        <v>21</v>
      </c>
      <c r="I125" s="5">
        <v>0</v>
      </c>
    </row>
    <row r="126" spans="1:9" x14ac:dyDescent="0.25">
      <c r="A126" s="5">
        <v>3</v>
      </c>
      <c r="B126" s="5">
        <v>139</v>
      </c>
      <c r="C126" s="5">
        <v>54</v>
      </c>
      <c r="D126" s="5">
        <v>0</v>
      </c>
      <c r="E126" s="5">
        <v>0</v>
      </c>
      <c r="F126" s="5">
        <v>25.6</v>
      </c>
      <c r="G126" s="5">
        <v>0.40200000000000002</v>
      </c>
      <c r="H126" s="5">
        <v>22</v>
      </c>
      <c r="I126" s="5">
        <v>1</v>
      </c>
    </row>
    <row r="127" spans="1:9" x14ac:dyDescent="0.25">
      <c r="A127" s="5">
        <v>9</v>
      </c>
      <c r="B127" s="5">
        <v>184</v>
      </c>
      <c r="C127" s="5">
        <v>85</v>
      </c>
      <c r="D127" s="5">
        <v>15</v>
      </c>
      <c r="E127" s="5">
        <v>0</v>
      </c>
      <c r="F127" s="5">
        <v>30</v>
      </c>
      <c r="G127" s="5">
        <v>1.2130000000000001</v>
      </c>
      <c r="H127" s="5">
        <v>49</v>
      </c>
      <c r="I127" s="5">
        <v>1</v>
      </c>
    </row>
    <row r="128" spans="1:9" x14ac:dyDescent="0.25">
      <c r="A128" s="5">
        <v>10</v>
      </c>
      <c r="B128" s="5">
        <v>122</v>
      </c>
      <c r="C128" s="5">
        <v>68</v>
      </c>
      <c r="D128" s="5">
        <v>0</v>
      </c>
      <c r="E128" s="5">
        <v>0</v>
      </c>
      <c r="F128" s="5">
        <v>31.2</v>
      </c>
      <c r="G128" s="5">
        <v>0.25800000000000001</v>
      </c>
      <c r="H128" s="5">
        <v>41</v>
      </c>
      <c r="I128" s="5">
        <v>0</v>
      </c>
    </row>
    <row r="129" spans="1:9" x14ac:dyDescent="0.25">
      <c r="A129" s="5">
        <v>1</v>
      </c>
      <c r="B129" s="5">
        <v>111</v>
      </c>
      <c r="C129" s="5">
        <v>86</v>
      </c>
      <c r="D129" s="5">
        <v>19</v>
      </c>
      <c r="E129" s="5">
        <v>0</v>
      </c>
      <c r="F129" s="5">
        <v>30.1</v>
      </c>
      <c r="G129" s="5">
        <v>0.14299999999999999</v>
      </c>
      <c r="H129" s="5">
        <v>23</v>
      </c>
      <c r="I129" s="5">
        <v>0</v>
      </c>
    </row>
    <row r="130" spans="1:9" x14ac:dyDescent="0.25">
      <c r="A130" s="5">
        <v>9</v>
      </c>
      <c r="B130" s="5">
        <v>106</v>
      </c>
      <c r="C130" s="5">
        <v>52</v>
      </c>
      <c r="D130" s="5">
        <v>0</v>
      </c>
      <c r="E130" s="5">
        <v>0</v>
      </c>
      <c r="F130" s="5">
        <v>31.2</v>
      </c>
      <c r="G130" s="5">
        <v>0.38</v>
      </c>
      <c r="H130" s="5">
        <v>42</v>
      </c>
      <c r="I130" s="5">
        <v>0</v>
      </c>
    </row>
    <row r="131" spans="1:9" x14ac:dyDescent="0.25">
      <c r="A131" s="5">
        <v>2</v>
      </c>
      <c r="B131" s="5">
        <v>129</v>
      </c>
      <c r="C131" s="5">
        <v>84</v>
      </c>
      <c r="D131" s="5">
        <v>0</v>
      </c>
      <c r="E131" s="5">
        <v>0</v>
      </c>
      <c r="F131" s="5">
        <v>28</v>
      </c>
      <c r="G131" s="5">
        <v>0.28399999999999997</v>
      </c>
      <c r="H131" s="5">
        <v>27</v>
      </c>
      <c r="I131" s="5">
        <v>0</v>
      </c>
    </row>
    <row r="132" spans="1:9" x14ac:dyDescent="0.25">
      <c r="A132" s="5">
        <v>0</v>
      </c>
      <c r="B132" s="5">
        <v>86</v>
      </c>
      <c r="C132" s="5">
        <v>68</v>
      </c>
      <c r="D132" s="5">
        <v>32</v>
      </c>
      <c r="E132" s="5">
        <v>0</v>
      </c>
      <c r="F132" s="5">
        <v>35.799999999999997</v>
      </c>
      <c r="G132" s="5">
        <v>0.23799999999999999</v>
      </c>
      <c r="H132" s="5">
        <v>25</v>
      </c>
      <c r="I132" s="5">
        <v>0</v>
      </c>
    </row>
    <row r="133" spans="1:9" x14ac:dyDescent="0.25">
      <c r="A133" s="5">
        <v>1</v>
      </c>
      <c r="B133" s="5">
        <v>113</v>
      </c>
      <c r="C133" s="5">
        <v>64</v>
      </c>
      <c r="D133" s="5">
        <v>35</v>
      </c>
      <c r="E133" s="5">
        <v>0</v>
      </c>
      <c r="F133" s="5">
        <v>33.6</v>
      </c>
      <c r="G133" s="5">
        <v>0.54300000000000004</v>
      </c>
      <c r="H133" s="5">
        <v>21</v>
      </c>
      <c r="I133" s="5">
        <v>1</v>
      </c>
    </row>
    <row r="134" spans="1:9" x14ac:dyDescent="0.25">
      <c r="A134" s="5">
        <v>3</v>
      </c>
      <c r="B134" s="5">
        <v>111</v>
      </c>
      <c r="C134" s="5">
        <v>56</v>
      </c>
      <c r="D134" s="5">
        <v>39</v>
      </c>
      <c r="E134" s="5">
        <v>0</v>
      </c>
      <c r="F134" s="5">
        <v>30.1</v>
      </c>
      <c r="G134" s="5">
        <v>0.55700000000000005</v>
      </c>
      <c r="H134" s="5">
        <v>30</v>
      </c>
      <c r="I134" s="5">
        <v>0</v>
      </c>
    </row>
    <row r="135" spans="1:9" x14ac:dyDescent="0.25">
      <c r="A135" s="5">
        <v>2</v>
      </c>
      <c r="B135" s="5">
        <v>114</v>
      </c>
      <c r="C135" s="5">
        <v>68</v>
      </c>
      <c r="D135" s="5">
        <v>22</v>
      </c>
      <c r="E135" s="5">
        <v>0</v>
      </c>
      <c r="F135" s="5">
        <v>28.7</v>
      </c>
      <c r="G135" s="5">
        <v>9.1999999999999998E-2</v>
      </c>
      <c r="H135" s="5">
        <v>25</v>
      </c>
      <c r="I135" s="5">
        <v>0</v>
      </c>
    </row>
    <row r="136" spans="1:9" x14ac:dyDescent="0.25">
      <c r="A136" s="5">
        <v>3</v>
      </c>
      <c r="B136" s="5">
        <v>141</v>
      </c>
      <c r="C136" s="5">
        <v>0</v>
      </c>
      <c r="D136" s="5">
        <v>0</v>
      </c>
      <c r="E136" s="5">
        <v>0</v>
      </c>
      <c r="F136" s="5">
        <v>30</v>
      </c>
      <c r="G136" s="5">
        <v>0.76100000000000001</v>
      </c>
      <c r="H136" s="5">
        <v>27</v>
      </c>
      <c r="I136" s="5">
        <v>1</v>
      </c>
    </row>
    <row r="137" spans="1:9" x14ac:dyDescent="0.25">
      <c r="A137" s="5">
        <v>4</v>
      </c>
      <c r="B137" s="5">
        <v>95</v>
      </c>
      <c r="C137" s="5">
        <v>70</v>
      </c>
      <c r="D137" s="5">
        <v>32</v>
      </c>
      <c r="E137" s="5">
        <v>0</v>
      </c>
      <c r="F137" s="5">
        <v>32.1</v>
      </c>
      <c r="G137" s="5">
        <v>0.61199999999999999</v>
      </c>
      <c r="H137" s="5">
        <v>24</v>
      </c>
      <c r="I137" s="5">
        <v>0</v>
      </c>
    </row>
    <row r="138" spans="1:9" x14ac:dyDescent="0.25">
      <c r="A138" s="5">
        <v>3</v>
      </c>
      <c r="B138" s="5">
        <v>142</v>
      </c>
      <c r="C138" s="5">
        <v>80</v>
      </c>
      <c r="D138" s="5">
        <v>15</v>
      </c>
      <c r="E138" s="5">
        <v>0</v>
      </c>
      <c r="F138" s="5">
        <v>32.4</v>
      </c>
      <c r="G138" s="5">
        <v>0.2</v>
      </c>
      <c r="H138" s="5">
        <v>63</v>
      </c>
      <c r="I138" s="5">
        <v>0</v>
      </c>
    </row>
    <row r="139" spans="1:9" x14ac:dyDescent="0.25">
      <c r="A139" s="5">
        <v>4</v>
      </c>
      <c r="B139" s="5">
        <v>123</v>
      </c>
      <c r="C139" s="5">
        <v>62</v>
      </c>
      <c r="D139" s="5">
        <v>0</v>
      </c>
      <c r="E139" s="5">
        <v>0</v>
      </c>
      <c r="F139" s="5">
        <v>32</v>
      </c>
      <c r="G139" s="5">
        <v>0.22600000000000001</v>
      </c>
      <c r="H139" s="5">
        <v>35</v>
      </c>
      <c r="I139" s="5">
        <v>1</v>
      </c>
    </row>
    <row r="140" spans="1:9" x14ac:dyDescent="0.25">
      <c r="A140" s="5">
        <v>0</v>
      </c>
      <c r="B140" s="5">
        <v>138</v>
      </c>
      <c r="C140" s="5">
        <v>0</v>
      </c>
      <c r="D140" s="5">
        <v>0</v>
      </c>
      <c r="E140" s="5">
        <v>0</v>
      </c>
      <c r="F140" s="5">
        <v>36.299999999999997</v>
      </c>
      <c r="G140" s="5">
        <v>0.93300000000000005</v>
      </c>
      <c r="H140" s="5">
        <v>25</v>
      </c>
      <c r="I140" s="5">
        <v>1</v>
      </c>
    </row>
    <row r="141" spans="1:9" x14ac:dyDescent="0.25">
      <c r="A141" s="5">
        <v>2</v>
      </c>
      <c r="B141" s="5">
        <v>128</v>
      </c>
      <c r="C141" s="5">
        <v>64</v>
      </c>
      <c r="D141" s="5">
        <v>42</v>
      </c>
      <c r="E141" s="5">
        <v>0</v>
      </c>
      <c r="F141" s="5">
        <v>40</v>
      </c>
      <c r="G141" s="5">
        <v>1.101</v>
      </c>
      <c r="H141" s="5">
        <v>24</v>
      </c>
      <c r="I141" s="5">
        <v>0</v>
      </c>
    </row>
    <row r="142" spans="1:9" x14ac:dyDescent="0.25">
      <c r="A142" s="5">
        <v>0</v>
      </c>
      <c r="B142" s="5">
        <v>102</v>
      </c>
      <c r="C142" s="5">
        <v>52</v>
      </c>
      <c r="D142" s="5">
        <v>0</v>
      </c>
      <c r="E142" s="5">
        <v>0</v>
      </c>
      <c r="F142" s="5">
        <v>25.1</v>
      </c>
      <c r="G142" s="5">
        <v>7.8E-2</v>
      </c>
      <c r="H142" s="5">
        <v>21</v>
      </c>
      <c r="I142" s="5">
        <v>0</v>
      </c>
    </row>
    <row r="143" spans="1:9" x14ac:dyDescent="0.25">
      <c r="A143" s="5">
        <v>2</v>
      </c>
      <c r="B143" s="5">
        <v>146</v>
      </c>
      <c r="C143" s="5">
        <v>0</v>
      </c>
      <c r="D143" s="5">
        <v>0</v>
      </c>
      <c r="E143" s="5">
        <v>0</v>
      </c>
      <c r="F143" s="5">
        <v>27.5</v>
      </c>
      <c r="G143" s="5">
        <v>0.24</v>
      </c>
      <c r="H143" s="5">
        <v>28</v>
      </c>
      <c r="I143" s="5">
        <v>1</v>
      </c>
    </row>
    <row r="144" spans="1:9" x14ac:dyDescent="0.25">
      <c r="A144" s="5">
        <v>10</v>
      </c>
      <c r="B144" s="5">
        <v>101</v>
      </c>
      <c r="C144" s="5">
        <v>86</v>
      </c>
      <c r="D144" s="5">
        <v>37</v>
      </c>
      <c r="E144" s="5">
        <v>0</v>
      </c>
      <c r="F144" s="5">
        <v>45.6</v>
      </c>
      <c r="G144" s="5">
        <v>1.1359999999999999</v>
      </c>
      <c r="H144" s="5">
        <v>38</v>
      </c>
      <c r="I144" s="5">
        <v>1</v>
      </c>
    </row>
    <row r="145" spans="1:9" x14ac:dyDescent="0.25">
      <c r="A145" s="5">
        <v>3</v>
      </c>
      <c r="B145" s="5">
        <v>122</v>
      </c>
      <c r="C145" s="5">
        <v>78</v>
      </c>
      <c r="D145" s="5">
        <v>0</v>
      </c>
      <c r="E145" s="5">
        <v>0</v>
      </c>
      <c r="F145" s="5">
        <v>23</v>
      </c>
      <c r="G145" s="5">
        <v>0.254</v>
      </c>
      <c r="H145" s="5">
        <v>40</v>
      </c>
      <c r="I145" s="5">
        <v>0</v>
      </c>
    </row>
    <row r="146" spans="1:9" x14ac:dyDescent="0.25">
      <c r="A146" s="5">
        <v>13</v>
      </c>
      <c r="B146" s="5">
        <v>106</v>
      </c>
      <c r="C146" s="5">
        <v>70</v>
      </c>
      <c r="D146" s="5">
        <v>0</v>
      </c>
      <c r="E146" s="5">
        <v>0</v>
      </c>
      <c r="F146" s="5">
        <v>34.200000000000003</v>
      </c>
      <c r="G146" s="5">
        <v>0.251</v>
      </c>
      <c r="H146" s="5">
        <v>52</v>
      </c>
      <c r="I146" s="5">
        <v>0</v>
      </c>
    </row>
    <row r="147" spans="1:9" x14ac:dyDescent="0.25">
      <c r="A147" s="5">
        <v>7</v>
      </c>
      <c r="B147" s="5">
        <v>106</v>
      </c>
      <c r="C147" s="5">
        <v>60</v>
      </c>
      <c r="D147" s="5">
        <v>24</v>
      </c>
      <c r="E147" s="5">
        <v>0</v>
      </c>
      <c r="F147" s="5">
        <v>26.5</v>
      </c>
      <c r="G147" s="5">
        <v>0.29599999999999999</v>
      </c>
      <c r="H147" s="5">
        <v>29</v>
      </c>
      <c r="I147" s="5">
        <v>1</v>
      </c>
    </row>
    <row r="148" spans="1:9" x14ac:dyDescent="0.25">
      <c r="A148" s="5">
        <v>5</v>
      </c>
      <c r="B148" s="5">
        <v>114</v>
      </c>
      <c r="C148" s="5">
        <v>74</v>
      </c>
      <c r="D148" s="5">
        <v>0</v>
      </c>
      <c r="E148" s="5">
        <v>0</v>
      </c>
      <c r="F148" s="5">
        <v>24.9</v>
      </c>
      <c r="G148" s="5">
        <v>0.74399999999999999</v>
      </c>
      <c r="H148" s="5">
        <v>57</v>
      </c>
      <c r="I148" s="5">
        <v>0</v>
      </c>
    </row>
    <row r="149" spans="1:9" x14ac:dyDescent="0.25">
      <c r="A149" s="5">
        <v>0</v>
      </c>
      <c r="B149" s="5">
        <v>146</v>
      </c>
      <c r="C149" s="5">
        <v>70</v>
      </c>
      <c r="D149" s="5">
        <v>0</v>
      </c>
      <c r="E149" s="5">
        <v>0</v>
      </c>
      <c r="F149" s="5">
        <v>37.9</v>
      </c>
      <c r="G149" s="5">
        <v>0.33400000000000002</v>
      </c>
      <c r="H149" s="5">
        <v>28</v>
      </c>
      <c r="I149" s="5">
        <v>1</v>
      </c>
    </row>
    <row r="150" spans="1:9" x14ac:dyDescent="0.25">
      <c r="A150" s="5">
        <v>7</v>
      </c>
      <c r="B150" s="5">
        <v>161</v>
      </c>
      <c r="C150" s="5">
        <v>86</v>
      </c>
      <c r="D150" s="5">
        <v>0</v>
      </c>
      <c r="E150" s="5">
        <v>0</v>
      </c>
      <c r="F150" s="5">
        <v>30.4</v>
      </c>
      <c r="G150" s="5">
        <v>0.16500000000000001</v>
      </c>
      <c r="H150" s="5">
        <v>47</v>
      </c>
      <c r="I150" s="5">
        <v>1</v>
      </c>
    </row>
    <row r="151" spans="1:9" x14ac:dyDescent="0.25">
      <c r="A151" s="5">
        <v>2</v>
      </c>
      <c r="B151" s="5">
        <v>108</v>
      </c>
      <c r="C151" s="5">
        <v>80</v>
      </c>
      <c r="D151" s="5">
        <v>0</v>
      </c>
      <c r="E151" s="5">
        <v>0</v>
      </c>
      <c r="F151" s="5">
        <v>27</v>
      </c>
      <c r="G151" s="5">
        <v>0.25900000000000001</v>
      </c>
      <c r="H151" s="5">
        <v>52</v>
      </c>
      <c r="I151" s="5">
        <v>1</v>
      </c>
    </row>
    <row r="152" spans="1:9" x14ac:dyDescent="0.25">
      <c r="A152" s="5">
        <v>0</v>
      </c>
      <c r="B152" s="5">
        <v>161</v>
      </c>
      <c r="C152" s="5">
        <v>50</v>
      </c>
      <c r="D152" s="5">
        <v>0</v>
      </c>
      <c r="E152" s="5">
        <v>0</v>
      </c>
      <c r="F152" s="5">
        <v>21.9</v>
      </c>
      <c r="G152" s="5">
        <v>0.254</v>
      </c>
      <c r="H152" s="5">
        <v>65</v>
      </c>
      <c r="I152" s="5">
        <v>0</v>
      </c>
    </row>
    <row r="153" spans="1:9" x14ac:dyDescent="0.25">
      <c r="A153" s="5">
        <v>8</v>
      </c>
      <c r="B153" s="5">
        <v>112</v>
      </c>
      <c r="C153" s="5">
        <v>72</v>
      </c>
      <c r="D153" s="5">
        <v>0</v>
      </c>
      <c r="E153" s="5">
        <v>0</v>
      </c>
      <c r="F153" s="5">
        <v>23.6</v>
      </c>
      <c r="G153" s="5">
        <v>0.84</v>
      </c>
      <c r="H153" s="5">
        <v>58</v>
      </c>
      <c r="I153" s="5">
        <v>0</v>
      </c>
    </row>
    <row r="154" spans="1:9" x14ac:dyDescent="0.25">
      <c r="A154" s="5">
        <v>0</v>
      </c>
      <c r="B154" s="5">
        <v>167</v>
      </c>
      <c r="C154" s="5">
        <v>0</v>
      </c>
      <c r="D154" s="5">
        <v>0</v>
      </c>
      <c r="E154" s="5">
        <v>0</v>
      </c>
      <c r="F154" s="5">
        <v>32.299999999999997</v>
      </c>
      <c r="G154" s="5">
        <v>0.83899999999999997</v>
      </c>
      <c r="H154" s="5">
        <v>30</v>
      </c>
      <c r="I154" s="5">
        <v>1</v>
      </c>
    </row>
    <row r="155" spans="1:9" x14ac:dyDescent="0.25">
      <c r="A155" s="5">
        <v>5</v>
      </c>
      <c r="B155" s="5">
        <v>115</v>
      </c>
      <c r="C155" s="5">
        <v>98</v>
      </c>
      <c r="D155" s="5">
        <v>0</v>
      </c>
      <c r="E155" s="5">
        <v>0</v>
      </c>
      <c r="F155" s="5">
        <v>52.9</v>
      </c>
      <c r="G155" s="5">
        <v>0.20899999999999999</v>
      </c>
      <c r="H155" s="5">
        <v>28</v>
      </c>
      <c r="I155" s="5">
        <v>1</v>
      </c>
    </row>
    <row r="156" spans="1:9" x14ac:dyDescent="0.25">
      <c r="A156" s="5">
        <v>3</v>
      </c>
      <c r="B156" s="5">
        <v>150</v>
      </c>
      <c r="C156" s="5">
        <v>76</v>
      </c>
      <c r="D156" s="5">
        <v>0</v>
      </c>
      <c r="E156" s="5">
        <v>0</v>
      </c>
      <c r="F156" s="5">
        <v>21</v>
      </c>
      <c r="G156" s="5">
        <v>0.20699999999999999</v>
      </c>
      <c r="H156" s="5">
        <v>37</v>
      </c>
      <c r="I156" s="5">
        <v>0</v>
      </c>
    </row>
    <row r="157" spans="1:9" x14ac:dyDescent="0.25">
      <c r="A157" s="5">
        <v>6</v>
      </c>
      <c r="B157" s="5">
        <v>80</v>
      </c>
      <c r="C157" s="5">
        <v>66</v>
      </c>
      <c r="D157" s="5">
        <v>30</v>
      </c>
      <c r="E157" s="5">
        <v>0</v>
      </c>
      <c r="F157" s="5">
        <v>26.2</v>
      </c>
      <c r="G157" s="5">
        <v>0.313</v>
      </c>
      <c r="H157" s="5">
        <v>41</v>
      </c>
      <c r="I157" s="5">
        <v>0</v>
      </c>
    </row>
    <row r="158" spans="1:9" x14ac:dyDescent="0.25">
      <c r="A158" s="5">
        <v>7</v>
      </c>
      <c r="B158" s="5">
        <v>109</v>
      </c>
      <c r="C158" s="5">
        <v>80</v>
      </c>
      <c r="D158" s="5">
        <v>31</v>
      </c>
      <c r="E158" s="5">
        <v>0</v>
      </c>
      <c r="F158" s="5">
        <v>35.9</v>
      </c>
      <c r="G158" s="5">
        <v>1.127</v>
      </c>
      <c r="H158" s="5">
        <v>43</v>
      </c>
      <c r="I158" s="5">
        <v>1</v>
      </c>
    </row>
    <row r="159" spans="1:9" x14ac:dyDescent="0.25">
      <c r="A159" s="5">
        <v>3</v>
      </c>
      <c r="B159" s="5">
        <v>182</v>
      </c>
      <c r="C159" s="5">
        <v>74</v>
      </c>
      <c r="D159" s="5">
        <v>0</v>
      </c>
      <c r="E159" s="5">
        <v>0</v>
      </c>
      <c r="F159" s="5">
        <v>30.5</v>
      </c>
      <c r="G159" s="5">
        <v>0.34499999999999997</v>
      </c>
      <c r="H159" s="5">
        <v>29</v>
      </c>
      <c r="I159" s="5">
        <v>1</v>
      </c>
    </row>
    <row r="160" spans="1:9" x14ac:dyDescent="0.25">
      <c r="A160" s="5">
        <v>6</v>
      </c>
      <c r="B160" s="5">
        <v>194</v>
      </c>
      <c r="C160" s="5">
        <v>78</v>
      </c>
      <c r="D160" s="5">
        <v>0</v>
      </c>
      <c r="E160" s="5">
        <v>0</v>
      </c>
      <c r="F160" s="5">
        <v>23.5</v>
      </c>
      <c r="G160" s="5">
        <v>0.129</v>
      </c>
      <c r="H160" s="5">
        <v>59</v>
      </c>
      <c r="I160" s="5">
        <v>1</v>
      </c>
    </row>
    <row r="161" spans="1:9" x14ac:dyDescent="0.25">
      <c r="A161" s="5">
        <v>3</v>
      </c>
      <c r="B161" s="5">
        <v>112</v>
      </c>
      <c r="C161" s="5">
        <v>74</v>
      </c>
      <c r="D161" s="5">
        <v>30</v>
      </c>
      <c r="E161" s="5">
        <v>0</v>
      </c>
      <c r="F161" s="5">
        <v>31.6</v>
      </c>
      <c r="G161" s="5">
        <v>0.19700000000000001</v>
      </c>
      <c r="H161" s="5">
        <v>25</v>
      </c>
      <c r="I161" s="5">
        <v>1</v>
      </c>
    </row>
    <row r="162" spans="1:9" x14ac:dyDescent="0.25">
      <c r="A162" s="5">
        <v>0</v>
      </c>
      <c r="B162" s="5">
        <v>124</v>
      </c>
      <c r="C162" s="5">
        <v>70</v>
      </c>
      <c r="D162" s="5">
        <v>20</v>
      </c>
      <c r="E162" s="5">
        <v>0</v>
      </c>
      <c r="F162" s="5">
        <v>27.4</v>
      </c>
      <c r="G162" s="5">
        <v>0.254</v>
      </c>
      <c r="H162" s="5">
        <v>36</v>
      </c>
      <c r="I162" s="5">
        <v>1</v>
      </c>
    </row>
    <row r="163" spans="1:9" x14ac:dyDescent="0.25">
      <c r="A163" s="5">
        <v>2</v>
      </c>
      <c r="B163" s="5">
        <v>112</v>
      </c>
      <c r="C163" s="5">
        <v>75</v>
      </c>
      <c r="D163" s="5">
        <v>32</v>
      </c>
      <c r="E163" s="5">
        <v>0</v>
      </c>
      <c r="F163" s="5">
        <v>35.700000000000003</v>
      </c>
      <c r="G163" s="5">
        <v>0.14799999999999999</v>
      </c>
      <c r="H163" s="5">
        <v>21</v>
      </c>
      <c r="I163" s="5">
        <v>0</v>
      </c>
    </row>
    <row r="164" spans="1:9" x14ac:dyDescent="0.25">
      <c r="A164" s="5">
        <v>10</v>
      </c>
      <c r="B164" s="5">
        <v>179</v>
      </c>
      <c r="C164" s="5">
        <v>70</v>
      </c>
      <c r="D164" s="5">
        <v>0</v>
      </c>
      <c r="E164" s="5">
        <v>0</v>
      </c>
      <c r="F164" s="5">
        <v>35.1</v>
      </c>
      <c r="G164" s="5">
        <v>0.2</v>
      </c>
      <c r="H164" s="5">
        <v>37</v>
      </c>
      <c r="I164" s="5">
        <v>0</v>
      </c>
    </row>
    <row r="165" spans="1:9" x14ac:dyDescent="0.25">
      <c r="A165" s="5">
        <v>8</v>
      </c>
      <c r="B165" s="5">
        <v>118</v>
      </c>
      <c r="C165" s="5">
        <v>72</v>
      </c>
      <c r="D165" s="5">
        <v>19</v>
      </c>
      <c r="E165" s="5">
        <v>0</v>
      </c>
      <c r="F165" s="5">
        <v>23.1</v>
      </c>
      <c r="G165" s="5">
        <v>1.476</v>
      </c>
      <c r="H165" s="5">
        <v>46</v>
      </c>
      <c r="I165" s="5">
        <v>0</v>
      </c>
    </row>
    <row r="166" spans="1:9" x14ac:dyDescent="0.25">
      <c r="A166" s="5">
        <v>1</v>
      </c>
      <c r="B166" s="5">
        <v>180</v>
      </c>
      <c r="C166" s="5">
        <v>0</v>
      </c>
      <c r="D166" s="5">
        <v>0</v>
      </c>
      <c r="E166" s="5">
        <v>0</v>
      </c>
      <c r="F166" s="5">
        <v>43.3</v>
      </c>
      <c r="G166" s="5">
        <v>0.28199999999999997</v>
      </c>
      <c r="H166" s="5">
        <v>41</v>
      </c>
      <c r="I166" s="5">
        <v>1</v>
      </c>
    </row>
    <row r="167" spans="1:9" x14ac:dyDescent="0.25">
      <c r="A167" s="5">
        <v>12</v>
      </c>
      <c r="B167" s="5">
        <v>106</v>
      </c>
      <c r="C167" s="5">
        <v>80</v>
      </c>
      <c r="D167" s="5">
        <v>0</v>
      </c>
      <c r="E167" s="5">
        <v>0</v>
      </c>
      <c r="F167" s="5">
        <v>23.6</v>
      </c>
      <c r="G167" s="5">
        <v>0.13700000000000001</v>
      </c>
      <c r="H167" s="5">
        <v>44</v>
      </c>
      <c r="I167" s="5">
        <v>0</v>
      </c>
    </row>
    <row r="168" spans="1:9" x14ac:dyDescent="0.25">
      <c r="A168" s="5">
        <v>0</v>
      </c>
      <c r="B168" s="5">
        <v>117</v>
      </c>
      <c r="C168" s="5">
        <v>0</v>
      </c>
      <c r="D168" s="5">
        <v>0</v>
      </c>
      <c r="E168" s="5">
        <v>0</v>
      </c>
      <c r="F168" s="5">
        <v>33.799999999999997</v>
      </c>
      <c r="G168" s="5">
        <v>0.93200000000000005</v>
      </c>
      <c r="H168" s="5">
        <v>44</v>
      </c>
      <c r="I168" s="5">
        <v>0</v>
      </c>
    </row>
    <row r="169" spans="1:9" x14ac:dyDescent="0.25">
      <c r="A169" s="5">
        <v>5</v>
      </c>
      <c r="B169" s="5">
        <v>115</v>
      </c>
      <c r="C169" s="5">
        <v>76</v>
      </c>
      <c r="D169" s="5">
        <v>0</v>
      </c>
      <c r="E169" s="5">
        <v>0</v>
      </c>
      <c r="F169" s="5">
        <v>31.2</v>
      </c>
      <c r="G169" s="5">
        <v>0.34300000000000003</v>
      </c>
      <c r="H169" s="5">
        <v>44</v>
      </c>
      <c r="I169" s="5">
        <v>1</v>
      </c>
    </row>
    <row r="170" spans="1:9" x14ac:dyDescent="0.25">
      <c r="A170" s="5">
        <v>7</v>
      </c>
      <c r="B170" s="5">
        <v>178</v>
      </c>
      <c r="C170" s="5">
        <v>84</v>
      </c>
      <c r="D170" s="5">
        <v>0</v>
      </c>
      <c r="E170" s="5">
        <v>0</v>
      </c>
      <c r="F170" s="5">
        <v>39.9</v>
      </c>
      <c r="G170" s="5">
        <v>0.33100000000000002</v>
      </c>
      <c r="H170" s="5">
        <v>41</v>
      </c>
      <c r="I170" s="5">
        <v>1</v>
      </c>
    </row>
    <row r="171" spans="1:9" x14ac:dyDescent="0.25">
      <c r="A171" s="5">
        <v>1</v>
      </c>
      <c r="B171" s="5">
        <v>0</v>
      </c>
      <c r="C171" s="5">
        <v>68</v>
      </c>
      <c r="D171" s="5">
        <v>35</v>
      </c>
      <c r="E171" s="5">
        <v>0</v>
      </c>
      <c r="F171" s="5">
        <v>32</v>
      </c>
      <c r="G171" s="5">
        <v>0.38900000000000001</v>
      </c>
      <c r="H171" s="5">
        <v>22</v>
      </c>
      <c r="I171" s="5">
        <v>0</v>
      </c>
    </row>
    <row r="172" spans="1:9" x14ac:dyDescent="0.25">
      <c r="A172" s="5">
        <v>5</v>
      </c>
      <c r="B172" s="5">
        <v>122</v>
      </c>
      <c r="C172" s="5">
        <v>86</v>
      </c>
      <c r="D172" s="5">
        <v>0</v>
      </c>
      <c r="E172" s="5">
        <v>0</v>
      </c>
      <c r="F172" s="5">
        <v>34.700000000000003</v>
      </c>
      <c r="G172" s="5">
        <v>0.28999999999999998</v>
      </c>
      <c r="H172" s="5">
        <v>33</v>
      </c>
      <c r="I172" s="5">
        <v>0</v>
      </c>
    </row>
    <row r="173" spans="1:9" x14ac:dyDescent="0.25">
      <c r="A173" s="5">
        <v>8</v>
      </c>
      <c r="B173" s="5">
        <v>95</v>
      </c>
      <c r="C173" s="5">
        <v>72</v>
      </c>
      <c r="D173" s="5">
        <v>0</v>
      </c>
      <c r="E173" s="5">
        <v>0</v>
      </c>
      <c r="F173" s="5">
        <v>36.799999999999997</v>
      </c>
      <c r="G173" s="5">
        <v>0.48499999999999999</v>
      </c>
      <c r="H173" s="5">
        <v>57</v>
      </c>
      <c r="I173" s="5">
        <v>0</v>
      </c>
    </row>
    <row r="174" spans="1:9" x14ac:dyDescent="0.25">
      <c r="A174" s="5">
        <v>3</v>
      </c>
      <c r="B174" s="5">
        <v>116</v>
      </c>
      <c r="C174" s="5">
        <v>0</v>
      </c>
      <c r="D174" s="5">
        <v>0</v>
      </c>
      <c r="E174" s="5">
        <v>0</v>
      </c>
      <c r="F174" s="5">
        <v>23.5</v>
      </c>
      <c r="G174" s="5">
        <v>0.187</v>
      </c>
      <c r="H174" s="5">
        <v>23</v>
      </c>
      <c r="I174" s="5">
        <v>0</v>
      </c>
    </row>
    <row r="175" spans="1:9" x14ac:dyDescent="0.25">
      <c r="A175" s="5">
        <v>5</v>
      </c>
      <c r="B175" s="5">
        <v>0</v>
      </c>
      <c r="C175" s="5">
        <v>80</v>
      </c>
      <c r="D175" s="5">
        <v>32</v>
      </c>
      <c r="E175" s="5">
        <v>0</v>
      </c>
      <c r="F175" s="5">
        <v>41</v>
      </c>
      <c r="G175" s="5">
        <v>0.34599999999999997</v>
      </c>
      <c r="H175" s="5">
        <v>37</v>
      </c>
      <c r="I175" s="5">
        <v>1</v>
      </c>
    </row>
    <row r="176" spans="1:9" x14ac:dyDescent="0.25">
      <c r="A176" s="5">
        <v>4</v>
      </c>
      <c r="B176" s="5">
        <v>92</v>
      </c>
      <c r="C176" s="5">
        <v>80</v>
      </c>
      <c r="D176" s="5">
        <v>0</v>
      </c>
      <c r="E176" s="5">
        <v>0</v>
      </c>
      <c r="F176" s="5">
        <v>42.2</v>
      </c>
      <c r="G176" s="5">
        <v>0.23699999999999999</v>
      </c>
      <c r="H176" s="5">
        <v>29</v>
      </c>
      <c r="I176" s="5">
        <v>0</v>
      </c>
    </row>
    <row r="177" spans="1:9" x14ac:dyDescent="0.25">
      <c r="A177" s="5">
        <v>4</v>
      </c>
      <c r="B177" s="5">
        <v>137</v>
      </c>
      <c r="C177" s="5">
        <v>84</v>
      </c>
      <c r="D177" s="5">
        <v>0</v>
      </c>
      <c r="E177" s="5">
        <v>0</v>
      </c>
      <c r="F177" s="5">
        <v>31.2</v>
      </c>
      <c r="G177" s="5">
        <v>0.252</v>
      </c>
      <c r="H177" s="5">
        <v>30</v>
      </c>
      <c r="I177" s="5">
        <v>0</v>
      </c>
    </row>
    <row r="178" spans="1:9" x14ac:dyDescent="0.25">
      <c r="A178" s="5">
        <v>3</v>
      </c>
      <c r="B178" s="5">
        <v>61</v>
      </c>
      <c r="C178" s="5">
        <v>82</v>
      </c>
      <c r="D178" s="5">
        <v>28</v>
      </c>
      <c r="E178" s="5">
        <v>0</v>
      </c>
      <c r="F178" s="5">
        <v>34.4</v>
      </c>
      <c r="G178" s="5">
        <v>0.24299999999999999</v>
      </c>
      <c r="H178" s="5">
        <v>46</v>
      </c>
      <c r="I178" s="5">
        <v>0</v>
      </c>
    </row>
    <row r="179" spans="1:9" x14ac:dyDescent="0.25">
      <c r="A179" s="5">
        <v>3</v>
      </c>
      <c r="B179" s="5">
        <v>90</v>
      </c>
      <c r="C179" s="5">
        <v>78</v>
      </c>
      <c r="D179" s="5">
        <v>0</v>
      </c>
      <c r="E179" s="5">
        <v>0</v>
      </c>
      <c r="F179" s="5">
        <v>42.7</v>
      </c>
      <c r="G179" s="5">
        <v>0.55900000000000005</v>
      </c>
      <c r="H179" s="5">
        <v>21</v>
      </c>
      <c r="I179" s="5">
        <v>0</v>
      </c>
    </row>
    <row r="180" spans="1:9" x14ac:dyDescent="0.25">
      <c r="A180" s="5">
        <v>9</v>
      </c>
      <c r="B180" s="5">
        <v>165</v>
      </c>
      <c r="C180" s="5">
        <v>88</v>
      </c>
      <c r="D180" s="5">
        <v>0</v>
      </c>
      <c r="E180" s="5">
        <v>0</v>
      </c>
      <c r="F180" s="5">
        <v>30.4</v>
      </c>
      <c r="G180" s="5">
        <v>0.30199999999999999</v>
      </c>
      <c r="H180" s="5">
        <v>49</v>
      </c>
      <c r="I180" s="5">
        <v>1</v>
      </c>
    </row>
    <row r="181" spans="1:9" x14ac:dyDescent="0.25">
      <c r="A181" s="5">
        <v>13</v>
      </c>
      <c r="B181" s="5">
        <v>129</v>
      </c>
      <c r="C181" s="5">
        <v>0</v>
      </c>
      <c r="D181" s="5">
        <v>30</v>
      </c>
      <c r="E181" s="5">
        <v>0</v>
      </c>
      <c r="F181" s="5">
        <v>39.9</v>
      </c>
      <c r="G181" s="5">
        <v>0.56899999999999995</v>
      </c>
      <c r="H181" s="5">
        <v>44</v>
      </c>
      <c r="I181" s="5">
        <v>1</v>
      </c>
    </row>
    <row r="182" spans="1:9" x14ac:dyDescent="0.25">
      <c r="A182" s="5">
        <v>5</v>
      </c>
      <c r="B182" s="5">
        <v>158</v>
      </c>
      <c r="C182" s="5">
        <v>70</v>
      </c>
      <c r="D182" s="5">
        <v>0</v>
      </c>
      <c r="E182" s="5">
        <v>0</v>
      </c>
      <c r="F182" s="5">
        <v>29.8</v>
      </c>
      <c r="G182" s="5">
        <v>0.20699999999999999</v>
      </c>
      <c r="H182" s="5">
        <v>63</v>
      </c>
      <c r="I182" s="5">
        <v>0</v>
      </c>
    </row>
    <row r="183" spans="1:9" x14ac:dyDescent="0.25">
      <c r="A183" s="5">
        <v>5</v>
      </c>
      <c r="B183" s="5">
        <v>103</v>
      </c>
      <c r="C183" s="5">
        <v>108</v>
      </c>
      <c r="D183" s="5">
        <v>37</v>
      </c>
      <c r="E183" s="5">
        <v>0</v>
      </c>
      <c r="F183" s="5">
        <v>39.200000000000003</v>
      </c>
      <c r="G183" s="5">
        <v>0.30499999999999999</v>
      </c>
      <c r="H183" s="5">
        <v>65</v>
      </c>
      <c r="I183" s="5">
        <v>0</v>
      </c>
    </row>
    <row r="184" spans="1:9" x14ac:dyDescent="0.25">
      <c r="A184" s="5">
        <v>4</v>
      </c>
      <c r="B184" s="5">
        <v>146</v>
      </c>
      <c r="C184" s="5">
        <v>78</v>
      </c>
      <c r="D184" s="5">
        <v>0</v>
      </c>
      <c r="E184" s="5">
        <v>0</v>
      </c>
      <c r="F184" s="5">
        <v>38.5</v>
      </c>
      <c r="G184" s="5">
        <v>0.52</v>
      </c>
      <c r="H184" s="5">
        <v>67</v>
      </c>
      <c r="I184" s="5">
        <v>1</v>
      </c>
    </row>
    <row r="185" spans="1:9" x14ac:dyDescent="0.25">
      <c r="A185" s="5">
        <v>6</v>
      </c>
      <c r="B185" s="5">
        <v>124</v>
      </c>
      <c r="C185" s="5">
        <v>72</v>
      </c>
      <c r="D185" s="5">
        <v>0</v>
      </c>
      <c r="E185" s="5">
        <v>0</v>
      </c>
      <c r="F185" s="5">
        <v>27.6</v>
      </c>
      <c r="G185" s="5">
        <v>0.36799999999999999</v>
      </c>
      <c r="H185" s="5">
        <v>29</v>
      </c>
      <c r="I185" s="5">
        <v>1</v>
      </c>
    </row>
    <row r="186" spans="1:9" x14ac:dyDescent="0.25">
      <c r="A186" s="5">
        <v>0</v>
      </c>
      <c r="B186" s="5">
        <v>101</v>
      </c>
      <c r="C186" s="5">
        <v>64</v>
      </c>
      <c r="D186" s="5">
        <v>17</v>
      </c>
      <c r="E186" s="5">
        <v>0</v>
      </c>
      <c r="F186" s="5">
        <v>21</v>
      </c>
      <c r="G186" s="5">
        <v>0.252</v>
      </c>
      <c r="H186" s="5">
        <v>21</v>
      </c>
      <c r="I186" s="5">
        <v>0</v>
      </c>
    </row>
    <row r="187" spans="1:9" x14ac:dyDescent="0.25">
      <c r="A187" s="5">
        <v>4</v>
      </c>
      <c r="B187" s="5">
        <v>156</v>
      </c>
      <c r="C187" s="5">
        <v>75</v>
      </c>
      <c r="D187" s="5">
        <v>0</v>
      </c>
      <c r="E187" s="5">
        <v>0</v>
      </c>
      <c r="F187" s="5">
        <v>48.3</v>
      </c>
      <c r="G187" s="5">
        <v>0.23799999999999999</v>
      </c>
      <c r="H187" s="5">
        <v>32</v>
      </c>
      <c r="I187" s="5">
        <v>1</v>
      </c>
    </row>
    <row r="188" spans="1:9" x14ac:dyDescent="0.25">
      <c r="A188" s="5">
        <v>0</v>
      </c>
      <c r="B188" s="5">
        <v>105</v>
      </c>
      <c r="C188" s="5">
        <v>68</v>
      </c>
      <c r="D188" s="5">
        <v>22</v>
      </c>
      <c r="E188" s="5">
        <v>0</v>
      </c>
      <c r="F188" s="5">
        <v>20</v>
      </c>
      <c r="G188" s="5">
        <v>0.23599999999999999</v>
      </c>
      <c r="H188" s="5">
        <v>22</v>
      </c>
      <c r="I188" s="5">
        <v>0</v>
      </c>
    </row>
    <row r="189" spans="1:9" x14ac:dyDescent="0.25">
      <c r="A189" s="5">
        <v>5</v>
      </c>
      <c r="B189" s="5">
        <v>116</v>
      </c>
      <c r="C189" s="5">
        <v>74</v>
      </c>
      <c r="D189" s="5">
        <v>29</v>
      </c>
      <c r="E189" s="5">
        <v>0</v>
      </c>
      <c r="F189" s="5">
        <v>32.299999999999997</v>
      </c>
      <c r="G189" s="5">
        <v>0.66</v>
      </c>
      <c r="H189" s="5">
        <v>35</v>
      </c>
      <c r="I189" s="5">
        <v>1</v>
      </c>
    </row>
    <row r="190" spans="1:9" x14ac:dyDescent="0.25">
      <c r="A190" s="5">
        <v>8</v>
      </c>
      <c r="B190" s="5">
        <v>105</v>
      </c>
      <c r="C190" s="5">
        <v>100</v>
      </c>
      <c r="D190" s="5">
        <v>36</v>
      </c>
      <c r="E190" s="5">
        <v>0</v>
      </c>
      <c r="F190" s="5">
        <v>43.3</v>
      </c>
      <c r="G190" s="5">
        <v>0.23899999999999999</v>
      </c>
      <c r="H190" s="5">
        <v>45</v>
      </c>
      <c r="I190" s="5">
        <v>1</v>
      </c>
    </row>
    <row r="191" spans="1:9" x14ac:dyDescent="0.25">
      <c r="A191" s="5">
        <v>5</v>
      </c>
      <c r="B191" s="5">
        <v>166</v>
      </c>
      <c r="C191" s="5">
        <v>76</v>
      </c>
      <c r="D191" s="5">
        <v>0</v>
      </c>
      <c r="E191" s="5">
        <v>0</v>
      </c>
      <c r="F191" s="5">
        <v>45.7</v>
      </c>
      <c r="G191" s="5">
        <v>0.34</v>
      </c>
      <c r="H191" s="5">
        <v>27</v>
      </c>
      <c r="I191" s="5">
        <v>1</v>
      </c>
    </row>
    <row r="192" spans="1:9" x14ac:dyDescent="0.25">
      <c r="A192" s="5">
        <v>4</v>
      </c>
      <c r="B192" s="5">
        <v>158</v>
      </c>
      <c r="C192" s="5">
        <v>78</v>
      </c>
      <c r="D192" s="5">
        <v>0</v>
      </c>
      <c r="E192" s="5">
        <v>0</v>
      </c>
      <c r="F192" s="5">
        <v>32.9</v>
      </c>
      <c r="G192" s="5">
        <v>0.80300000000000005</v>
      </c>
      <c r="H192" s="5">
        <v>31</v>
      </c>
      <c r="I192" s="5">
        <v>1</v>
      </c>
    </row>
    <row r="193" spans="1:9" x14ac:dyDescent="0.25">
      <c r="A193" s="5">
        <v>0</v>
      </c>
      <c r="B193" s="5">
        <v>131</v>
      </c>
      <c r="C193" s="5">
        <v>66</v>
      </c>
      <c r="D193" s="5">
        <v>40</v>
      </c>
      <c r="E193" s="5">
        <v>0</v>
      </c>
      <c r="F193" s="5">
        <v>34.299999999999997</v>
      </c>
      <c r="G193" s="5">
        <v>0.19600000000000001</v>
      </c>
      <c r="H193" s="5">
        <v>22</v>
      </c>
      <c r="I193" s="5">
        <v>1</v>
      </c>
    </row>
    <row r="194" spans="1:9" x14ac:dyDescent="0.25">
      <c r="A194" s="5">
        <v>3</v>
      </c>
      <c r="B194" s="5">
        <v>82</v>
      </c>
      <c r="C194" s="5">
        <v>70</v>
      </c>
      <c r="D194" s="5">
        <v>0</v>
      </c>
      <c r="E194" s="5">
        <v>0</v>
      </c>
      <c r="F194" s="5">
        <v>21.1</v>
      </c>
      <c r="G194" s="5">
        <v>0.38900000000000001</v>
      </c>
      <c r="H194" s="5">
        <v>25</v>
      </c>
      <c r="I194" s="5">
        <v>0</v>
      </c>
    </row>
    <row r="195" spans="1:9" x14ac:dyDescent="0.25">
      <c r="A195" s="5">
        <v>3</v>
      </c>
      <c r="B195" s="5">
        <v>193</v>
      </c>
      <c r="C195" s="5">
        <v>70</v>
      </c>
      <c r="D195" s="5">
        <v>31</v>
      </c>
      <c r="E195" s="5">
        <v>0</v>
      </c>
      <c r="F195" s="5">
        <v>34.9</v>
      </c>
      <c r="G195" s="5">
        <v>0.24099999999999999</v>
      </c>
      <c r="H195" s="5">
        <v>25</v>
      </c>
      <c r="I195" s="5">
        <v>1</v>
      </c>
    </row>
    <row r="196" spans="1:9" x14ac:dyDescent="0.25">
      <c r="A196" s="5">
        <v>4</v>
      </c>
      <c r="B196" s="5">
        <v>95</v>
      </c>
      <c r="C196" s="5">
        <v>64</v>
      </c>
      <c r="D196" s="5">
        <v>0</v>
      </c>
      <c r="E196" s="5">
        <v>0</v>
      </c>
      <c r="F196" s="5">
        <v>32</v>
      </c>
      <c r="G196" s="5">
        <v>0.161</v>
      </c>
      <c r="H196" s="5">
        <v>31</v>
      </c>
      <c r="I196" s="5">
        <v>1</v>
      </c>
    </row>
    <row r="197" spans="1:9" x14ac:dyDescent="0.25">
      <c r="A197" s="5">
        <v>6</v>
      </c>
      <c r="B197" s="5">
        <v>137</v>
      </c>
      <c r="C197" s="5">
        <v>61</v>
      </c>
      <c r="D197" s="5">
        <v>0</v>
      </c>
      <c r="E197" s="5">
        <v>0</v>
      </c>
      <c r="F197" s="5">
        <v>24.2</v>
      </c>
      <c r="G197" s="5">
        <v>0.151</v>
      </c>
      <c r="H197" s="5">
        <v>55</v>
      </c>
      <c r="I197" s="5">
        <v>0</v>
      </c>
    </row>
    <row r="198" spans="1:9" x14ac:dyDescent="0.25">
      <c r="A198" s="5">
        <v>9</v>
      </c>
      <c r="B198" s="5">
        <v>72</v>
      </c>
      <c r="C198" s="5">
        <v>78</v>
      </c>
      <c r="D198" s="5">
        <v>25</v>
      </c>
      <c r="E198" s="5">
        <v>0</v>
      </c>
      <c r="F198" s="5">
        <v>31.6</v>
      </c>
      <c r="G198" s="5">
        <v>0.28000000000000003</v>
      </c>
      <c r="H198" s="5">
        <v>38</v>
      </c>
      <c r="I198" s="5">
        <v>0</v>
      </c>
    </row>
    <row r="199" spans="1:9" x14ac:dyDescent="0.25">
      <c r="A199" s="5">
        <v>5</v>
      </c>
      <c r="B199" s="5">
        <v>168</v>
      </c>
      <c r="C199" s="5">
        <v>64</v>
      </c>
      <c r="D199" s="5">
        <v>0</v>
      </c>
      <c r="E199" s="5">
        <v>0</v>
      </c>
      <c r="F199" s="5">
        <v>32.9</v>
      </c>
      <c r="G199" s="5">
        <v>0.13500000000000001</v>
      </c>
      <c r="H199" s="5">
        <v>41</v>
      </c>
      <c r="I199" s="5">
        <v>1</v>
      </c>
    </row>
    <row r="200" spans="1:9" x14ac:dyDescent="0.25">
      <c r="A200" s="5">
        <v>4</v>
      </c>
      <c r="B200" s="5">
        <v>115</v>
      </c>
      <c r="C200" s="5">
        <v>72</v>
      </c>
      <c r="D200" s="5">
        <v>0</v>
      </c>
      <c r="E200" s="5">
        <v>0</v>
      </c>
      <c r="F200" s="5">
        <v>28.9</v>
      </c>
      <c r="G200" s="5">
        <v>0.376</v>
      </c>
      <c r="H200" s="5">
        <v>46</v>
      </c>
      <c r="I200" s="5">
        <v>1</v>
      </c>
    </row>
    <row r="201" spans="1:9" x14ac:dyDescent="0.25">
      <c r="A201" s="5">
        <v>0</v>
      </c>
      <c r="B201" s="5">
        <v>101</v>
      </c>
      <c r="C201" s="5">
        <v>62</v>
      </c>
      <c r="D201" s="5">
        <v>0</v>
      </c>
      <c r="E201" s="5">
        <v>0</v>
      </c>
      <c r="F201" s="5">
        <v>21.9</v>
      </c>
      <c r="G201" s="5">
        <v>0.33600000000000002</v>
      </c>
      <c r="H201" s="5">
        <v>25</v>
      </c>
      <c r="I201" s="5">
        <v>0</v>
      </c>
    </row>
    <row r="202" spans="1:9" x14ac:dyDescent="0.25">
      <c r="A202" s="5">
        <v>8</v>
      </c>
      <c r="B202" s="5">
        <v>197</v>
      </c>
      <c r="C202" s="5">
        <v>74</v>
      </c>
      <c r="D202" s="5">
        <v>0</v>
      </c>
      <c r="E202" s="5">
        <v>0</v>
      </c>
      <c r="F202" s="5">
        <v>25.9</v>
      </c>
      <c r="G202" s="5">
        <v>1.1910000000000001</v>
      </c>
      <c r="H202" s="5">
        <v>39</v>
      </c>
      <c r="I202" s="5">
        <v>1</v>
      </c>
    </row>
    <row r="203" spans="1:9" x14ac:dyDescent="0.25">
      <c r="A203" s="5">
        <v>6</v>
      </c>
      <c r="B203" s="5">
        <v>102</v>
      </c>
      <c r="C203" s="5">
        <v>90</v>
      </c>
      <c r="D203" s="5">
        <v>39</v>
      </c>
      <c r="E203" s="5">
        <v>0</v>
      </c>
      <c r="F203" s="5">
        <v>35.700000000000003</v>
      </c>
      <c r="G203" s="5">
        <v>0.67400000000000004</v>
      </c>
      <c r="H203" s="5">
        <v>28</v>
      </c>
      <c r="I203" s="5">
        <v>0</v>
      </c>
    </row>
    <row r="204" spans="1:9" x14ac:dyDescent="0.25">
      <c r="A204" s="5">
        <v>1</v>
      </c>
      <c r="B204" s="5">
        <v>97</v>
      </c>
      <c r="C204" s="5">
        <v>68</v>
      </c>
      <c r="D204" s="5">
        <v>21</v>
      </c>
      <c r="E204" s="5">
        <v>0</v>
      </c>
      <c r="F204" s="5">
        <v>27.2</v>
      </c>
      <c r="G204" s="5">
        <v>1.095</v>
      </c>
      <c r="H204" s="5">
        <v>22</v>
      </c>
      <c r="I204" s="5">
        <v>0</v>
      </c>
    </row>
    <row r="205" spans="1:9" x14ac:dyDescent="0.25">
      <c r="A205" s="5">
        <v>4</v>
      </c>
      <c r="B205" s="5">
        <v>144</v>
      </c>
      <c r="C205" s="5">
        <v>82</v>
      </c>
      <c r="D205" s="5">
        <v>32</v>
      </c>
      <c r="E205" s="5">
        <v>0</v>
      </c>
      <c r="F205" s="5">
        <v>38.5</v>
      </c>
      <c r="G205" s="5">
        <v>0.55400000000000005</v>
      </c>
      <c r="H205" s="5">
        <v>37</v>
      </c>
      <c r="I205" s="5">
        <v>1</v>
      </c>
    </row>
    <row r="206" spans="1:9" x14ac:dyDescent="0.25">
      <c r="A206" s="5">
        <v>1</v>
      </c>
      <c r="B206" s="5">
        <v>83</v>
      </c>
      <c r="C206" s="5">
        <v>68</v>
      </c>
      <c r="D206" s="5">
        <v>0</v>
      </c>
      <c r="E206" s="5">
        <v>0</v>
      </c>
      <c r="F206" s="5">
        <v>18.2</v>
      </c>
      <c r="G206" s="5">
        <v>0.624</v>
      </c>
      <c r="H206" s="5">
        <v>27</v>
      </c>
      <c r="I206" s="5">
        <v>0</v>
      </c>
    </row>
    <row r="207" spans="1:9" x14ac:dyDescent="0.25">
      <c r="A207" s="5">
        <v>2</v>
      </c>
      <c r="B207" s="5">
        <v>115</v>
      </c>
      <c r="C207" s="5">
        <v>64</v>
      </c>
      <c r="D207" s="5">
        <v>22</v>
      </c>
      <c r="E207" s="5">
        <v>0</v>
      </c>
      <c r="F207" s="5">
        <v>30.8</v>
      </c>
      <c r="G207" s="5">
        <v>0.42099999999999999</v>
      </c>
      <c r="H207" s="5">
        <v>21</v>
      </c>
      <c r="I207" s="5">
        <v>0</v>
      </c>
    </row>
    <row r="208" spans="1:9" x14ac:dyDescent="0.25">
      <c r="A208" s="5">
        <v>0</v>
      </c>
      <c r="B208" s="5">
        <v>94</v>
      </c>
      <c r="C208" s="5">
        <v>0</v>
      </c>
      <c r="D208" s="5">
        <v>0</v>
      </c>
      <c r="E208" s="5">
        <v>0</v>
      </c>
      <c r="F208" s="5">
        <v>0</v>
      </c>
      <c r="G208" s="5">
        <v>0.25600000000000001</v>
      </c>
      <c r="H208" s="5">
        <v>25</v>
      </c>
      <c r="I208" s="5">
        <v>0</v>
      </c>
    </row>
    <row r="209" spans="1:9" x14ac:dyDescent="0.25">
      <c r="A209" s="5">
        <v>2</v>
      </c>
      <c r="B209" s="5">
        <v>99</v>
      </c>
      <c r="C209" s="5">
        <v>0</v>
      </c>
      <c r="D209" s="5">
        <v>0</v>
      </c>
      <c r="E209" s="5">
        <v>0</v>
      </c>
      <c r="F209" s="5">
        <v>22.2</v>
      </c>
      <c r="G209" s="5">
        <v>0.108</v>
      </c>
      <c r="H209" s="5">
        <v>23</v>
      </c>
      <c r="I209" s="5">
        <v>0</v>
      </c>
    </row>
    <row r="210" spans="1:9" x14ac:dyDescent="0.25">
      <c r="A210" s="5">
        <v>2</v>
      </c>
      <c r="B210" s="5">
        <v>139</v>
      </c>
      <c r="C210" s="5">
        <v>75</v>
      </c>
      <c r="D210" s="5">
        <v>0</v>
      </c>
      <c r="E210" s="5">
        <v>0</v>
      </c>
      <c r="F210" s="5">
        <v>25.6</v>
      </c>
      <c r="G210" s="5">
        <v>0.16700000000000001</v>
      </c>
      <c r="H210" s="5">
        <v>29</v>
      </c>
      <c r="I210" s="5">
        <v>0</v>
      </c>
    </row>
    <row r="211" spans="1:9" x14ac:dyDescent="0.25">
      <c r="A211" s="5">
        <v>1</v>
      </c>
      <c r="B211" s="5">
        <v>90</v>
      </c>
      <c r="C211" s="5">
        <v>68</v>
      </c>
      <c r="D211" s="5">
        <v>8</v>
      </c>
      <c r="E211" s="5">
        <v>0</v>
      </c>
      <c r="F211" s="5">
        <v>24.5</v>
      </c>
      <c r="G211" s="5">
        <v>1.1379999999999999</v>
      </c>
      <c r="H211" s="5">
        <v>36</v>
      </c>
      <c r="I211" s="5">
        <v>0</v>
      </c>
    </row>
    <row r="212" spans="1:9" x14ac:dyDescent="0.25">
      <c r="A212" s="5">
        <v>0</v>
      </c>
      <c r="B212" s="5">
        <v>141</v>
      </c>
      <c r="C212" s="5">
        <v>0</v>
      </c>
      <c r="D212" s="5">
        <v>0</v>
      </c>
      <c r="E212" s="5">
        <v>0</v>
      </c>
      <c r="F212" s="5">
        <v>42.4</v>
      </c>
      <c r="G212" s="5">
        <v>0.20499999999999999</v>
      </c>
      <c r="H212" s="5">
        <v>29</v>
      </c>
      <c r="I212" s="5">
        <v>1</v>
      </c>
    </row>
    <row r="213" spans="1:9" x14ac:dyDescent="0.25">
      <c r="A213" s="5">
        <v>12</v>
      </c>
      <c r="B213" s="5">
        <v>140</v>
      </c>
      <c r="C213" s="5">
        <v>85</v>
      </c>
      <c r="D213" s="5">
        <v>33</v>
      </c>
      <c r="E213" s="5">
        <v>0</v>
      </c>
      <c r="F213" s="5">
        <v>37.4</v>
      </c>
      <c r="G213" s="5">
        <v>0.24399999999999999</v>
      </c>
      <c r="H213" s="5">
        <v>41</v>
      </c>
      <c r="I213" s="5">
        <v>0</v>
      </c>
    </row>
    <row r="214" spans="1:9" x14ac:dyDescent="0.25">
      <c r="A214" s="5">
        <v>5</v>
      </c>
      <c r="B214" s="5">
        <v>147</v>
      </c>
      <c r="C214" s="5">
        <v>75</v>
      </c>
      <c r="D214" s="5">
        <v>0</v>
      </c>
      <c r="E214" s="5">
        <v>0</v>
      </c>
      <c r="F214" s="5">
        <v>29.9</v>
      </c>
      <c r="G214" s="5">
        <v>0.434</v>
      </c>
      <c r="H214" s="5">
        <v>28</v>
      </c>
      <c r="I214" s="5">
        <v>0</v>
      </c>
    </row>
    <row r="215" spans="1:9" x14ac:dyDescent="0.25">
      <c r="A215" s="5">
        <v>1</v>
      </c>
      <c r="B215" s="5">
        <v>97</v>
      </c>
      <c r="C215" s="5">
        <v>70</v>
      </c>
      <c r="D215" s="5">
        <v>15</v>
      </c>
      <c r="E215" s="5">
        <v>0</v>
      </c>
      <c r="F215" s="5">
        <v>18.2</v>
      </c>
      <c r="G215" s="5">
        <v>0.14699999999999999</v>
      </c>
      <c r="H215" s="5">
        <v>21</v>
      </c>
      <c r="I215" s="5">
        <v>0</v>
      </c>
    </row>
    <row r="216" spans="1:9" x14ac:dyDescent="0.25">
      <c r="A216" s="5">
        <v>6</v>
      </c>
      <c r="B216" s="5">
        <v>107</v>
      </c>
      <c r="C216" s="5">
        <v>88</v>
      </c>
      <c r="D216" s="5">
        <v>0</v>
      </c>
      <c r="E216" s="5">
        <v>0</v>
      </c>
      <c r="F216" s="5">
        <v>36.799999999999997</v>
      </c>
      <c r="G216" s="5">
        <v>0.72699999999999998</v>
      </c>
      <c r="H216" s="5">
        <v>31</v>
      </c>
      <c r="I216" s="5">
        <v>0</v>
      </c>
    </row>
    <row r="217" spans="1:9" x14ac:dyDescent="0.25">
      <c r="A217" s="5">
        <v>0</v>
      </c>
      <c r="B217" s="5">
        <v>189</v>
      </c>
      <c r="C217" s="5">
        <v>104</v>
      </c>
      <c r="D217" s="5">
        <v>25</v>
      </c>
      <c r="E217" s="5">
        <v>0</v>
      </c>
      <c r="F217" s="5">
        <v>34.299999999999997</v>
      </c>
      <c r="G217" s="5">
        <v>0.435</v>
      </c>
      <c r="H217" s="5">
        <v>41</v>
      </c>
      <c r="I217" s="5">
        <v>1</v>
      </c>
    </row>
    <row r="218" spans="1:9" x14ac:dyDescent="0.25">
      <c r="A218" s="5">
        <v>8</v>
      </c>
      <c r="B218" s="5">
        <v>108</v>
      </c>
      <c r="C218" s="5">
        <v>70</v>
      </c>
      <c r="D218" s="5">
        <v>0</v>
      </c>
      <c r="E218" s="5">
        <v>0</v>
      </c>
      <c r="F218" s="5">
        <v>30.5</v>
      </c>
      <c r="G218" s="5">
        <v>0.95499999999999996</v>
      </c>
      <c r="H218" s="5">
        <v>33</v>
      </c>
      <c r="I218" s="5">
        <v>1</v>
      </c>
    </row>
    <row r="219" spans="1:9" x14ac:dyDescent="0.25">
      <c r="A219" s="5">
        <v>4</v>
      </c>
      <c r="B219" s="5">
        <v>117</v>
      </c>
      <c r="C219" s="5">
        <v>62</v>
      </c>
      <c r="D219" s="5">
        <v>12</v>
      </c>
      <c r="E219" s="5">
        <v>0</v>
      </c>
      <c r="F219" s="5">
        <v>29.7</v>
      </c>
      <c r="G219" s="5">
        <v>0.38</v>
      </c>
      <c r="H219" s="5">
        <v>30</v>
      </c>
      <c r="I219" s="5">
        <v>1</v>
      </c>
    </row>
    <row r="220" spans="1:9" x14ac:dyDescent="0.25">
      <c r="A220" s="5">
        <v>2</v>
      </c>
      <c r="B220" s="5">
        <v>134</v>
      </c>
      <c r="C220" s="5">
        <v>70</v>
      </c>
      <c r="D220" s="5">
        <v>0</v>
      </c>
      <c r="E220" s="5">
        <v>0</v>
      </c>
      <c r="F220" s="5">
        <v>28.9</v>
      </c>
      <c r="G220" s="5">
        <v>0.54200000000000004</v>
      </c>
      <c r="H220" s="5">
        <v>23</v>
      </c>
      <c r="I220" s="5">
        <v>1</v>
      </c>
    </row>
    <row r="221" spans="1:9" x14ac:dyDescent="0.25">
      <c r="A221" s="5">
        <v>2</v>
      </c>
      <c r="B221" s="5">
        <v>119</v>
      </c>
      <c r="C221" s="5">
        <v>0</v>
      </c>
      <c r="D221" s="5">
        <v>0</v>
      </c>
      <c r="E221" s="5">
        <v>0</v>
      </c>
      <c r="F221" s="5">
        <v>19.600000000000001</v>
      </c>
      <c r="G221" s="5">
        <v>0.83199999999999996</v>
      </c>
      <c r="H221" s="5">
        <v>72</v>
      </c>
      <c r="I221" s="5">
        <v>0</v>
      </c>
    </row>
    <row r="222" spans="1:9" x14ac:dyDescent="0.25">
      <c r="A222" s="5">
        <v>14</v>
      </c>
      <c r="B222" s="5">
        <v>175</v>
      </c>
      <c r="C222" s="5">
        <v>62</v>
      </c>
      <c r="D222" s="5">
        <v>30</v>
      </c>
      <c r="E222" s="5">
        <v>0</v>
      </c>
      <c r="F222" s="5">
        <v>33.6</v>
      </c>
      <c r="G222" s="5">
        <v>0.21199999999999999</v>
      </c>
      <c r="H222" s="5">
        <v>38</v>
      </c>
      <c r="I222" s="5">
        <v>1</v>
      </c>
    </row>
    <row r="223" spans="1:9" x14ac:dyDescent="0.25">
      <c r="A223" s="5">
        <v>1</v>
      </c>
      <c r="B223" s="5">
        <v>135</v>
      </c>
      <c r="C223" s="5">
        <v>54</v>
      </c>
      <c r="D223" s="5">
        <v>0</v>
      </c>
      <c r="E223" s="5">
        <v>0</v>
      </c>
      <c r="F223" s="5">
        <v>26.7</v>
      </c>
      <c r="G223" s="5">
        <v>0.68700000000000006</v>
      </c>
      <c r="H223" s="5">
        <v>62</v>
      </c>
      <c r="I223" s="5">
        <v>0</v>
      </c>
    </row>
    <row r="224" spans="1:9" x14ac:dyDescent="0.25">
      <c r="A224" s="5">
        <v>1</v>
      </c>
      <c r="B224" s="5">
        <v>71</v>
      </c>
      <c r="C224" s="5">
        <v>62</v>
      </c>
      <c r="D224" s="5">
        <v>0</v>
      </c>
      <c r="E224" s="5">
        <v>0</v>
      </c>
      <c r="F224" s="5">
        <v>21.8</v>
      </c>
      <c r="G224" s="5">
        <v>0.41599999999999998</v>
      </c>
      <c r="H224" s="5">
        <v>26</v>
      </c>
      <c r="I224" s="5">
        <v>0</v>
      </c>
    </row>
    <row r="225" spans="1:9" x14ac:dyDescent="0.25">
      <c r="A225" s="5">
        <v>5</v>
      </c>
      <c r="B225" s="5">
        <v>88</v>
      </c>
      <c r="C225" s="5">
        <v>78</v>
      </c>
      <c r="D225" s="5">
        <v>30</v>
      </c>
      <c r="E225" s="5">
        <v>0</v>
      </c>
      <c r="F225" s="5">
        <v>27.6</v>
      </c>
      <c r="G225" s="5">
        <v>0.25800000000000001</v>
      </c>
      <c r="H225" s="5">
        <v>37</v>
      </c>
      <c r="I225" s="5">
        <v>0</v>
      </c>
    </row>
    <row r="226" spans="1:9" x14ac:dyDescent="0.25">
      <c r="A226" s="5">
        <v>10</v>
      </c>
      <c r="B226" s="5">
        <v>115</v>
      </c>
      <c r="C226" s="5">
        <v>98</v>
      </c>
      <c r="D226" s="5">
        <v>0</v>
      </c>
      <c r="E226" s="5">
        <v>0</v>
      </c>
      <c r="F226" s="5">
        <v>24</v>
      </c>
      <c r="G226" s="5">
        <v>1.022</v>
      </c>
      <c r="H226" s="5">
        <v>34</v>
      </c>
      <c r="I226" s="5">
        <v>0</v>
      </c>
    </row>
    <row r="227" spans="1:9" x14ac:dyDescent="0.25">
      <c r="A227" s="5">
        <v>8</v>
      </c>
      <c r="B227" s="5">
        <v>120</v>
      </c>
      <c r="C227" s="5">
        <v>0</v>
      </c>
      <c r="D227" s="5">
        <v>0</v>
      </c>
      <c r="E227" s="5">
        <v>0</v>
      </c>
      <c r="F227" s="5">
        <v>30</v>
      </c>
      <c r="G227" s="5">
        <v>0.183</v>
      </c>
      <c r="H227" s="5">
        <v>38</v>
      </c>
      <c r="I227" s="5">
        <v>1</v>
      </c>
    </row>
    <row r="228" spans="1:9" x14ac:dyDescent="0.25">
      <c r="A228" s="5">
        <v>1</v>
      </c>
      <c r="B228" s="5">
        <v>144</v>
      </c>
      <c r="C228" s="5">
        <v>82</v>
      </c>
      <c r="D228" s="5">
        <v>40</v>
      </c>
      <c r="E228" s="5">
        <v>0</v>
      </c>
      <c r="F228" s="5">
        <v>41.3</v>
      </c>
      <c r="G228" s="5">
        <v>0.60699999999999998</v>
      </c>
      <c r="H228" s="5">
        <v>28</v>
      </c>
      <c r="I228" s="5">
        <v>0</v>
      </c>
    </row>
    <row r="229" spans="1:9" x14ac:dyDescent="0.25">
      <c r="A229" s="5">
        <v>0</v>
      </c>
      <c r="B229" s="5">
        <v>137</v>
      </c>
      <c r="C229" s="5">
        <v>70</v>
      </c>
      <c r="D229" s="5">
        <v>38</v>
      </c>
      <c r="E229" s="5">
        <v>0</v>
      </c>
      <c r="F229" s="5">
        <v>33.200000000000003</v>
      </c>
      <c r="G229" s="5">
        <v>0.17</v>
      </c>
      <c r="H229" s="5">
        <v>22</v>
      </c>
      <c r="I229" s="5">
        <v>0</v>
      </c>
    </row>
    <row r="230" spans="1:9" x14ac:dyDescent="0.25">
      <c r="A230" s="5">
        <v>0</v>
      </c>
      <c r="B230" s="5">
        <v>119</v>
      </c>
      <c r="C230" s="5">
        <v>66</v>
      </c>
      <c r="D230" s="5">
        <v>27</v>
      </c>
      <c r="E230" s="5">
        <v>0</v>
      </c>
      <c r="F230" s="5">
        <v>38.799999999999997</v>
      </c>
      <c r="G230" s="5">
        <v>0.25900000000000001</v>
      </c>
      <c r="H230" s="5">
        <v>22</v>
      </c>
      <c r="I230" s="5">
        <v>0</v>
      </c>
    </row>
    <row r="231" spans="1:9" x14ac:dyDescent="0.25">
      <c r="A231" s="5">
        <v>7</v>
      </c>
      <c r="B231" s="5">
        <v>136</v>
      </c>
      <c r="C231" s="5">
        <v>90</v>
      </c>
      <c r="D231" s="5">
        <v>0</v>
      </c>
      <c r="E231" s="5">
        <v>0</v>
      </c>
      <c r="F231" s="5">
        <v>29.9</v>
      </c>
      <c r="G231" s="5">
        <v>0.21</v>
      </c>
      <c r="H231" s="5">
        <v>50</v>
      </c>
      <c r="I231" s="5">
        <v>0</v>
      </c>
    </row>
    <row r="232" spans="1:9" x14ac:dyDescent="0.25">
      <c r="A232" s="5">
        <v>4</v>
      </c>
      <c r="B232" s="5">
        <v>114</v>
      </c>
      <c r="C232" s="5">
        <v>64</v>
      </c>
      <c r="D232" s="5">
        <v>0</v>
      </c>
      <c r="E232" s="5">
        <v>0</v>
      </c>
      <c r="F232" s="5">
        <v>28.9</v>
      </c>
      <c r="G232" s="5">
        <v>0.126</v>
      </c>
      <c r="H232" s="5">
        <v>24</v>
      </c>
      <c r="I232" s="5">
        <v>0</v>
      </c>
    </row>
    <row r="233" spans="1:9" x14ac:dyDescent="0.25">
      <c r="A233" s="5">
        <v>0</v>
      </c>
      <c r="B233" s="5">
        <v>137</v>
      </c>
      <c r="C233" s="5">
        <v>84</v>
      </c>
      <c r="D233" s="5">
        <v>27</v>
      </c>
      <c r="E233" s="5">
        <v>0</v>
      </c>
      <c r="F233" s="5">
        <v>27.3</v>
      </c>
      <c r="G233" s="5">
        <v>0.23100000000000001</v>
      </c>
      <c r="H233" s="5">
        <v>59</v>
      </c>
      <c r="I233" s="5">
        <v>0</v>
      </c>
    </row>
    <row r="234" spans="1:9" x14ac:dyDescent="0.25">
      <c r="A234" s="5">
        <v>4</v>
      </c>
      <c r="B234" s="5">
        <v>132</v>
      </c>
      <c r="C234" s="5">
        <v>86</v>
      </c>
      <c r="D234" s="5">
        <v>31</v>
      </c>
      <c r="E234" s="5">
        <v>0</v>
      </c>
      <c r="F234" s="5">
        <v>28</v>
      </c>
      <c r="G234" s="5">
        <v>0.41899999999999998</v>
      </c>
      <c r="H234" s="5">
        <v>63</v>
      </c>
      <c r="I234" s="5">
        <v>0</v>
      </c>
    </row>
    <row r="235" spans="1:9" x14ac:dyDescent="0.25">
      <c r="A235" s="5">
        <v>0</v>
      </c>
      <c r="B235" s="5">
        <v>123</v>
      </c>
      <c r="C235" s="5">
        <v>88</v>
      </c>
      <c r="D235" s="5">
        <v>37</v>
      </c>
      <c r="E235" s="5">
        <v>0</v>
      </c>
      <c r="F235" s="5">
        <v>35.200000000000003</v>
      </c>
      <c r="G235" s="5">
        <v>0.19700000000000001</v>
      </c>
      <c r="H235" s="5">
        <v>29</v>
      </c>
      <c r="I235" s="5">
        <v>0</v>
      </c>
    </row>
    <row r="236" spans="1:9" x14ac:dyDescent="0.25">
      <c r="A236" s="5">
        <v>0</v>
      </c>
      <c r="B236" s="5">
        <v>145</v>
      </c>
      <c r="C236" s="5">
        <v>0</v>
      </c>
      <c r="D236" s="5">
        <v>0</v>
      </c>
      <c r="E236" s="5">
        <v>0</v>
      </c>
      <c r="F236" s="5">
        <v>44.2</v>
      </c>
      <c r="G236" s="5">
        <v>0.63</v>
      </c>
      <c r="H236" s="5">
        <v>31</v>
      </c>
      <c r="I236" s="5">
        <v>1</v>
      </c>
    </row>
    <row r="237" spans="1:9" x14ac:dyDescent="0.25">
      <c r="A237" s="5">
        <v>4</v>
      </c>
      <c r="B237" s="5">
        <v>99</v>
      </c>
      <c r="C237" s="5">
        <v>72</v>
      </c>
      <c r="D237" s="5">
        <v>17</v>
      </c>
      <c r="E237" s="5">
        <v>0</v>
      </c>
      <c r="F237" s="5">
        <v>25.6</v>
      </c>
      <c r="G237" s="5">
        <v>0.29399999999999998</v>
      </c>
      <c r="H237" s="5">
        <v>28</v>
      </c>
      <c r="I237" s="5">
        <v>0</v>
      </c>
    </row>
    <row r="238" spans="1:9" x14ac:dyDescent="0.25">
      <c r="A238" s="5">
        <v>8</v>
      </c>
      <c r="B238" s="5">
        <v>194</v>
      </c>
      <c r="C238" s="5">
        <v>80</v>
      </c>
      <c r="D238" s="5">
        <v>0</v>
      </c>
      <c r="E238" s="5">
        <v>0</v>
      </c>
      <c r="F238" s="5">
        <v>26.1</v>
      </c>
      <c r="G238" s="5">
        <v>0.55100000000000005</v>
      </c>
      <c r="H238" s="5">
        <v>67</v>
      </c>
      <c r="I238" s="5">
        <v>0</v>
      </c>
    </row>
    <row r="239" spans="1:9" x14ac:dyDescent="0.25">
      <c r="A239" s="5">
        <v>2</v>
      </c>
      <c r="B239" s="5">
        <v>89</v>
      </c>
      <c r="C239" s="5">
        <v>90</v>
      </c>
      <c r="D239" s="5">
        <v>30</v>
      </c>
      <c r="E239" s="5">
        <v>0</v>
      </c>
      <c r="F239" s="5">
        <v>33.5</v>
      </c>
      <c r="G239" s="5">
        <v>0.29199999999999998</v>
      </c>
      <c r="H239" s="5">
        <v>42</v>
      </c>
      <c r="I239" s="5">
        <v>0</v>
      </c>
    </row>
    <row r="240" spans="1:9" x14ac:dyDescent="0.25">
      <c r="A240" s="5">
        <v>4</v>
      </c>
      <c r="B240" s="5">
        <v>99</v>
      </c>
      <c r="C240" s="5">
        <v>68</v>
      </c>
      <c r="D240" s="5">
        <v>38</v>
      </c>
      <c r="E240" s="5">
        <v>0</v>
      </c>
      <c r="F240" s="5">
        <v>32.799999999999997</v>
      </c>
      <c r="G240" s="5">
        <v>0.14499999999999999</v>
      </c>
      <c r="H240" s="5">
        <v>33</v>
      </c>
      <c r="I240" s="5">
        <v>0</v>
      </c>
    </row>
    <row r="241" spans="1:9" x14ac:dyDescent="0.25">
      <c r="A241" s="5">
        <v>3</v>
      </c>
      <c r="B241" s="5">
        <v>80</v>
      </c>
      <c r="C241" s="5">
        <v>0</v>
      </c>
      <c r="D241" s="5">
        <v>0</v>
      </c>
      <c r="E241" s="5">
        <v>0</v>
      </c>
      <c r="F241" s="5">
        <v>0</v>
      </c>
      <c r="G241" s="5">
        <v>0.17399999999999999</v>
      </c>
      <c r="H241" s="5">
        <v>22</v>
      </c>
      <c r="I241" s="5">
        <v>0</v>
      </c>
    </row>
    <row r="242" spans="1:9" x14ac:dyDescent="0.25">
      <c r="A242" s="5">
        <v>6</v>
      </c>
      <c r="B242" s="5">
        <v>166</v>
      </c>
      <c r="C242" s="5">
        <v>74</v>
      </c>
      <c r="D242" s="5">
        <v>0</v>
      </c>
      <c r="E242" s="5">
        <v>0</v>
      </c>
      <c r="F242" s="5">
        <v>26.6</v>
      </c>
      <c r="G242" s="5">
        <v>0.30399999999999999</v>
      </c>
      <c r="H242" s="5">
        <v>66</v>
      </c>
      <c r="I242" s="5">
        <v>0</v>
      </c>
    </row>
    <row r="243" spans="1:9" x14ac:dyDescent="0.25">
      <c r="A243" s="5">
        <v>5</v>
      </c>
      <c r="B243" s="5">
        <v>110</v>
      </c>
      <c r="C243" s="5">
        <v>68</v>
      </c>
      <c r="D243" s="5">
        <v>0</v>
      </c>
      <c r="E243" s="5">
        <v>0</v>
      </c>
      <c r="F243" s="5">
        <v>26</v>
      </c>
      <c r="G243" s="5">
        <v>0.29199999999999998</v>
      </c>
      <c r="H243" s="5">
        <v>30</v>
      </c>
      <c r="I243" s="5">
        <v>0</v>
      </c>
    </row>
    <row r="244" spans="1:9" x14ac:dyDescent="0.25">
      <c r="A244" s="5">
        <v>3</v>
      </c>
      <c r="B244" s="5">
        <v>84</v>
      </c>
      <c r="C244" s="5">
        <v>72</v>
      </c>
      <c r="D244" s="5">
        <v>32</v>
      </c>
      <c r="E244" s="5">
        <v>0</v>
      </c>
      <c r="F244" s="5">
        <v>37.200000000000003</v>
      </c>
      <c r="G244" s="5">
        <v>0.26700000000000002</v>
      </c>
      <c r="H244" s="5">
        <v>28</v>
      </c>
      <c r="I244" s="5">
        <v>0</v>
      </c>
    </row>
    <row r="245" spans="1:9" x14ac:dyDescent="0.25">
      <c r="A245" s="5">
        <v>6</v>
      </c>
      <c r="B245" s="5">
        <v>0</v>
      </c>
      <c r="C245" s="5">
        <v>68</v>
      </c>
      <c r="D245" s="5">
        <v>41</v>
      </c>
      <c r="E245" s="5">
        <v>0</v>
      </c>
      <c r="F245" s="5">
        <v>39</v>
      </c>
      <c r="G245" s="5">
        <v>0.72699999999999998</v>
      </c>
      <c r="H245" s="5">
        <v>41</v>
      </c>
      <c r="I245" s="5">
        <v>1</v>
      </c>
    </row>
    <row r="246" spans="1:9" x14ac:dyDescent="0.25">
      <c r="A246" s="5">
        <v>3</v>
      </c>
      <c r="B246" s="5">
        <v>96</v>
      </c>
      <c r="C246" s="5">
        <v>78</v>
      </c>
      <c r="D246" s="5">
        <v>39</v>
      </c>
      <c r="E246" s="5">
        <v>0</v>
      </c>
      <c r="F246" s="5">
        <v>37.299999999999997</v>
      </c>
      <c r="G246" s="5">
        <v>0.23799999999999999</v>
      </c>
      <c r="H246" s="5">
        <v>40</v>
      </c>
      <c r="I246" s="5">
        <v>0</v>
      </c>
    </row>
    <row r="247" spans="1:9" x14ac:dyDescent="0.25">
      <c r="A247" s="5">
        <v>10</v>
      </c>
      <c r="B247" s="5">
        <v>75</v>
      </c>
      <c r="C247" s="5">
        <v>82</v>
      </c>
      <c r="D247" s="5">
        <v>0</v>
      </c>
      <c r="E247" s="5">
        <v>0</v>
      </c>
      <c r="F247" s="5">
        <v>33.299999999999997</v>
      </c>
      <c r="G247" s="5">
        <v>0.26300000000000001</v>
      </c>
      <c r="H247" s="5">
        <v>38</v>
      </c>
      <c r="I247" s="5">
        <v>0</v>
      </c>
    </row>
    <row r="248" spans="1:9" x14ac:dyDescent="0.25">
      <c r="A248" s="5">
        <v>8</v>
      </c>
      <c r="B248" s="5">
        <v>120</v>
      </c>
      <c r="C248" s="5">
        <v>78</v>
      </c>
      <c r="D248" s="5">
        <v>0</v>
      </c>
      <c r="E248" s="5">
        <v>0</v>
      </c>
      <c r="F248" s="5">
        <v>25</v>
      </c>
      <c r="G248" s="5">
        <v>0.40899999999999997</v>
      </c>
      <c r="H248" s="5">
        <v>64</v>
      </c>
      <c r="I248" s="5">
        <v>0</v>
      </c>
    </row>
    <row r="249" spans="1:9" x14ac:dyDescent="0.25">
      <c r="A249" s="5">
        <v>12</v>
      </c>
      <c r="B249" s="5">
        <v>84</v>
      </c>
      <c r="C249" s="5">
        <v>72</v>
      </c>
      <c r="D249" s="5">
        <v>31</v>
      </c>
      <c r="E249" s="5">
        <v>0</v>
      </c>
      <c r="F249" s="5">
        <v>29.7</v>
      </c>
      <c r="G249" s="5">
        <v>0.29699999999999999</v>
      </c>
      <c r="H249" s="5">
        <v>46</v>
      </c>
      <c r="I249" s="5">
        <v>1</v>
      </c>
    </row>
    <row r="250" spans="1:9" x14ac:dyDescent="0.25">
      <c r="A250" s="5">
        <v>9</v>
      </c>
      <c r="B250" s="5">
        <v>91</v>
      </c>
      <c r="C250" s="5">
        <v>68</v>
      </c>
      <c r="D250" s="5">
        <v>0</v>
      </c>
      <c r="E250" s="5">
        <v>0</v>
      </c>
      <c r="F250" s="5">
        <v>24.2</v>
      </c>
      <c r="G250" s="5">
        <v>0.2</v>
      </c>
      <c r="H250" s="5">
        <v>58</v>
      </c>
      <c r="I250" s="5">
        <v>0</v>
      </c>
    </row>
    <row r="251" spans="1:9" x14ac:dyDescent="0.25">
      <c r="A251" s="5">
        <v>2</v>
      </c>
      <c r="B251" s="5">
        <v>91</v>
      </c>
      <c r="C251" s="5">
        <v>62</v>
      </c>
      <c r="D251" s="5">
        <v>0</v>
      </c>
      <c r="E251" s="5">
        <v>0</v>
      </c>
      <c r="F251" s="5">
        <v>27.3</v>
      </c>
      <c r="G251" s="5">
        <v>0.52500000000000002</v>
      </c>
      <c r="H251" s="5">
        <v>22</v>
      </c>
      <c r="I251" s="5">
        <v>0</v>
      </c>
    </row>
    <row r="252" spans="1:9" x14ac:dyDescent="0.25">
      <c r="A252" s="5">
        <v>7</v>
      </c>
      <c r="B252" s="5">
        <v>125</v>
      </c>
      <c r="C252" s="5">
        <v>86</v>
      </c>
      <c r="D252" s="5">
        <v>0</v>
      </c>
      <c r="E252" s="5">
        <v>0</v>
      </c>
      <c r="F252" s="5">
        <v>37.6</v>
      </c>
      <c r="G252" s="5">
        <v>0.30399999999999999</v>
      </c>
      <c r="H252" s="5">
        <v>51</v>
      </c>
      <c r="I252" s="5">
        <v>0</v>
      </c>
    </row>
    <row r="253" spans="1:9" x14ac:dyDescent="0.25">
      <c r="A253" s="5">
        <v>13</v>
      </c>
      <c r="B253" s="5">
        <v>76</v>
      </c>
      <c r="C253" s="5">
        <v>60</v>
      </c>
      <c r="D253" s="5">
        <v>0</v>
      </c>
      <c r="E253" s="5">
        <v>0</v>
      </c>
      <c r="F253" s="5">
        <v>32.799999999999997</v>
      </c>
      <c r="G253" s="5">
        <v>0.18</v>
      </c>
      <c r="H253" s="5">
        <v>41</v>
      </c>
      <c r="I253" s="5">
        <v>0</v>
      </c>
    </row>
    <row r="254" spans="1:9" x14ac:dyDescent="0.25">
      <c r="A254" s="5">
        <v>6</v>
      </c>
      <c r="B254" s="5">
        <v>114</v>
      </c>
      <c r="C254" s="5">
        <v>0</v>
      </c>
      <c r="D254" s="5">
        <v>0</v>
      </c>
      <c r="E254" s="5">
        <v>0</v>
      </c>
      <c r="F254" s="5">
        <v>0</v>
      </c>
      <c r="G254" s="5">
        <v>0.189</v>
      </c>
      <c r="H254" s="5">
        <v>26</v>
      </c>
      <c r="I254" s="5">
        <v>0</v>
      </c>
    </row>
    <row r="255" spans="1:9" x14ac:dyDescent="0.25">
      <c r="A255" s="5">
        <v>9</v>
      </c>
      <c r="B255" s="5">
        <v>130</v>
      </c>
      <c r="C255" s="5">
        <v>70</v>
      </c>
      <c r="D255" s="5">
        <v>0</v>
      </c>
      <c r="E255" s="5">
        <v>0</v>
      </c>
      <c r="F255" s="5">
        <v>34.200000000000003</v>
      </c>
      <c r="G255" s="5">
        <v>0.65200000000000002</v>
      </c>
      <c r="H255" s="5">
        <v>45</v>
      </c>
      <c r="I255" s="5">
        <v>1</v>
      </c>
    </row>
    <row r="256" spans="1:9" x14ac:dyDescent="0.25">
      <c r="A256" s="5">
        <v>3</v>
      </c>
      <c r="B256" s="5">
        <v>125</v>
      </c>
      <c r="C256" s="5">
        <v>58</v>
      </c>
      <c r="D256" s="5">
        <v>0</v>
      </c>
      <c r="E256" s="5">
        <v>0</v>
      </c>
      <c r="F256" s="5">
        <v>31.6</v>
      </c>
      <c r="G256" s="5">
        <v>0.151</v>
      </c>
      <c r="H256" s="5">
        <v>24</v>
      </c>
      <c r="I256" s="5">
        <v>0</v>
      </c>
    </row>
    <row r="257" spans="1:9" x14ac:dyDescent="0.25">
      <c r="A257" s="5">
        <v>3</v>
      </c>
      <c r="B257" s="5">
        <v>87</v>
      </c>
      <c r="C257" s="5">
        <v>60</v>
      </c>
      <c r="D257" s="5">
        <v>18</v>
      </c>
      <c r="E257" s="5">
        <v>0</v>
      </c>
      <c r="F257" s="5">
        <v>21.8</v>
      </c>
      <c r="G257" s="5">
        <v>0.44400000000000001</v>
      </c>
      <c r="H257" s="5">
        <v>21</v>
      </c>
      <c r="I257" s="5">
        <v>0</v>
      </c>
    </row>
    <row r="258" spans="1:9" x14ac:dyDescent="0.25">
      <c r="A258" s="5">
        <v>0</v>
      </c>
      <c r="B258" s="5">
        <v>111</v>
      </c>
      <c r="C258" s="5">
        <v>65</v>
      </c>
      <c r="D258" s="5">
        <v>0</v>
      </c>
      <c r="E258" s="5">
        <v>0</v>
      </c>
      <c r="F258" s="5">
        <v>24.6</v>
      </c>
      <c r="G258" s="5">
        <v>0.66</v>
      </c>
      <c r="H258" s="5">
        <v>31</v>
      </c>
      <c r="I258" s="5">
        <v>0</v>
      </c>
    </row>
    <row r="259" spans="1:9" x14ac:dyDescent="0.25">
      <c r="A259" s="5">
        <v>0</v>
      </c>
      <c r="B259" s="5">
        <v>107</v>
      </c>
      <c r="C259" s="5">
        <v>76</v>
      </c>
      <c r="D259" s="5">
        <v>0</v>
      </c>
      <c r="E259" s="5">
        <v>0</v>
      </c>
      <c r="F259" s="5">
        <v>45.3</v>
      </c>
      <c r="G259" s="5">
        <v>0.68600000000000005</v>
      </c>
      <c r="H259" s="5">
        <v>24</v>
      </c>
      <c r="I259" s="5">
        <v>0</v>
      </c>
    </row>
    <row r="260" spans="1:9" x14ac:dyDescent="0.25">
      <c r="A260" s="5">
        <v>6</v>
      </c>
      <c r="B260" s="5">
        <v>91</v>
      </c>
      <c r="C260" s="5">
        <v>0</v>
      </c>
      <c r="D260" s="5">
        <v>0</v>
      </c>
      <c r="E260" s="5">
        <v>0</v>
      </c>
      <c r="F260" s="5">
        <v>29.8</v>
      </c>
      <c r="G260" s="5">
        <v>0.501</v>
      </c>
      <c r="H260" s="5">
        <v>31</v>
      </c>
      <c r="I260" s="5">
        <v>0</v>
      </c>
    </row>
    <row r="261" spans="1:9" x14ac:dyDescent="0.25">
      <c r="A261" s="5">
        <v>4</v>
      </c>
      <c r="B261" s="5">
        <v>132</v>
      </c>
      <c r="C261" s="5">
        <v>0</v>
      </c>
      <c r="D261" s="5">
        <v>0</v>
      </c>
      <c r="E261" s="5">
        <v>0</v>
      </c>
      <c r="F261" s="5">
        <v>32.9</v>
      </c>
      <c r="G261" s="5">
        <v>0.30199999999999999</v>
      </c>
      <c r="H261" s="5">
        <v>23</v>
      </c>
      <c r="I261" s="5">
        <v>1</v>
      </c>
    </row>
    <row r="262" spans="1:9" x14ac:dyDescent="0.25">
      <c r="A262" s="5">
        <v>0</v>
      </c>
      <c r="B262" s="5">
        <v>105</v>
      </c>
      <c r="C262" s="5">
        <v>90</v>
      </c>
      <c r="D262" s="5">
        <v>0</v>
      </c>
      <c r="E262" s="5">
        <v>0</v>
      </c>
      <c r="F262" s="5">
        <v>29.6</v>
      </c>
      <c r="G262" s="5">
        <v>0.19700000000000001</v>
      </c>
      <c r="H262" s="5">
        <v>46</v>
      </c>
      <c r="I262" s="5">
        <v>0</v>
      </c>
    </row>
    <row r="263" spans="1:9" x14ac:dyDescent="0.25">
      <c r="A263" s="5">
        <v>0</v>
      </c>
      <c r="B263" s="5">
        <v>57</v>
      </c>
      <c r="C263" s="5">
        <v>60</v>
      </c>
      <c r="D263" s="5">
        <v>0</v>
      </c>
      <c r="E263" s="5">
        <v>0</v>
      </c>
      <c r="F263" s="5">
        <v>21.7</v>
      </c>
      <c r="G263" s="5">
        <v>0.73499999999999999</v>
      </c>
      <c r="H263" s="5">
        <v>67</v>
      </c>
      <c r="I263" s="5">
        <v>0</v>
      </c>
    </row>
    <row r="264" spans="1:9" x14ac:dyDescent="0.25">
      <c r="A264" s="5">
        <v>10</v>
      </c>
      <c r="B264" s="5">
        <v>90</v>
      </c>
      <c r="C264" s="5">
        <v>85</v>
      </c>
      <c r="D264" s="5">
        <v>32</v>
      </c>
      <c r="E264" s="5">
        <v>0</v>
      </c>
      <c r="F264" s="5">
        <v>34.9</v>
      </c>
      <c r="G264" s="5">
        <v>0.82499999999999996</v>
      </c>
      <c r="H264" s="5">
        <v>56</v>
      </c>
      <c r="I264" s="5">
        <v>1</v>
      </c>
    </row>
    <row r="265" spans="1:9" x14ac:dyDescent="0.25">
      <c r="A265" s="5">
        <v>4</v>
      </c>
      <c r="B265" s="5">
        <v>189</v>
      </c>
      <c r="C265" s="5">
        <v>110</v>
      </c>
      <c r="D265" s="5">
        <v>31</v>
      </c>
      <c r="E265" s="5">
        <v>0</v>
      </c>
      <c r="F265" s="5">
        <v>28.5</v>
      </c>
      <c r="G265" s="5">
        <v>0.68</v>
      </c>
      <c r="H265" s="5">
        <v>37</v>
      </c>
      <c r="I265" s="5">
        <v>0</v>
      </c>
    </row>
    <row r="266" spans="1:9" x14ac:dyDescent="0.25">
      <c r="A266" s="5">
        <v>1</v>
      </c>
      <c r="B266" s="5">
        <v>116</v>
      </c>
      <c r="C266" s="5">
        <v>70</v>
      </c>
      <c r="D266" s="5">
        <v>28</v>
      </c>
      <c r="E266" s="5">
        <v>0</v>
      </c>
      <c r="F266" s="5">
        <v>27.4</v>
      </c>
      <c r="G266" s="5">
        <v>0.20399999999999999</v>
      </c>
      <c r="H266" s="5">
        <v>21</v>
      </c>
      <c r="I266" s="5">
        <v>0</v>
      </c>
    </row>
    <row r="267" spans="1:9" x14ac:dyDescent="0.25">
      <c r="A267" s="5">
        <v>6</v>
      </c>
      <c r="B267" s="5">
        <v>114</v>
      </c>
      <c r="C267" s="5">
        <v>88</v>
      </c>
      <c r="D267" s="5">
        <v>0</v>
      </c>
      <c r="E267" s="5">
        <v>0</v>
      </c>
      <c r="F267" s="5">
        <v>27.8</v>
      </c>
      <c r="G267" s="5">
        <v>0.247</v>
      </c>
      <c r="H267" s="5">
        <v>66</v>
      </c>
      <c r="I267" s="5">
        <v>0</v>
      </c>
    </row>
    <row r="268" spans="1:9" x14ac:dyDescent="0.25">
      <c r="A268" s="5">
        <v>1</v>
      </c>
      <c r="B268" s="5">
        <v>97</v>
      </c>
      <c r="C268" s="5">
        <v>70</v>
      </c>
      <c r="D268" s="5">
        <v>40</v>
      </c>
      <c r="E268" s="5">
        <v>0</v>
      </c>
      <c r="F268" s="5">
        <v>38.1</v>
      </c>
      <c r="G268" s="5">
        <v>0.218</v>
      </c>
      <c r="H268" s="5">
        <v>30</v>
      </c>
      <c r="I268" s="5">
        <v>0</v>
      </c>
    </row>
    <row r="269" spans="1:9" x14ac:dyDescent="0.25">
      <c r="A269" s="5">
        <v>8</v>
      </c>
      <c r="B269" s="5">
        <v>110</v>
      </c>
      <c r="C269" s="5">
        <v>76</v>
      </c>
      <c r="D269" s="5">
        <v>0</v>
      </c>
      <c r="E269" s="5">
        <v>0</v>
      </c>
      <c r="F269" s="5">
        <v>27.8</v>
      </c>
      <c r="G269" s="5">
        <v>0.23699999999999999</v>
      </c>
      <c r="H269" s="5">
        <v>58</v>
      </c>
      <c r="I269" s="5">
        <v>0</v>
      </c>
    </row>
    <row r="270" spans="1:9" x14ac:dyDescent="0.25">
      <c r="A270" s="5">
        <v>11</v>
      </c>
      <c r="B270" s="5">
        <v>103</v>
      </c>
      <c r="C270" s="5">
        <v>68</v>
      </c>
      <c r="D270" s="5">
        <v>40</v>
      </c>
      <c r="E270" s="5">
        <v>0</v>
      </c>
      <c r="F270" s="5">
        <v>46.2</v>
      </c>
      <c r="G270" s="5">
        <v>0.126</v>
      </c>
      <c r="H270" s="5">
        <v>42</v>
      </c>
      <c r="I270" s="5">
        <v>0</v>
      </c>
    </row>
    <row r="271" spans="1:9" x14ac:dyDescent="0.25">
      <c r="A271" s="5">
        <v>11</v>
      </c>
      <c r="B271" s="5">
        <v>85</v>
      </c>
      <c r="C271" s="5">
        <v>74</v>
      </c>
      <c r="D271" s="5">
        <v>0</v>
      </c>
      <c r="E271" s="5">
        <v>0</v>
      </c>
      <c r="F271" s="5">
        <v>30.1</v>
      </c>
      <c r="G271" s="5">
        <v>0.3</v>
      </c>
      <c r="H271" s="5">
        <v>35</v>
      </c>
      <c r="I271" s="5">
        <v>0</v>
      </c>
    </row>
    <row r="272" spans="1:9" x14ac:dyDescent="0.25">
      <c r="A272" s="5">
        <v>6</v>
      </c>
      <c r="B272" s="5">
        <v>125</v>
      </c>
      <c r="C272" s="5">
        <v>76</v>
      </c>
      <c r="D272" s="5">
        <v>0</v>
      </c>
      <c r="E272" s="5">
        <v>0</v>
      </c>
      <c r="F272" s="5">
        <v>33.799999999999997</v>
      </c>
      <c r="G272" s="5">
        <v>0.121</v>
      </c>
      <c r="H272" s="5">
        <v>54</v>
      </c>
      <c r="I272" s="5">
        <v>1</v>
      </c>
    </row>
    <row r="273" spans="1:9" x14ac:dyDescent="0.25">
      <c r="A273" s="5">
        <v>0</v>
      </c>
      <c r="B273" s="5">
        <v>91</v>
      </c>
      <c r="C273" s="5">
        <v>80</v>
      </c>
      <c r="D273" s="5">
        <v>0</v>
      </c>
      <c r="E273" s="5">
        <v>0</v>
      </c>
      <c r="F273" s="5">
        <v>32.4</v>
      </c>
      <c r="G273" s="5">
        <v>0.60099999999999998</v>
      </c>
      <c r="H273" s="5">
        <v>27</v>
      </c>
      <c r="I273" s="5">
        <v>0</v>
      </c>
    </row>
    <row r="274" spans="1:9" x14ac:dyDescent="0.25">
      <c r="A274" s="5">
        <v>3</v>
      </c>
      <c r="B274" s="5">
        <v>78</v>
      </c>
      <c r="C274" s="5">
        <v>70</v>
      </c>
      <c r="D274" s="5">
        <v>0</v>
      </c>
      <c r="E274" s="5">
        <v>0</v>
      </c>
      <c r="F274" s="5">
        <v>32.5</v>
      </c>
      <c r="G274" s="5">
        <v>0.27</v>
      </c>
      <c r="H274" s="5">
        <v>39</v>
      </c>
      <c r="I274" s="5">
        <v>0</v>
      </c>
    </row>
    <row r="275" spans="1:9" x14ac:dyDescent="0.25">
      <c r="A275" s="5">
        <v>2</v>
      </c>
      <c r="B275" s="5">
        <v>130</v>
      </c>
      <c r="C275" s="5">
        <v>96</v>
      </c>
      <c r="D275" s="5">
        <v>0</v>
      </c>
      <c r="E275" s="5">
        <v>0</v>
      </c>
      <c r="F275" s="5">
        <v>22.6</v>
      </c>
      <c r="G275" s="5">
        <v>0.26800000000000002</v>
      </c>
      <c r="H275" s="5">
        <v>21</v>
      </c>
      <c r="I275" s="5">
        <v>0</v>
      </c>
    </row>
    <row r="276" spans="1:9" x14ac:dyDescent="0.25">
      <c r="A276" s="5">
        <v>2</v>
      </c>
      <c r="B276" s="5">
        <v>118</v>
      </c>
      <c r="C276" s="5">
        <v>80</v>
      </c>
      <c r="D276" s="5">
        <v>0</v>
      </c>
      <c r="E276" s="5">
        <v>0</v>
      </c>
      <c r="F276" s="5">
        <v>42.9</v>
      </c>
      <c r="G276" s="5">
        <v>0.69299999999999995</v>
      </c>
      <c r="H276" s="5">
        <v>21</v>
      </c>
      <c r="I276" s="5">
        <v>1</v>
      </c>
    </row>
    <row r="277" spans="1:9" x14ac:dyDescent="0.25">
      <c r="A277" s="5">
        <v>10</v>
      </c>
      <c r="B277" s="5">
        <v>133</v>
      </c>
      <c r="C277" s="5">
        <v>68</v>
      </c>
      <c r="D277" s="5">
        <v>0</v>
      </c>
      <c r="E277" s="5">
        <v>0</v>
      </c>
      <c r="F277" s="5">
        <v>27</v>
      </c>
      <c r="G277" s="5">
        <v>0.245</v>
      </c>
      <c r="H277" s="5">
        <v>36</v>
      </c>
      <c r="I277" s="5">
        <v>0</v>
      </c>
    </row>
    <row r="278" spans="1:9" x14ac:dyDescent="0.25">
      <c r="A278" s="5">
        <v>2</v>
      </c>
      <c r="B278" s="5">
        <v>197</v>
      </c>
      <c r="C278" s="5">
        <v>70</v>
      </c>
      <c r="D278" s="5">
        <v>99</v>
      </c>
      <c r="E278" s="5">
        <v>0</v>
      </c>
      <c r="F278" s="5">
        <v>34.700000000000003</v>
      </c>
      <c r="G278" s="5">
        <v>0.57499999999999996</v>
      </c>
      <c r="H278" s="5">
        <v>62</v>
      </c>
      <c r="I278" s="5">
        <v>1</v>
      </c>
    </row>
    <row r="279" spans="1:9" x14ac:dyDescent="0.25">
      <c r="A279" s="5">
        <v>0</v>
      </c>
      <c r="B279" s="5">
        <v>151</v>
      </c>
      <c r="C279" s="5">
        <v>90</v>
      </c>
      <c r="D279" s="5">
        <v>46</v>
      </c>
      <c r="E279" s="5">
        <v>0</v>
      </c>
      <c r="F279" s="5">
        <v>42.1</v>
      </c>
      <c r="G279" s="5">
        <v>0.371</v>
      </c>
      <c r="H279" s="5">
        <v>21</v>
      </c>
      <c r="I279" s="5">
        <v>1</v>
      </c>
    </row>
    <row r="280" spans="1:9" x14ac:dyDescent="0.25">
      <c r="A280" s="5">
        <v>6</v>
      </c>
      <c r="B280" s="5">
        <v>109</v>
      </c>
      <c r="C280" s="5">
        <v>60</v>
      </c>
      <c r="D280" s="5">
        <v>27</v>
      </c>
      <c r="E280" s="5">
        <v>0</v>
      </c>
      <c r="F280" s="5">
        <v>25</v>
      </c>
      <c r="G280" s="5">
        <v>0.20599999999999999</v>
      </c>
      <c r="H280" s="5">
        <v>27</v>
      </c>
      <c r="I280" s="5">
        <v>0</v>
      </c>
    </row>
    <row r="281" spans="1:9" x14ac:dyDescent="0.25">
      <c r="A281" s="5">
        <v>12</v>
      </c>
      <c r="B281" s="5">
        <v>121</v>
      </c>
      <c r="C281" s="5">
        <v>78</v>
      </c>
      <c r="D281" s="5">
        <v>17</v>
      </c>
      <c r="E281" s="5">
        <v>0</v>
      </c>
      <c r="F281" s="5">
        <v>26.5</v>
      </c>
      <c r="G281" s="5">
        <v>0.25900000000000001</v>
      </c>
      <c r="H281" s="5">
        <v>62</v>
      </c>
      <c r="I281" s="5">
        <v>0</v>
      </c>
    </row>
    <row r="282" spans="1:9" x14ac:dyDescent="0.25">
      <c r="A282" s="5">
        <v>8</v>
      </c>
      <c r="B282" s="5">
        <v>100</v>
      </c>
      <c r="C282" s="5">
        <v>76</v>
      </c>
      <c r="D282" s="5">
        <v>0</v>
      </c>
      <c r="E282" s="5">
        <v>0</v>
      </c>
      <c r="F282" s="5">
        <v>38.700000000000003</v>
      </c>
      <c r="G282" s="5">
        <v>0.19</v>
      </c>
      <c r="H282" s="5">
        <v>42</v>
      </c>
      <c r="I282" s="5">
        <v>0</v>
      </c>
    </row>
    <row r="283" spans="1:9" x14ac:dyDescent="0.25">
      <c r="A283" s="5">
        <v>1</v>
      </c>
      <c r="B283" s="5">
        <v>93</v>
      </c>
      <c r="C283" s="5">
        <v>56</v>
      </c>
      <c r="D283" s="5">
        <v>11</v>
      </c>
      <c r="E283" s="5">
        <v>0</v>
      </c>
      <c r="F283" s="5">
        <v>22.5</v>
      </c>
      <c r="G283" s="5">
        <v>0.41699999999999998</v>
      </c>
      <c r="H283" s="5">
        <v>22</v>
      </c>
      <c r="I283" s="5">
        <v>0</v>
      </c>
    </row>
    <row r="284" spans="1:9" x14ac:dyDescent="0.25">
      <c r="A284" s="5">
        <v>8</v>
      </c>
      <c r="B284" s="5">
        <v>143</v>
      </c>
      <c r="C284" s="5">
        <v>66</v>
      </c>
      <c r="D284" s="5">
        <v>0</v>
      </c>
      <c r="E284" s="5">
        <v>0</v>
      </c>
      <c r="F284" s="5">
        <v>34.9</v>
      </c>
      <c r="G284" s="5">
        <v>0.129</v>
      </c>
      <c r="H284" s="5">
        <v>41</v>
      </c>
      <c r="I284" s="5">
        <v>1</v>
      </c>
    </row>
    <row r="285" spans="1:9" x14ac:dyDescent="0.25">
      <c r="A285" s="5">
        <v>6</v>
      </c>
      <c r="B285" s="5">
        <v>103</v>
      </c>
      <c r="C285" s="5">
        <v>66</v>
      </c>
      <c r="D285" s="5">
        <v>0</v>
      </c>
      <c r="E285" s="5">
        <v>0</v>
      </c>
      <c r="F285" s="5">
        <v>24.3</v>
      </c>
      <c r="G285" s="5">
        <v>0.249</v>
      </c>
      <c r="H285" s="5">
        <v>29</v>
      </c>
      <c r="I285" s="5">
        <v>0</v>
      </c>
    </row>
    <row r="286" spans="1:9" x14ac:dyDescent="0.25">
      <c r="A286" s="5">
        <v>0</v>
      </c>
      <c r="B286" s="5">
        <v>73</v>
      </c>
      <c r="C286" s="5">
        <v>0</v>
      </c>
      <c r="D286" s="5">
        <v>0</v>
      </c>
      <c r="E286" s="5">
        <v>0</v>
      </c>
      <c r="F286" s="5">
        <v>21.1</v>
      </c>
      <c r="G286" s="5">
        <v>0.34200000000000003</v>
      </c>
      <c r="H286" s="5">
        <v>25</v>
      </c>
      <c r="I286" s="5">
        <v>0</v>
      </c>
    </row>
    <row r="287" spans="1:9" x14ac:dyDescent="0.25">
      <c r="A287" s="5">
        <v>11</v>
      </c>
      <c r="B287" s="5">
        <v>111</v>
      </c>
      <c r="C287" s="5">
        <v>84</v>
      </c>
      <c r="D287" s="5">
        <v>40</v>
      </c>
      <c r="E287" s="5">
        <v>0</v>
      </c>
      <c r="F287" s="5">
        <v>46.8</v>
      </c>
      <c r="G287" s="5">
        <v>0.92500000000000004</v>
      </c>
      <c r="H287" s="5">
        <v>45</v>
      </c>
      <c r="I287" s="5">
        <v>1</v>
      </c>
    </row>
    <row r="288" spans="1:9" x14ac:dyDescent="0.25">
      <c r="A288" s="5">
        <v>3</v>
      </c>
      <c r="B288" s="5">
        <v>132</v>
      </c>
      <c r="C288" s="5">
        <v>80</v>
      </c>
      <c r="D288" s="5">
        <v>0</v>
      </c>
      <c r="E288" s="5">
        <v>0</v>
      </c>
      <c r="F288" s="5">
        <v>34.4</v>
      </c>
      <c r="G288" s="5">
        <v>0.40200000000000002</v>
      </c>
      <c r="H288" s="5">
        <v>44</v>
      </c>
      <c r="I288" s="5">
        <v>1</v>
      </c>
    </row>
    <row r="289" spans="1:9" x14ac:dyDescent="0.25">
      <c r="A289" s="5">
        <v>0</v>
      </c>
      <c r="B289" s="5">
        <v>67</v>
      </c>
      <c r="C289" s="5">
        <v>76</v>
      </c>
      <c r="D289" s="5">
        <v>0</v>
      </c>
      <c r="E289" s="5">
        <v>0</v>
      </c>
      <c r="F289" s="5">
        <v>45.3</v>
      </c>
      <c r="G289" s="5">
        <v>0.19400000000000001</v>
      </c>
      <c r="H289" s="5">
        <v>46</v>
      </c>
      <c r="I289" s="5">
        <v>0</v>
      </c>
    </row>
    <row r="290" spans="1:9" x14ac:dyDescent="0.25">
      <c r="A290" s="5">
        <v>1</v>
      </c>
      <c r="B290" s="5">
        <v>173</v>
      </c>
      <c r="C290" s="5">
        <v>74</v>
      </c>
      <c r="D290" s="5">
        <v>0</v>
      </c>
      <c r="E290" s="5">
        <v>0</v>
      </c>
      <c r="F290" s="5">
        <v>36.799999999999997</v>
      </c>
      <c r="G290" s="5">
        <v>8.7999999999999995E-2</v>
      </c>
      <c r="H290" s="5">
        <v>38</v>
      </c>
      <c r="I290" s="5">
        <v>1</v>
      </c>
    </row>
    <row r="291" spans="1:9" x14ac:dyDescent="0.25">
      <c r="A291" s="5">
        <v>1</v>
      </c>
      <c r="B291" s="5">
        <v>108</v>
      </c>
      <c r="C291" s="5">
        <v>88</v>
      </c>
      <c r="D291" s="5">
        <v>19</v>
      </c>
      <c r="E291" s="5">
        <v>0</v>
      </c>
      <c r="F291" s="5">
        <v>27.1</v>
      </c>
      <c r="G291" s="5">
        <v>0.4</v>
      </c>
      <c r="H291" s="5">
        <v>24</v>
      </c>
      <c r="I291" s="5">
        <v>0</v>
      </c>
    </row>
    <row r="292" spans="1:9" x14ac:dyDescent="0.25">
      <c r="A292" s="5">
        <v>6</v>
      </c>
      <c r="B292" s="5">
        <v>96</v>
      </c>
      <c r="C292" s="5">
        <v>0</v>
      </c>
      <c r="D292" s="5">
        <v>0</v>
      </c>
      <c r="E292" s="5">
        <v>0</v>
      </c>
      <c r="F292" s="5">
        <v>23.7</v>
      </c>
      <c r="G292" s="5">
        <v>0.19</v>
      </c>
      <c r="H292" s="5">
        <v>28</v>
      </c>
      <c r="I292" s="5">
        <v>0</v>
      </c>
    </row>
    <row r="293" spans="1:9" x14ac:dyDescent="0.25">
      <c r="A293" s="5">
        <v>1</v>
      </c>
      <c r="B293" s="5">
        <v>124</v>
      </c>
      <c r="C293" s="5">
        <v>74</v>
      </c>
      <c r="D293" s="5">
        <v>36</v>
      </c>
      <c r="E293" s="5">
        <v>0</v>
      </c>
      <c r="F293" s="5">
        <v>27.8</v>
      </c>
      <c r="G293" s="5">
        <v>0.1</v>
      </c>
      <c r="H293" s="5">
        <v>30</v>
      </c>
      <c r="I293" s="5">
        <v>0</v>
      </c>
    </row>
    <row r="294" spans="1:9" x14ac:dyDescent="0.25">
      <c r="A294" s="5">
        <v>4</v>
      </c>
      <c r="B294" s="5">
        <v>183</v>
      </c>
      <c r="C294" s="5">
        <v>0</v>
      </c>
      <c r="D294" s="5">
        <v>0</v>
      </c>
      <c r="E294" s="5">
        <v>0</v>
      </c>
      <c r="F294" s="5">
        <v>28.4</v>
      </c>
      <c r="G294" s="5">
        <v>0.21199999999999999</v>
      </c>
      <c r="H294" s="5">
        <v>36</v>
      </c>
      <c r="I294" s="5">
        <v>1</v>
      </c>
    </row>
    <row r="295" spans="1:9" x14ac:dyDescent="0.25">
      <c r="A295" s="5">
        <v>1</v>
      </c>
      <c r="B295" s="5">
        <v>124</v>
      </c>
      <c r="C295" s="5">
        <v>60</v>
      </c>
      <c r="D295" s="5">
        <v>32</v>
      </c>
      <c r="E295" s="5">
        <v>0</v>
      </c>
      <c r="F295" s="5">
        <v>35.799999999999997</v>
      </c>
      <c r="G295" s="5">
        <v>0.51400000000000001</v>
      </c>
      <c r="H295" s="5">
        <v>21</v>
      </c>
      <c r="I295" s="5">
        <v>0</v>
      </c>
    </row>
    <row r="296" spans="1:9" x14ac:dyDescent="0.25">
      <c r="A296" s="5">
        <v>6</v>
      </c>
      <c r="B296" s="5">
        <v>105</v>
      </c>
      <c r="C296" s="5">
        <v>80</v>
      </c>
      <c r="D296" s="5">
        <v>28</v>
      </c>
      <c r="E296" s="5">
        <v>0</v>
      </c>
      <c r="F296" s="5">
        <v>32.5</v>
      </c>
      <c r="G296" s="5">
        <v>0.878</v>
      </c>
      <c r="H296" s="5">
        <v>26</v>
      </c>
      <c r="I296" s="5">
        <v>0</v>
      </c>
    </row>
    <row r="297" spans="1:9" x14ac:dyDescent="0.25">
      <c r="A297" s="5">
        <v>3</v>
      </c>
      <c r="B297" s="5">
        <v>106</v>
      </c>
      <c r="C297" s="5">
        <v>72</v>
      </c>
      <c r="D297" s="5">
        <v>0</v>
      </c>
      <c r="E297" s="5">
        <v>0</v>
      </c>
      <c r="F297" s="5">
        <v>25.8</v>
      </c>
      <c r="G297" s="5">
        <v>0.20699999999999999</v>
      </c>
      <c r="H297" s="5">
        <v>27</v>
      </c>
      <c r="I297" s="5">
        <v>0</v>
      </c>
    </row>
    <row r="298" spans="1:9" x14ac:dyDescent="0.25">
      <c r="A298" s="5">
        <v>6</v>
      </c>
      <c r="B298" s="5">
        <v>117</v>
      </c>
      <c r="C298" s="5">
        <v>96</v>
      </c>
      <c r="D298" s="5">
        <v>0</v>
      </c>
      <c r="E298" s="5">
        <v>0</v>
      </c>
      <c r="F298" s="5">
        <v>28.7</v>
      </c>
      <c r="G298" s="5">
        <v>0.157</v>
      </c>
      <c r="H298" s="5">
        <v>30</v>
      </c>
      <c r="I298" s="5">
        <v>0</v>
      </c>
    </row>
    <row r="299" spans="1:9" x14ac:dyDescent="0.25">
      <c r="A299" s="5">
        <v>9</v>
      </c>
      <c r="B299" s="5">
        <v>112</v>
      </c>
      <c r="C299" s="5">
        <v>82</v>
      </c>
      <c r="D299" s="5">
        <v>24</v>
      </c>
      <c r="E299" s="5">
        <v>0</v>
      </c>
      <c r="F299" s="5">
        <v>28.2</v>
      </c>
      <c r="G299" s="5">
        <v>1.282</v>
      </c>
      <c r="H299" s="5">
        <v>50</v>
      </c>
      <c r="I299" s="5">
        <v>1</v>
      </c>
    </row>
    <row r="300" spans="1:9" x14ac:dyDescent="0.25">
      <c r="A300" s="5">
        <v>0</v>
      </c>
      <c r="B300" s="5">
        <v>119</v>
      </c>
      <c r="C300" s="5">
        <v>0</v>
      </c>
      <c r="D300" s="5">
        <v>0</v>
      </c>
      <c r="E300" s="5">
        <v>0</v>
      </c>
      <c r="F300" s="5">
        <v>32.4</v>
      </c>
      <c r="G300" s="5">
        <v>0.14099999999999999</v>
      </c>
      <c r="H300" s="5">
        <v>24</v>
      </c>
      <c r="I300" s="5">
        <v>1</v>
      </c>
    </row>
    <row r="301" spans="1:9" x14ac:dyDescent="0.25">
      <c r="A301" s="5">
        <v>2</v>
      </c>
      <c r="B301" s="5">
        <v>92</v>
      </c>
      <c r="C301" s="5">
        <v>76</v>
      </c>
      <c r="D301" s="5">
        <v>20</v>
      </c>
      <c r="E301" s="5">
        <v>0</v>
      </c>
      <c r="F301" s="5">
        <v>24.2</v>
      </c>
      <c r="G301" s="5">
        <v>1.698</v>
      </c>
      <c r="H301" s="5">
        <v>28</v>
      </c>
      <c r="I301" s="5">
        <v>0</v>
      </c>
    </row>
    <row r="302" spans="1:9" x14ac:dyDescent="0.25">
      <c r="A302" s="5">
        <v>6</v>
      </c>
      <c r="B302" s="5">
        <v>183</v>
      </c>
      <c r="C302" s="5">
        <v>94</v>
      </c>
      <c r="D302" s="5">
        <v>0</v>
      </c>
      <c r="E302" s="5">
        <v>0</v>
      </c>
      <c r="F302" s="5">
        <v>40.799999999999997</v>
      </c>
      <c r="G302" s="5">
        <v>1.4610000000000001</v>
      </c>
      <c r="H302" s="5">
        <v>45</v>
      </c>
      <c r="I302" s="5">
        <v>0</v>
      </c>
    </row>
    <row r="303" spans="1:9" x14ac:dyDescent="0.25">
      <c r="A303" s="5">
        <v>2</v>
      </c>
      <c r="B303" s="5">
        <v>108</v>
      </c>
      <c r="C303" s="5">
        <v>64</v>
      </c>
      <c r="D303" s="5">
        <v>0</v>
      </c>
      <c r="E303" s="5">
        <v>0</v>
      </c>
      <c r="F303" s="5">
        <v>30.8</v>
      </c>
      <c r="G303" s="5">
        <v>0.158</v>
      </c>
      <c r="H303" s="5">
        <v>21</v>
      </c>
      <c r="I303" s="5">
        <v>0</v>
      </c>
    </row>
    <row r="304" spans="1:9" x14ac:dyDescent="0.25">
      <c r="A304" s="5">
        <v>0</v>
      </c>
      <c r="B304" s="5">
        <v>125</v>
      </c>
      <c r="C304" s="5">
        <v>68</v>
      </c>
      <c r="D304" s="5">
        <v>0</v>
      </c>
      <c r="E304" s="5">
        <v>0</v>
      </c>
      <c r="F304" s="5">
        <v>24.7</v>
      </c>
      <c r="G304" s="5">
        <v>0.20599999999999999</v>
      </c>
      <c r="H304" s="5">
        <v>21</v>
      </c>
      <c r="I304" s="5">
        <v>0</v>
      </c>
    </row>
    <row r="305" spans="1:9" x14ac:dyDescent="0.25">
      <c r="A305" s="5">
        <v>0</v>
      </c>
      <c r="B305" s="5">
        <v>132</v>
      </c>
      <c r="C305" s="5">
        <v>78</v>
      </c>
      <c r="D305" s="5">
        <v>0</v>
      </c>
      <c r="E305" s="5">
        <v>0</v>
      </c>
      <c r="F305" s="5">
        <v>32.4</v>
      </c>
      <c r="G305" s="5">
        <v>0.39300000000000002</v>
      </c>
      <c r="H305" s="5">
        <v>21</v>
      </c>
      <c r="I305" s="5">
        <v>0</v>
      </c>
    </row>
    <row r="306" spans="1:9" x14ac:dyDescent="0.25">
      <c r="A306" s="5">
        <v>5</v>
      </c>
      <c r="B306" s="5">
        <v>128</v>
      </c>
      <c r="C306" s="5">
        <v>80</v>
      </c>
      <c r="D306" s="5">
        <v>0</v>
      </c>
      <c r="E306" s="5">
        <v>0</v>
      </c>
      <c r="F306" s="5">
        <v>34.6</v>
      </c>
      <c r="G306" s="5">
        <v>0.14399999999999999</v>
      </c>
      <c r="H306" s="5">
        <v>45</v>
      </c>
      <c r="I306" s="5">
        <v>0</v>
      </c>
    </row>
    <row r="307" spans="1:9" x14ac:dyDescent="0.25">
      <c r="A307" s="5">
        <v>4</v>
      </c>
      <c r="B307" s="5">
        <v>94</v>
      </c>
      <c r="C307" s="5">
        <v>65</v>
      </c>
      <c r="D307" s="5">
        <v>22</v>
      </c>
      <c r="E307" s="5">
        <v>0</v>
      </c>
      <c r="F307" s="5">
        <v>24.7</v>
      </c>
      <c r="G307" s="5">
        <v>0.14799999999999999</v>
      </c>
      <c r="H307" s="5">
        <v>21</v>
      </c>
      <c r="I307" s="5">
        <v>0</v>
      </c>
    </row>
    <row r="308" spans="1:9" x14ac:dyDescent="0.25">
      <c r="A308" s="5">
        <v>7</v>
      </c>
      <c r="B308" s="5">
        <v>114</v>
      </c>
      <c r="C308" s="5">
        <v>64</v>
      </c>
      <c r="D308" s="5">
        <v>0</v>
      </c>
      <c r="E308" s="5">
        <v>0</v>
      </c>
      <c r="F308" s="5">
        <v>27.4</v>
      </c>
      <c r="G308" s="5">
        <v>0.73199999999999998</v>
      </c>
      <c r="H308" s="5">
        <v>34</v>
      </c>
      <c r="I308" s="5">
        <v>1</v>
      </c>
    </row>
    <row r="309" spans="1:9" x14ac:dyDescent="0.25">
      <c r="A309" s="5">
        <v>2</v>
      </c>
      <c r="B309" s="5">
        <v>111</v>
      </c>
      <c r="C309" s="5">
        <v>60</v>
      </c>
      <c r="D309" s="5">
        <v>0</v>
      </c>
      <c r="E309" s="5">
        <v>0</v>
      </c>
      <c r="F309" s="5">
        <v>26.2</v>
      </c>
      <c r="G309" s="5">
        <v>0.34300000000000003</v>
      </c>
      <c r="H309" s="5">
        <v>23</v>
      </c>
      <c r="I309" s="5">
        <v>0</v>
      </c>
    </row>
    <row r="310" spans="1:9" x14ac:dyDescent="0.25">
      <c r="A310" s="5">
        <v>10</v>
      </c>
      <c r="B310" s="5">
        <v>92</v>
      </c>
      <c r="C310" s="5">
        <v>62</v>
      </c>
      <c r="D310" s="5">
        <v>0</v>
      </c>
      <c r="E310" s="5">
        <v>0</v>
      </c>
      <c r="F310" s="5">
        <v>25.9</v>
      </c>
      <c r="G310" s="5">
        <v>0.16700000000000001</v>
      </c>
      <c r="H310" s="5">
        <v>31</v>
      </c>
      <c r="I310" s="5">
        <v>0</v>
      </c>
    </row>
    <row r="311" spans="1:9" x14ac:dyDescent="0.25">
      <c r="A311" s="5">
        <v>13</v>
      </c>
      <c r="B311" s="5">
        <v>104</v>
      </c>
      <c r="C311" s="5">
        <v>72</v>
      </c>
      <c r="D311" s="5">
        <v>0</v>
      </c>
      <c r="E311" s="5">
        <v>0</v>
      </c>
      <c r="F311" s="5">
        <v>31.2</v>
      </c>
      <c r="G311" s="5">
        <v>0.46500000000000002</v>
      </c>
      <c r="H311" s="5">
        <v>38</v>
      </c>
      <c r="I311" s="5">
        <v>1</v>
      </c>
    </row>
    <row r="312" spans="1:9" x14ac:dyDescent="0.25">
      <c r="A312" s="5">
        <v>5</v>
      </c>
      <c r="B312" s="5">
        <v>104</v>
      </c>
      <c r="C312" s="5">
        <v>74</v>
      </c>
      <c r="D312" s="5">
        <v>0</v>
      </c>
      <c r="E312" s="5">
        <v>0</v>
      </c>
      <c r="F312" s="5">
        <v>28.8</v>
      </c>
      <c r="G312" s="5">
        <v>0.153</v>
      </c>
      <c r="H312" s="5">
        <v>48</v>
      </c>
      <c r="I312" s="5">
        <v>0</v>
      </c>
    </row>
    <row r="313" spans="1:9" x14ac:dyDescent="0.25">
      <c r="A313" s="5">
        <v>4</v>
      </c>
      <c r="B313" s="5">
        <v>128</v>
      </c>
      <c r="C313" s="5">
        <v>70</v>
      </c>
      <c r="D313" s="5">
        <v>0</v>
      </c>
      <c r="E313" s="5">
        <v>0</v>
      </c>
      <c r="F313" s="5">
        <v>34.299999999999997</v>
      </c>
      <c r="G313" s="5">
        <v>0.30299999999999999</v>
      </c>
      <c r="H313" s="5">
        <v>24</v>
      </c>
      <c r="I313" s="5">
        <v>0</v>
      </c>
    </row>
    <row r="314" spans="1:9" x14ac:dyDescent="0.25">
      <c r="A314" s="5">
        <v>6</v>
      </c>
      <c r="B314" s="5">
        <v>147</v>
      </c>
      <c r="C314" s="5">
        <v>80</v>
      </c>
      <c r="D314" s="5">
        <v>0</v>
      </c>
      <c r="E314" s="5">
        <v>0</v>
      </c>
      <c r="F314" s="5">
        <v>29.5</v>
      </c>
      <c r="G314" s="5">
        <v>0.17799999999999999</v>
      </c>
      <c r="H314" s="5">
        <v>50</v>
      </c>
      <c r="I314" s="5">
        <v>1</v>
      </c>
    </row>
    <row r="315" spans="1:9" x14ac:dyDescent="0.25">
      <c r="A315" s="5">
        <v>4</v>
      </c>
      <c r="B315" s="5">
        <v>90</v>
      </c>
      <c r="C315" s="5">
        <v>0</v>
      </c>
      <c r="D315" s="5">
        <v>0</v>
      </c>
      <c r="E315" s="5">
        <v>0</v>
      </c>
      <c r="F315" s="5">
        <v>28</v>
      </c>
      <c r="G315" s="5">
        <v>0.61</v>
      </c>
      <c r="H315" s="5">
        <v>31</v>
      </c>
      <c r="I315" s="5">
        <v>0</v>
      </c>
    </row>
    <row r="316" spans="1:9" x14ac:dyDescent="0.25">
      <c r="A316" s="5">
        <v>0</v>
      </c>
      <c r="B316" s="5">
        <v>107</v>
      </c>
      <c r="C316" s="5">
        <v>60</v>
      </c>
      <c r="D316" s="5">
        <v>25</v>
      </c>
      <c r="E316" s="5">
        <v>0</v>
      </c>
      <c r="F316" s="5">
        <v>26.4</v>
      </c>
      <c r="G316" s="5">
        <v>0.13300000000000001</v>
      </c>
      <c r="H316" s="5">
        <v>23</v>
      </c>
      <c r="I316" s="5">
        <v>0</v>
      </c>
    </row>
    <row r="317" spans="1:9" x14ac:dyDescent="0.25">
      <c r="A317" s="5">
        <v>2</v>
      </c>
      <c r="B317" s="5">
        <v>120</v>
      </c>
      <c r="C317" s="5">
        <v>54</v>
      </c>
      <c r="D317" s="5">
        <v>0</v>
      </c>
      <c r="E317" s="5">
        <v>0</v>
      </c>
      <c r="F317" s="5">
        <v>26.8</v>
      </c>
      <c r="G317" s="5">
        <v>0.45500000000000002</v>
      </c>
      <c r="H317" s="5">
        <v>27</v>
      </c>
      <c r="I317" s="5">
        <v>0</v>
      </c>
    </row>
    <row r="318" spans="1:9" x14ac:dyDescent="0.25">
      <c r="A318" s="5">
        <v>11</v>
      </c>
      <c r="B318" s="5">
        <v>127</v>
      </c>
      <c r="C318" s="5">
        <v>106</v>
      </c>
      <c r="D318" s="5">
        <v>0</v>
      </c>
      <c r="E318" s="5">
        <v>0</v>
      </c>
      <c r="F318" s="5">
        <v>39</v>
      </c>
      <c r="G318" s="5">
        <v>0.19</v>
      </c>
      <c r="H318" s="5">
        <v>51</v>
      </c>
      <c r="I318" s="5">
        <v>0</v>
      </c>
    </row>
    <row r="319" spans="1:9" x14ac:dyDescent="0.25">
      <c r="A319" s="5">
        <v>10</v>
      </c>
      <c r="B319" s="5">
        <v>162</v>
      </c>
      <c r="C319" s="5">
        <v>84</v>
      </c>
      <c r="D319" s="5">
        <v>0</v>
      </c>
      <c r="E319" s="5">
        <v>0</v>
      </c>
      <c r="F319" s="5">
        <v>27.7</v>
      </c>
      <c r="G319" s="5">
        <v>0.182</v>
      </c>
      <c r="H319" s="5">
        <v>54</v>
      </c>
      <c r="I319" s="5">
        <v>0</v>
      </c>
    </row>
    <row r="320" spans="1:9" x14ac:dyDescent="0.25">
      <c r="A320" s="5">
        <v>1</v>
      </c>
      <c r="B320" s="5">
        <v>199</v>
      </c>
      <c r="C320" s="5">
        <v>76</v>
      </c>
      <c r="D320" s="5">
        <v>43</v>
      </c>
      <c r="E320" s="5">
        <v>0</v>
      </c>
      <c r="F320" s="5">
        <v>42.9</v>
      </c>
      <c r="G320" s="5">
        <v>1.3939999999999999</v>
      </c>
      <c r="H320" s="5">
        <v>22</v>
      </c>
      <c r="I320" s="5">
        <v>1</v>
      </c>
    </row>
    <row r="321" spans="1:9" x14ac:dyDescent="0.25">
      <c r="A321" s="5">
        <v>6</v>
      </c>
      <c r="B321" s="5">
        <v>115</v>
      </c>
      <c r="C321" s="5">
        <v>60</v>
      </c>
      <c r="D321" s="5">
        <v>39</v>
      </c>
      <c r="E321" s="5">
        <v>0</v>
      </c>
      <c r="F321" s="5">
        <v>33.700000000000003</v>
      </c>
      <c r="G321" s="5">
        <v>0.245</v>
      </c>
      <c r="H321" s="5">
        <v>40</v>
      </c>
      <c r="I321" s="5">
        <v>1</v>
      </c>
    </row>
    <row r="322" spans="1:9" x14ac:dyDescent="0.25">
      <c r="A322" s="5">
        <v>4</v>
      </c>
      <c r="B322" s="5">
        <v>145</v>
      </c>
      <c r="C322" s="5">
        <v>82</v>
      </c>
      <c r="D322" s="5">
        <v>18</v>
      </c>
      <c r="E322" s="5">
        <v>0</v>
      </c>
      <c r="F322" s="5">
        <v>32.5</v>
      </c>
      <c r="G322" s="5">
        <v>0.23499999999999999</v>
      </c>
      <c r="H322" s="5">
        <v>70</v>
      </c>
      <c r="I322" s="5">
        <v>1</v>
      </c>
    </row>
    <row r="323" spans="1:9" x14ac:dyDescent="0.25">
      <c r="A323" s="5">
        <v>10</v>
      </c>
      <c r="B323" s="5">
        <v>111</v>
      </c>
      <c r="C323" s="5">
        <v>70</v>
      </c>
      <c r="D323" s="5">
        <v>27</v>
      </c>
      <c r="E323" s="5">
        <v>0</v>
      </c>
      <c r="F323" s="5">
        <v>27.5</v>
      </c>
      <c r="G323" s="5">
        <v>0.14099999999999999</v>
      </c>
      <c r="H323" s="5">
        <v>40</v>
      </c>
      <c r="I323" s="5">
        <v>1</v>
      </c>
    </row>
    <row r="324" spans="1:9" x14ac:dyDescent="0.25">
      <c r="A324" s="5">
        <v>1</v>
      </c>
      <c r="B324" s="5">
        <v>99</v>
      </c>
      <c r="C324" s="5">
        <v>58</v>
      </c>
      <c r="D324" s="5">
        <v>10</v>
      </c>
      <c r="E324" s="5">
        <v>0</v>
      </c>
      <c r="F324" s="5">
        <v>25.4</v>
      </c>
      <c r="G324" s="5">
        <v>0.55100000000000005</v>
      </c>
      <c r="H324" s="5">
        <v>21</v>
      </c>
      <c r="I324" s="5">
        <v>0</v>
      </c>
    </row>
    <row r="325" spans="1:9" x14ac:dyDescent="0.25">
      <c r="A325" s="5">
        <v>8</v>
      </c>
      <c r="B325" s="5">
        <v>91</v>
      </c>
      <c r="C325" s="5">
        <v>82</v>
      </c>
      <c r="D325" s="5">
        <v>0</v>
      </c>
      <c r="E325" s="5">
        <v>0</v>
      </c>
      <c r="F325" s="5">
        <v>35.6</v>
      </c>
      <c r="G325" s="5">
        <v>0.58699999999999997</v>
      </c>
      <c r="H325" s="5">
        <v>68</v>
      </c>
      <c r="I325" s="5">
        <v>0</v>
      </c>
    </row>
    <row r="326" spans="1:9" x14ac:dyDescent="0.25">
      <c r="A326" s="5">
        <v>6</v>
      </c>
      <c r="B326" s="5">
        <v>195</v>
      </c>
      <c r="C326" s="5">
        <v>70</v>
      </c>
      <c r="D326" s="5">
        <v>0</v>
      </c>
      <c r="E326" s="5">
        <v>0</v>
      </c>
      <c r="F326" s="5">
        <v>30.9</v>
      </c>
      <c r="G326" s="5">
        <v>0.32800000000000001</v>
      </c>
      <c r="H326" s="5">
        <v>31</v>
      </c>
      <c r="I326" s="5">
        <v>1</v>
      </c>
    </row>
    <row r="327" spans="1:9" x14ac:dyDescent="0.25">
      <c r="A327" s="5">
        <v>9</v>
      </c>
      <c r="B327" s="5">
        <v>156</v>
      </c>
      <c r="C327" s="5">
        <v>86</v>
      </c>
      <c r="D327" s="5">
        <v>0</v>
      </c>
      <c r="E327" s="5">
        <v>0</v>
      </c>
      <c r="F327" s="5">
        <v>24.8</v>
      </c>
      <c r="G327" s="5">
        <v>0.23</v>
      </c>
      <c r="H327" s="5">
        <v>53</v>
      </c>
      <c r="I327" s="5">
        <v>1</v>
      </c>
    </row>
    <row r="328" spans="1:9" x14ac:dyDescent="0.25">
      <c r="A328" s="5">
        <v>0</v>
      </c>
      <c r="B328" s="5">
        <v>93</v>
      </c>
      <c r="C328" s="5">
        <v>60</v>
      </c>
      <c r="D328" s="5">
        <v>0</v>
      </c>
      <c r="E328" s="5">
        <v>0</v>
      </c>
      <c r="F328" s="5">
        <v>35.299999999999997</v>
      </c>
      <c r="G328" s="5">
        <v>0.26300000000000001</v>
      </c>
      <c r="H328" s="5">
        <v>25</v>
      </c>
      <c r="I328" s="5">
        <v>0</v>
      </c>
    </row>
    <row r="329" spans="1:9" x14ac:dyDescent="0.25">
      <c r="A329" s="5">
        <v>3</v>
      </c>
      <c r="B329" s="5">
        <v>121</v>
      </c>
      <c r="C329" s="5">
        <v>52</v>
      </c>
      <c r="D329" s="5">
        <v>0</v>
      </c>
      <c r="E329" s="5">
        <v>0</v>
      </c>
      <c r="F329" s="5">
        <v>36</v>
      </c>
      <c r="G329" s="5">
        <v>0.127</v>
      </c>
      <c r="H329" s="5">
        <v>25</v>
      </c>
      <c r="I329" s="5">
        <v>1</v>
      </c>
    </row>
    <row r="330" spans="1:9" x14ac:dyDescent="0.25">
      <c r="A330" s="5">
        <v>0</v>
      </c>
      <c r="B330" s="5">
        <v>162</v>
      </c>
      <c r="C330" s="5">
        <v>76</v>
      </c>
      <c r="D330" s="5">
        <v>36</v>
      </c>
      <c r="E330" s="5">
        <v>0</v>
      </c>
      <c r="F330" s="5">
        <v>49.6</v>
      </c>
      <c r="G330" s="5">
        <v>0.36399999999999999</v>
      </c>
      <c r="H330" s="5">
        <v>26</v>
      </c>
      <c r="I330" s="5">
        <v>1</v>
      </c>
    </row>
    <row r="331" spans="1:9" x14ac:dyDescent="0.25">
      <c r="A331" s="5">
        <v>4</v>
      </c>
      <c r="B331" s="5">
        <v>125</v>
      </c>
      <c r="C331" s="5">
        <v>80</v>
      </c>
      <c r="D331" s="5">
        <v>0</v>
      </c>
      <c r="E331" s="5">
        <v>0</v>
      </c>
      <c r="F331" s="5">
        <v>32.299999999999997</v>
      </c>
      <c r="G331" s="5">
        <v>0.53600000000000003</v>
      </c>
      <c r="H331" s="5">
        <v>27</v>
      </c>
      <c r="I331" s="5">
        <v>1</v>
      </c>
    </row>
    <row r="332" spans="1:9" x14ac:dyDescent="0.25">
      <c r="A332" s="5">
        <v>5</v>
      </c>
      <c r="B332" s="5">
        <v>136</v>
      </c>
      <c r="C332" s="5">
        <v>82</v>
      </c>
      <c r="D332" s="5">
        <v>0</v>
      </c>
      <c r="E332" s="5">
        <v>0</v>
      </c>
      <c r="F332" s="5">
        <v>0</v>
      </c>
      <c r="G332" s="5">
        <v>0.64</v>
      </c>
      <c r="H332" s="5">
        <v>69</v>
      </c>
      <c r="I332" s="5">
        <v>0</v>
      </c>
    </row>
    <row r="333" spans="1:9" x14ac:dyDescent="0.25">
      <c r="A333" s="5">
        <v>3</v>
      </c>
      <c r="B333" s="5">
        <v>130</v>
      </c>
      <c r="C333" s="5">
        <v>64</v>
      </c>
      <c r="D333" s="5">
        <v>0</v>
      </c>
      <c r="E333" s="5">
        <v>0</v>
      </c>
      <c r="F333" s="5">
        <v>23.1</v>
      </c>
      <c r="G333" s="5">
        <v>0.314</v>
      </c>
      <c r="H333" s="5">
        <v>22</v>
      </c>
      <c r="I333" s="5">
        <v>0</v>
      </c>
    </row>
    <row r="334" spans="1:9" x14ac:dyDescent="0.25">
      <c r="A334" s="5">
        <v>1</v>
      </c>
      <c r="B334" s="5">
        <v>107</v>
      </c>
      <c r="C334" s="5">
        <v>50</v>
      </c>
      <c r="D334" s="5">
        <v>19</v>
      </c>
      <c r="E334" s="5">
        <v>0</v>
      </c>
      <c r="F334" s="5">
        <v>28.3</v>
      </c>
      <c r="G334" s="5">
        <v>0.18099999999999999</v>
      </c>
      <c r="H334" s="5">
        <v>29</v>
      </c>
      <c r="I334" s="5">
        <v>0</v>
      </c>
    </row>
    <row r="335" spans="1:9" x14ac:dyDescent="0.25">
      <c r="A335" s="5">
        <v>8</v>
      </c>
      <c r="B335" s="5">
        <v>107</v>
      </c>
      <c r="C335" s="5">
        <v>80</v>
      </c>
      <c r="D335" s="5">
        <v>0</v>
      </c>
      <c r="E335" s="5">
        <v>0</v>
      </c>
      <c r="F335" s="5">
        <v>24.6</v>
      </c>
      <c r="G335" s="5">
        <v>0.85599999999999998</v>
      </c>
      <c r="H335" s="5">
        <v>34</v>
      </c>
      <c r="I335" s="5">
        <v>0</v>
      </c>
    </row>
    <row r="336" spans="1:9" x14ac:dyDescent="0.25">
      <c r="A336" s="5">
        <v>13</v>
      </c>
      <c r="B336" s="5">
        <v>158</v>
      </c>
      <c r="C336" s="5">
        <v>114</v>
      </c>
      <c r="D336" s="5">
        <v>0</v>
      </c>
      <c r="E336" s="5">
        <v>0</v>
      </c>
      <c r="F336" s="5">
        <v>42.3</v>
      </c>
      <c r="G336" s="5">
        <v>0.25700000000000001</v>
      </c>
      <c r="H336" s="5">
        <v>44</v>
      </c>
      <c r="I336" s="5">
        <v>1</v>
      </c>
    </row>
    <row r="337" spans="1:9" x14ac:dyDescent="0.25">
      <c r="A337" s="5">
        <v>2</v>
      </c>
      <c r="B337" s="5">
        <v>90</v>
      </c>
      <c r="C337" s="5">
        <v>60</v>
      </c>
      <c r="D337" s="5">
        <v>0</v>
      </c>
      <c r="E337" s="5">
        <v>0</v>
      </c>
      <c r="F337" s="5">
        <v>23.5</v>
      </c>
      <c r="G337" s="5">
        <v>0.191</v>
      </c>
      <c r="H337" s="5">
        <v>25</v>
      </c>
      <c r="I337" s="5">
        <v>0</v>
      </c>
    </row>
    <row r="338" spans="1:9" x14ac:dyDescent="0.25">
      <c r="A338" s="5">
        <v>0</v>
      </c>
      <c r="B338" s="5">
        <v>99</v>
      </c>
      <c r="C338" s="5">
        <v>0</v>
      </c>
      <c r="D338" s="5">
        <v>0</v>
      </c>
      <c r="E338" s="5">
        <v>0</v>
      </c>
      <c r="F338" s="5">
        <v>25</v>
      </c>
      <c r="G338" s="5">
        <v>0.253</v>
      </c>
      <c r="H338" s="5">
        <v>22</v>
      </c>
      <c r="I338" s="5">
        <v>0</v>
      </c>
    </row>
    <row r="339" spans="1:9" x14ac:dyDescent="0.25">
      <c r="A339" s="5">
        <v>4</v>
      </c>
      <c r="B339" s="5">
        <v>118</v>
      </c>
      <c r="C339" s="5">
        <v>70</v>
      </c>
      <c r="D339" s="5">
        <v>0</v>
      </c>
      <c r="E339" s="5">
        <v>0</v>
      </c>
      <c r="F339" s="5">
        <v>44.5</v>
      </c>
      <c r="G339" s="5">
        <v>0.90400000000000003</v>
      </c>
      <c r="H339" s="5">
        <v>26</v>
      </c>
      <c r="I339" s="5">
        <v>0</v>
      </c>
    </row>
    <row r="340" spans="1:9" x14ac:dyDescent="0.25">
      <c r="A340" s="5">
        <v>6</v>
      </c>
      <c r="B340" s="5">
        <v>125</v>
      </c>
      <c r="C340" s="5">
        <v>78</v>
      </c>
      <c r="D340" s="5">
        <v>31</v>
      </c>
      <c r="E340" s="5">
        <v>0</v>
      </c>
      <c r="F340" s="5">
        <v>27.6</v>
      </c>
      <c r="G340" s="5">
        <v>0.56499999999999995</v>
      </c>
      <c r="H340" s="5">
        <v>49</v>
      </c>
      <c r="I340" s="5">
        <v>1</v>
      </c>
    </row>
    <row r="341" spans="1:9" x14ac:dyDescent="0.25">
      <c r="A341" s="5">
        <v>1</v>
      </c>
      <c r="B341" s="5">
        <v>168</v>
      </c>
      <c r="C341" s="5">
        <v>88</v>
      </c>
      <c r="D341" s="5">
        <v>29</v>
      </c>
      <c r="E341" s="5">
        <v>0</v>
      </c>
      <c r="F341" s="5">
        <v>35</v>
      </c>
      <c r="G341" s="5">
        <v>0.90500000000000003</v>
      </c>
      <c r="H341" s="5">
        <v>52</v>
      </c>
      <c r="I341" s="5">
        <v>1</v>
      </c>
    </row>
    <row r="342" spans="1:9" x14ac:dyDescent="0.25">
      <c r="A342" s="5">
        <v>2</v>
      </c>
      <c r="B342" s="5">
        <v>129</v>
      </c>
      <c r="C342" s="5">
        <v>0</v>
      </c>
      <c r="D342" s="5">
        <v>0</v>
      </c>
      <c r="E342" s="5">
        <v>0</v>
      </c>
      <c r="F342" s="5">
        <v>38.5</v>
      </c>
      <c r="G342" s="5">
        <v>0.30399999999999999</v>
      </c>
      <c r="H342" s="5">
        <v>41</v>
      </c>
      <c r="I342" s="5">
        <v>0</v>
      </c>
    </row>
    <row r="343" spans="1:9" x14ac:dyDescent="0.25">
      <c r="A343" s="5">
        <v>6</v>
      </c>
      <c r="B343" s="5">
        <v>80</v>
      </c>
      <c r="C343" s="5">
        <v>80</v>
      </c>
      <c r="D343" s="5">
        <v>36</v>
      </c>
      <c r="E343" s="5">
        <v>0</v>
      </c>
      <c r="F343" s="5">
        <v>39.799999999999997</v>
      </c>
      <c r="G343" s="5">
        <v>0.17699999999999999</v>
      </c>
      <c r="H343" s="5">
        <v>28</v>
      </c>
      <c r="I343" s="5">
        <v>0</v>
      </c>
    </row>
    <row r="344" spans="1:9" x14ac:dyDescent="0.25">
      <c r="A344" s="5">
        <v>10</v>
      </c>
      <c r="B344" s="5">
        <v>115</v>
      </c>
      <c r="C344" s="5">
        <v>0</v>
      </c>
      <c r="D344" s="5">
        <v>0</v>
      </c>
      <c r="E344" s="5">
        <v>0</v>
      </c>
      <c r="F344" s="5">
        <v>0</v>
      </c>
      <c r="G344" s="5">
        <v>0.26100000000000001</v>
      </c>
      <c r="H344" s="5">
        <v>30</v>
      </c>
      <c r="I344" s="5">
        <v>1</v>
      </c>
    </row>
    <row r="345" spans="1:9" x14ac:dyDescent="0.25">
      <c r="A345" s="5">
        <v>9</v>
      </c>
      <c r="B345" s="5">
        <v>164</v>
      </c>
      <c r="C345" s="5">
        <v>78</v>
      </c>
      <c r="D345" s="5">
        <v>0</v>
      </c>
      <c r="E345" s="5">
        <v>0</v>
      </c>
      <c r="F345" s="5">
        <v>32.799999999999997</v>
      </c>
      <c r="G345" s="5">
        <v>0.14799999999999999</v>
      </c>
      <c r="H345" s="5">
        <v>45</v>
      </c>
      <c r="I345" s="5">
        <v>1</v>
      </c>
    </row>
    <row r="346" spans="1:9" x14ac:dyDescent="0.25">
      <c r="A346" s="5">
        <v>10</v>
      </c>
      <c r="B346" s="5">
        <v>129</v>
      </c>
      <c r="C346" s="5">
        <v>62</v>
      </c>
      <c r="D346" s="5">
        <v>36</v>
      </c>
      <c r="E346" s="5">
        <v>0</v>
      </c>
      <c r="F346" s="5">
        <v>41.2</v>
      </c>
      <c r="G346" s="5">
        <v>0.441</v>
      </c>
      <c r="H346" s="5">
        <v>38</v>
      </c>
      <c r="I346" s="5">
        <v>1</v>
      </c>
    </row>
    <row r="347" spans="1:9" x14ac:dyDescent="0.25">
      <c r="A347" s="5">
        <v>3</v>
      </c>
      <c r="B347" s="5">
        <v>102</v>
      </c>
      <c r="C347" s="5">
        <v>74</v>
      </c>
      <c r="D347" s="5">
        <v>0</v>
      </c>
      <c r="E347" s="5">
        <v>0</v>
      </c>
      <c r="F347" s="5">
        <v>29.5</v>
      </c>
      <c r="G347" s="5">
        <v>0.121</v>
      </c>
      <c r="H347" s="5">
        <v>32</v>
      </c>
      <c r="I347" s="5">
        <v>0</v>
      </c>
    </row>
    <row r="348" spans="1:9" x14ac:dyDescent="0.25">
      <c r="A348" s="5">
        <v>10</v>
      </c>
      <c r="B348" s="5">
        <v>94</v>
      </c>
      <c r="C348" s="5">
        <v>72</v>
      </c>
      <c r="D348" s="5">
        <v>18</v>
      </c>
      <c r="E348" s="5">
        <v>0</v>
      </c>
      <c r="F348" s="5">
        <v>23.1</v>
      </c>
      <c r="G348" s="5">
        <v>0.59499999999999997</v>
      </c>
      <c r="H348" s="5">
        <v>56</v>
      </c>
      <c r="I348" s="5">
        <v>0</v>
      </c>
    </row>
    <row r="349" spans="1:9" x14ac:dyDescent="0.25">
      <c r="A349" s="5">
        <v>5</v>
      </c>
      <c r="B349" s="5">
        <v>97</v>
      </c>
      <c r="C349" s="5">
        <v>76</v>
      </c>
      <c r="D349" s="5">
        <v>27</v>
      </c>
      <c r="E349" s="5">
        <v>0</v>
      </c>
      <c r="F349" s="5">
        <v>35.6</v>
      </c>
      <c r="G349" s="5">
        <v>0.378</v>
      </c>
      <c r="H349" s="5">
        <v>52</v>
      </c>
      <c r="I349" s="5">
        <v>1</v>
      </c>
    </row>
    <row r="350" spans="1:9" x14ac:dyDescent="0.25">
      <c r="A350" s="5">
        <v>4</v>
      </c>
      <c r="B350" s="5">
        <v>83</v>
      </c>
      <c r="C350" s="5">
        <v>86</v>
      </c>
      <c r="D350" s="5">
        <v>19</v>
      </c>
      <c r="E350" s="5">
        <v>0</v>
      </c>
      <c r="F350" s="5">
        <v>29.3</v>
      </c>
      <c r="G350" s="5">
        <v>0.317</v>
      </c>
      <c r="H350" s="5">
        <v>34</v>
      </c>
      <c r="I350" s="5">
        <v>0</v>
      </c>
    </row>
    <row r="351" spans="1:9" x14ac:dyDescent="0.25">
      <c r="A351" s="5">
        <v>1</v>
      </c>
      <c r="B351" s="5">
        <v>111</v>
      </c>
      <c r="C351" s="5">
        <v>94</v>
      </c>
      <c r="D351" s="5">
        <v>0</v>
      </c>
      <c r="E351" s="5">
        <v>0</v>
      </c>
      <c r="F351" s="5">
        <v>32.799999999999997</v>
      </c>
      <c r="G351" s="5">
        <v>0.26500000000000001</v>
      </c>
      <c r="H351" s="5">
        <v>45</v>
      </c>
      <c r="I351" s="5">
        <v>0</v>
      </c>
    </row>
    <row r="352" spans="1:9" x14ac:dyDescent="0.25">
      <c r="A352" s="5">
        <v>4</v>
      </c>
      <c r="B352" s="5">
        <v>112</v>
      </c>
      <c r="C352" s="5">
        <v>78</v>
      </c>
      <c r="D352" s="5">
        <v>40</v>
      </c>
      <c r="E352" s="5">
        <v>0</v>
      </c>
      <c r="F352" s="5">
        <v>39.4</v>
      </c>
      <c r="G352" s="5">
        <v>0.23599999999999999</v>
      </c>
      <c r="H352" s="5">
        <v>38</v>
      </c>
      <c r="I352" s="5">
        <v>0</v>
      </c>
    </row>
    <row r="353" spans="1:9" x14ac:dyDescent="0.25">
      <c r="A353" s="5">
        <v>0</v>
      </c>
      <c r="B353" s="5">
        <v>141</v>
      </c>
      <c r="C353" s="5">
        <v>84</v>
      </c>
      <c r="D353" s="5">
        <v>26</v>
      </c>
      <c r="E353" s="5">
        <v>0</v>
      </c>
      <c r="F353" s="5">
        <v>32.4</v>
      </c>
      <c r="G353" s="5">
        <v>0.433</v>
      </c>
      <c r="H353" s="5">
        <v>22</v>
      </c>
      <c r="I353" s="5">
        <v>0</v>
      </c>
    </row>
    <row r="354" spans="1:9" x14ac:dyDescent="0.25">
      <c r="A354" s="5">
        <v>2</v>
      </c>
      <c r="B354" s="5">
        <v>175</v>
      </c>
      <c r="C354" s="5">
        <v>88</v>
      </c>
      <c r="D354" s="5">
        <v>0</v>
      </c>
      <c r="E354" s="5">
        <v>0</v>
      </c>
      <c r="F354" s="5">
        <v>22.9</v>
      </c>
      <c r="G354" s="5">
        <v>0.32600000000000001</v>
      </c>
      <c r="H354" s="5">
        <v>22</v>
      </c>
      <c r="I354" s="5">
        <v>0</v>
      </c>
    </row>
    <row r="355" spans="1:9" x14ac:dyDescent="0.25">
      <c r="A355" s="5">
        <v>2</v>
      </c>
      <c r="B355" s="5">
        <v>92</v>
      </c>
      <c r="C355" s="5">
        <v>52</v>
      </c>
      <c r="D355" s="5">
        <v>0</v>
      </c>
      <c r="E355" s="5">
        <v>0</v>
      </c>
      <c r="F355" s="5">
        <v>30.1</v>
      </c>
      <c r="G355" s="5">
        <v>0.14099999999999999</v>
      </c>
      <c r="H355" s="5">
        <v>22</v>
      </c>
      <c r="I355" s="5">
        <v>0</v>
      </c>
    </row>
    <row r="356" spans="1:9" x14ac:dyDescent="0.25">
      <c r="A356" s="5">
        <v>8</v>
      </c>
      <c r="B356" s="5">
        <v>120</v>
      </c>
      <c r="C356" s="5">
        <v>86</v>
      </c>
      <c r="D356" s="5">
        <v>0</v>
      </c>
      <c r="E356" s="5">
        <v>0</v>
      </c>
      <c r="F356" s="5">
        <v>28.4</v>
      </c>
      <c r="G356" s="5">
        <v>0.25900000000000001</v>
      </c>
      <c r="H356" s="5">
        <v>22</v>
      </c>
      <c r="I356" s="5">
        <v>1</v>
      </c>
    </row>
    <row r="357" spans="1:9" x14ac:dyDescent="0.25">
      <c r="A357" s="5">
        <v>2</v>
      </c>
      <c r="B357" s="5">
        <v>105</v>
      </c>
      <c r="C357" s="5">
        <v>75</v>
      </c>
      <c r="D357" s="5">
        <v>0</v>
      </c>
      <c r="E357" s="5">
        <v>0</v>
      </c>
      <c r="F357" s="5">
        <v>23.3</v>
      </c>
      <c r="G357" s="5">
        <v>0.56000000000000005</v>
      </c>
      <c r="H357" s="5">
        <v>53</v>
      </c>
      <c r="I357" s="5">
        <v>0</v>
      </c>
    </row>
    <row r="358" spans="1:9" x14ac:dyDescent="0.25">
      <c r="A358" s="5">
        <v>4</v>
      </c>
      <c r="B358" s="5">
        <v>95</v>
      </c>
      <c r="C358" s="5">
        <v>60</v>
      </c>
      <c r="D358" s="5">
        <v>32</v>
      </c>
      <c r="E358" s="5">
        <v>0</v>
      </c>
      <c r="F358" s="5">
        <v>35.4</v>
      </c>
      <c r="G358" s="5">
        <v>0.28399999999999997</v>
      </c>
      <c r="H358" s="5">
        <v>28</v>
      </c>
      <c r="I358" s="5">
        <v>0</v>
      </c>
    </row>
    <row r="359" spans="1:9" x14ac:dyDescent="0.25">
      <c r="A359" s="5">
        <v>8</v>
      </c>
      <c r="B359" s="5">
        <v>65</v>
      </c>
      <c r="C359" s="5">
        <v>72</v>
      </c>
      <c r="D359" s="5">
        <v>23</v>
      </c>
      <c r="E359" s="5">
        <v>0</v>
      </c>
      <c r="F359" s="5">
        <v>32</v>
      </c>
      <c r="G359" s="5">
        <v>0.6</v>
      </c>
      <c r="H359" s="5">
        <v>42</v>
      </c>
      <c r="I359" s="5">
        <v>0</v>
      </c>
    </row>
    <row r="360" spans="1:9" x14ac:dyDescent="0.25">
      <c r="A360" s="5">
        <v>1</v>
      </c>
      <c r="B360" s="5">
        <v>102</v>
      </c>
      <c r="C360" s="5">
        <v>74</v>
      </c>
      <c r="D360" s="5">
        <v>0</v>
      </c>
      <c r="E360" s="5">
        <v>0</v>
      </c>
      <c r="F360" s="5">
        <v>39.5</v>
      </c>
      <c r="G360" s="5">
        <v>0.29299999999999998</v>
      </c>
      <c r="H360" s="5">
        <v>42</v>
      </c>
      <c r="I360" s="5">
        <v>1</v>
      </c>
    </row>
    <row r="361" spans="1:9" x14ac:dyDescent="0.25">
      <c r="A361" s="5">
        <v>9</v>
      </c>
      <c r="B361" s="5">
        <v>140</v>
      </c>
      <c r="C361" s="5">
        <v>94</v>
      </c>
      <c r="D361" s="5">
        <v>0</v>
      </c>
      <c r="E361" s="5">
        <v>0</v>
      </c>
      <c r="F361" s="5">
        <v>32.700000000000003</v>
      </c>
      <c r="G361" s="5">
        <v>0.73399999999999999</v>
      </c>
      <c r="H361" s="5">
        <v>45</v>
      </c>
      <c r="I361" s="5">
        <v>1</v>
      </c>
    </row>
    <row r="362" spans="1:9" x14ac:dyDescent="0.25">
      <c r="A362" s="5">
        <v>1</v>
      </c>
      <c r="B362" s="5">
        <v>147</v>
      </c>
      <c r="C362" s="5">
        <v>94</v>
      </c>
      <c r="D362" s="5">
        <v>41</v>
      </c>
      <c r="E362" s="5">
        <v>0</v>
      </c>
      <c r="F362" s="5">
        <v>49.3</v>
      </c>
      <c r="G362" s="5">
        <v>0.35799999999999998</v>
      </c>
      <c r="H362" s="5">
        <v>27</v>
      </c>
      <c r="I362" s="5">
        <v>1</v>
      </c>
    </row>
    <row r="363" spans="1:9" x14ac:dyDescent="0.25">
      <c r="A363" s="5">
        <v>6</v>
      </c>
      <c r="B363" s="5">
        <v>162</v>
      </c>
      <c r="C363" s="5">
        <v>62</v>
      </c>
      <c r="D363" s="5">
        <v>0</v>
      </c>
      <c r="E363" s="5">
        <v>0</v>
      </c>
      <c r="F363" s="5">
        <v>24.3</v>
      </c>
      <c r="G363" s="5">
        <v>0.17799999999999999</v>
      </c>
      <c r="H363" s="5">
        <v>50</v>
      </c>
      <c r="I363" s="5">
        <v>1</v>
      </c>
    </row>
    <row r="364" spans="1:9" x14ac:dyDescent="0.25">
      <c r="A364" s="5">
        <v>4</v>
      </c>
      <c r="B364" s="5">
        <v>136</v>
      </c>
      <c r="C364" s="5">
        <v>70</v>
      </c>
      <c r="D364" s="5">
        <v>0</v>
      </c>
      <c r="E364" s="5">
        <v>0</v>
      </c>
      <c r="F364" s="5">
        <v>31.2</v>
      </c>
      <c r="G364" s="5">
        <v>1.1819999999999999</v>
      </c>
      <c r="H364" s="5">
        <v>22</v>
      </c>
      <c r="I364" s="5">
        <v>1</v>
      </c>
    </row>
    <row r="365" spans="1:9" x14ac:dyDescent="0.25">
      <c r="A365" s="5">
        <v>3</v>
      </c>
      <c r="B365" s="5">
        <v>108</v>
      </c>
      <c r="C365" s="5">
        <v>62</v>
      </c>
      <c r="D365" s="5">
        <v>24</v>
      </c>
      <c r="E365" s="5">
        <v>0</v>
      </c>
      <c r="F365" s="5">
        <v>26</v>
      </c>
      <c r="G365" s="5">
        <v>0.223</v>
      </c>
      <c r="H365" s="5">
        <v>25</v>
      </c>
      <c r="I365" s="5">
        <v>0</v>
      </c>
    </row>
    <row r="366" spans="1:9" x14ac:dyDescent="0.25">
      <c r="A366" s="5">
        <v>8</v>
      </c>
      <c r="B366" s="5">
        <v>154</v>
      </c>
      <c r="C366" s="5">
        <v>78</v>
      </c>
      <c r="D366" s="5">
        <v>32</v>
      </c>
      <c r="E366" s="5">
        <v>0</v>
      </c>
      <c r="F366" s="5">
        <v>32.4</v>
      </c>
      <c r="G366" s="5">
        <v>0.443</v>
      </c>
      <c r="H366" s="5">
        <v>45</v>
      </c>
      <c r="I366" s="5">
        <v>1</v>
      </c>
    </row>
    <row r="367" spans="1:9" x14ac:dyDescent="0.25">
      <c r="A367" s="5">
        <v>7</v>
      </c>
      <c r="B367" s="5">
        <v>137</v>
      </c>
      <c r="C367" s="5">
        <v>90</v>
      </c>
      <c r="D367" s="5">
        <v>41</v>
      </c>
      <c r="E367" s="5">
        <v>0</v>
      </c>
      <c r="F367" s="5">
        <v>32</v>
      </c>
      <c r="G367" s="5">
        <v>0.39100000000000001</v>
      </c>
      <c r="H367" s="5">
        <v>39</v>
      </c>
      <c r="I367" s="5">
        <v>0</v>
      </c>
    </row>
    <row r="368" spans="1:9" x14ac:dyDescent="0.25">
      <c r="A368" s="5">
        <v>0</v>
      </c>
      <c r="B368" s="5">
        <v>123</v>
      </c>
      <c r="C368" s="5">
        <v>72</v>
      </c>
      <c r="D368" s="5">
        <v>0</v>
      </c>
      <c r="E368" s="5">
        <v>0</v>
      </c>
      <c r="F368" s="5">
        <v>36.299999999999997</v>
      </c>
      <c r="G368" s="5">
        <v>0.25800000000000001</v>
      </c>
      <c r="H368" s="5">
        <v>52</v>
      </c>
      <c r="I368" s="5">
        <v>1</v>
      </c>
    </row>
    <row r="369" spans="1:9" x14ac:dyDescent="0.25">
      <c r="A369" s="5">
        <v>1</v>
      </c>
      <c r="B369" s="5">
        <v>106</v>
      </c>
      <c r="C369" s="5">
        <v>76</v>
      </c>
      <c r="D369" s="5">
        <v>0</v>
      </c>
      <c r="E369" s="5">
        <v>0</v>
      </c>
      <c r="F369" s="5">
        <v>37.5</v>
      </c>
      <c r="G369" s="5">
        <v>0.19700000000000001</v>
      </c>
      <c r="H369" s="5">
        <v>26</v>
      </c>
      <c r="I369" s="5">
        <v>0</v>
      </c>
    </row>
    <row r="370" spans="1:9" x14ac:dyDescent="0.25">
      <c r="A370" s="5">
        <v>6</v>
      </c>
      <c r="B370" s="5">
        <v>190</v>
      </c>
      <c r="C370" s="5">
        <v>92</v>
      </c>
      <c r="D370" s="5">
        <v>0</v>
      </c>
      <c r="E370" s="5">
        <v>0</v>
      </c>
      <c r="F370" s="5">
        <v>35.5</v>
      </c>
      <c r="G370" s="5">
        <v>0.27800000000000002</v>
      </c>
      <c r="H370" s="5">
        <v>66</v>
      </c>
      <c r="I370" s="5">
        <v>1</v>
      </c>
    </row>
    <row r="371" spans="1:9" x14ac:dyDescent="0.25">
      <c r="A371" s="5">
        <v>9</v>
      </c>
      <c r="B371" s="5">
        <v>170</v>
      </c>
      <c r="C371" s="5">
        <v>74</v>
      </c>
      <c r="D371" s="5">
        <v>31</v>
      </c>
      <c r="E371" s="5">
        <v>0</v>
      </c>
      <c r="F371" s="5">
        <v>44</v>
      </c>
      <c r="G371" s="5">
        <v>0.40300000000000002</v>
      </c>
      <c r="H371" s="5">
        <v>43</v>
      </c>
      <c r="I371" s="5">
        <v>1</v>
      </c>
    </row>
    <row r="372" spans="1:9" x14ac:dyDescent="0.25">
      <c r="A372" s="5">
        <v>9</v>
      </c>
      <c r="B372" s="5">
        <v>89</v>
      </c>
      <c r="C372" s="5">
        <v>62</v>
      </c>
      <c r="D372" s="5">
        <v>0</v>
      </c>
      <c r="E372" s="5">
        <v>0</v>
      </c>
      <c r="F372" s="5">
        <v>22.5</v>
      </c>
      <c r="G372" s="5">
        <v>0.14199999999999999</v>
      </c>
      <c r="H372" s="5">
        <v>33</v>
      </c>
      <c r="I372" s="5">
        <v>0</v>
      </c>
    </row>
    <row r="373" spans="1:9" x14ac:dyDescent="0.25">
      <c r="A373" s="5">
        <v>2</v>
      </c>
      <c r="B373" s="5">
        <v>122</v>
      </c>
      <c r="C373" s="5">
        <v>70</v>
      </c>
      <c r="D373" s="5">
        <v>27</v>
      </c>
      <c r="E373" s="5">
        <v>0</v>
      </c>
      <c r="F373" s="5">
        <v>36.799999999999997</v>
      </c>
      <c r="G373" s="5">
        <v>0.34</v>
      </c>
      <c r="H373" s="5">
        <v>27</v>
      </c>
      <c r="I373" s="5">
        <v>0</v>
      </c>
    </row>
    <row r="374" spans="1:9" x14ac:dyDescent="0.25">
      <c r="A374" s="5">
        <v>1</v>
      </c>
      <c r="B374" s="5">
        <v>126</v>
      </c>
      <c r="C374" s="5">
        <v>60</v>
      </c>
      <c r="D374" s="5">
        <v>0</v>
      </c>
      <c r="E374" s="5">
        <v>0</v>
      </c>
      <c r="F374" s="5">
        <v>30.1</v>
      </c>
      <c r="G374" s="5">
        <v>0.34899999999999998</v>
      </c>
      <c r="H374" s="5">
        <v>47</v>
      </c>
      <c r="I374" s="5">
        <v>1</v>
      </c>
    </row>
    <row r="375" spans="1:9" x14ac:dyDescent="0.25">
      <c r="A375" s="5">
        <v>1</v>
      </c>
      <c r="B375" s="5">
        <v>93</v>
      </c>
      <c r="C375" s="5">
        <v>70</v>
      </c>
      <c r="D375" s="5">
        <v>31</v>
      </c>
      <c r="E375" s="5">
        <v>0</v>
      </c>
      <c r="F375" s="5">
        <v>30.4</v>
      </c>
      <c r="G375" s="5">
        <v>0.315</v>
      </c>
      <c r="H375" s="5">
        <v>23</v>
      </c>
      <c r="I375" s="5">
        <v>0</v>
      </c>
    </row>
    <row r="376" spans="1:9" x14ac:dyDescent="0.25">
      <c r="A376" s="5">
        <v>0</v>
      </c>
      <c r="B376" s="5">
        <v>180</v>
      </c>
      <c r="C376" s="5">
        <v>78</v>
      </c>
      <c r="D376" s="5">
        <v>63</v>
      </c>
      <c r="E376" s="5">
        <v>14</v>
      </c>
      <c r="F376" s="5">
        <v>59.4</v>
      </c>
      <c r="G376" s="5">
        <v>2.42</v>
      </c>
      <c r="H376" s="5">
        <v>25</v>
      </c>
      <c r="I376" s="5">
        <v>1</v>
      </c>
    </row>
    <row r="377" spans="1:9" x14ac:dyDescent="0.25">
      <c r="A377" s="5">
        <v>2</v>
      </c>
      <c r="B377" s="5">
        <v>68</v>
      </c>
      <c r="C377" s="5">
        <v>62</v>
      </c>
      <c r="D377" s="5">
        <v>13</v>
      </c>
      <c r="E377" s="5">
        <v>15</v>
      </c>
      <c r="F377" s="5">
        <v>20.100000000000001</v>
      </c>
      <c r="G377" s="5">
        <v>0.25700000000000001</v>
      </c>
      <c r="H377" s="5">
        <v>23</v>
      </c>
      <c r="I377" s="5">
        <v>0</v>
      </c>
    </row>
    <row r="378" spans="1:9" x14ac:dyDescent="0.25">
      <c r="A378" s="5">
        <v>2</v>
      </c>
      <c r="B378" s="5">
        <v>88</v>
      </c>
      <c r="C378" s="5">
        <v>58</v>
      </c>
      <c r="D378" s="5">
        <v>26</v>
      </c>
      <c r="E378" s="5">
        <v>16</v>
      </c>
      <c r="F378" s="5">
        <v>28.4</v>
      </c>
      <c r="G378" s="5">
        <v>0.76600000000000001</v>
      </c>
      <c r="H378" s="5">
        <v>22</v>
      </c>
      <c r="I378" s="5">
        <v>0</v>
      </c>
    </row>
    <row r="379" spans="1:9" x14ac:dyDescent="0.25">
      <c r="A379" s="5">
        <v>3</v>
      </c>
      <c r="B379" s="5">
        <v>83</v>
      </c>
      <c r="C379" s="5">
        <v>58</v>
      </c>
      <c r="D379" s="5">
        <v>31</v>
      </c>
      <c r="E379" s="5">
        <v>18</v>
      </c>
      <c r="F379" s="5">
        <v>34.299999999999997</v>
      </c>
      <c r="G379" s="5">
        <v>0.33600000000000002</v>
      </c>
      <c r="H379" s="5">
        <v>25</v>
      </c>
      <c r="I379" s="5">
        <v>0</v>
      </c>
    </row>
    <row r="380" spans="1:9" x14ac:dyDescent="0.25">
      <c r="A380" s="5">
        <v>1</v>
      </c>
      <c r="B380" s="5">
        <v>99</v>
      </c>
      <c r="C380" s="5">
        <v>72</v>
      </c>
      <c r="D380" s="5">
        <v>30</v>
      </c>
      <c r="E380" s="5">
        <v>18</v>
      </c>
      <c r="F380" s="5">
        <v>38.6</v>
      </c>
      <c r="G380" s="5">
        <v>0.41199999999999998</v>
      </c>
      <c r="H380" s="5">
        <v>21</v>
      </c>
      <c r="I380" s="5">
        <v>0</v>
      </c>
    </row>
    <row r="381" spans="1:9" x14ac:dyDescent="0.25">
      <c r="A381" s="5">
        <v>5</v>
      </c>
      <c r="B381" s="5">
        <v>126</v>
      </c>
      <c r="C381" s="5">
        <v>78</v>
      </c>
      <c r="D381" s="5">
        <v>27</v>
      </c>
      <c r="E381" s="5">
        <v>22</v>
      </c>
      <c r="F381" s="5">
        <v>29.6</v>
      </c>
      <c r="G381" s="5">
        <v>0.439</v>
      </c>
      <c r="H381" s="5">
        <v>40</v>
      </c>
      <c r="I381" s="5">
        <v>0</v>
      </c>
    </row>
    <row r="382" spans="1:9" x14ac:dyDescent="0.25">
      <c r="A382" s="5">
        <v>5</v>
      </c>
      <c r="B382" s="5">
        <v>88</v>
      </c>
      <c r="C382" s="5">
        <v>66</v>
      </c>
      <c r="D382" s="5">
        <v>21</v>
      </c>
      <c r="E382" s="5">
        <v>23</v>
      </c>
      <c r="F382" s="5">
        <v>24.4</v>
      </c>
      <c r="G382" s="5">
        <v>0.34200000000000003</v>
      </c>
      <c r="H382" s="5">
        <v>30</v>
      </c>
      <c r="I382" s="5">
        <v>0</v>
      </c>
    </row>
    <row r="383" spans="1:9" x14ac:dyDescent="0.25">
      <c r="A383" s="5">
        <v>1</v>
      </c>
      <c r="B383" s="5">
        <v>0</v>
      </c>
      <c r="C383" s="5">
        <v>74</v>
      </c>
      <c r="D383" s="5">
        <v>20</v>
      </c>
      <c r="E383" s="5">
        <v>23</v>
      </c>
      <c r="F383" s="5">
        <v>27.7</v>
      </c>
      <c r="G383" s="5">
        <v>0.29899999999999999</v>
      </c>
      <c r="H383" s="5">
        <v>21</v>
      </c>
      <c r="I383" s="5">
        <v>0</v>
      </c>
    </row>
    <row r="384" spans="1:9" x14ac:dyDescent="0.25">
      <c r="A384" s="5">
        <v>1</v>
      </c>
      <c r="B384" s="5">
        <v>89</v>
      </c>
      <c r="C384" s="5">
        <v>24</v>
      </c>
      <c r="D384" s="5">
        <v>19</v>
      </c>
      <c r="E384" s="5">
        <v>25</v>
      </c>
      <c r="F384" s="5">
        <v>27.8</v>
      </c>
      <c r="G384" s="5">
        <v>0.55900000000000005</v>
      </c>
      <c r="H384" s="5">
        <v>21</v>
      </c>
      <c r="I384" s="5">
        <v>0</v>
      </c>
    </row>
    <row r="385" spans="1:9" x14ac:dyDescent="0.25">
      <c r="A385" s="5">
        <v>13</v>
      </c>
      <c r="B385" s="5">
        <v>152</v>
      </c>
      <c r="C385" s="5">
        <v>90</v>
      </c>
      <c r="D385" s="5">
        <v>33</v>
      </c>
      <c r="E385" s="5">
        <v>29</v>
      </c>
      <c r="F385" s="5">
        <v>26.8</v>
      </c>
      <c r="G385" s="5">
        <v>0.73099999999999998</v>
      </c>
      <c r="H385" s="5">
        <v>43</v>
      </c>
      <c r="I385" s="5">
        <v>1</v>
      </c>
    </row>
    <row r="386" spans="1:9" x14ac:dyDescent="0.25">
      <c r="A386" s="5">
        <v>1</v>
      </c>
      <c r="B386" s="5">
        <v>87</v>
      </c>
      <c r="C386" s="5">
        <v>78</v>
      </c>
      <c r="D386" s="5">
        <v>27</v>
      </c>
      <c r="E386" s="5">
        <v>32</v>
      </c>
      <c r="F386" s="5">
        <v>34.6</v>
      </c>
      <c r="G386" s="5">
        <v>0.10100000000000001</v>
      </c>
      <c r="H386" s="5">
        <v>22</v>
      </c>
      <c r="I386" s="5">
        <v>0</v>
      </c>
    </row>
    <row r="387" spans="1:9" x14ac:dyDescent="0.25">
      <c r="A387" s="5">
        <v>1</v>
      </c>
      <c r="B387" s="5">
        <v>101</v>
      </c>
      <c r="C387" s="5">
        <v>50</v>
      </c>
      <c r="D387" s="5">
        <v>15</v>
      </c>
      <c r="E387" s="5">
        <v>36</v>
      </c>
      <c r="F387" s="5">
        <v>24.2</v>
      </c>
      <c r="G387" s="5">
        <v>0.52600000000000002</v>
      </c>
      <c r="H387" s="5">
        <v>26</v>
      </c>
      <c r="I387" s="5">
        <v>0</v>
      </c>
    </row>
    <row r="388" spans="1:9" x14ac:dyDescent="0.25">
      <c r="A388" s="5">
        <v>0</v>
      </c>
      <c r="B388" s="5">
        <v>95</v>
      </c>
      <c r="C388" s="5">
        <v>85</v>
      </c>
      <c r="D388" s="5">
        <v>25</v>
      </c>
      <c r="E388" s="5">
        <v>36</v>
      </c>
      <c r="F388" s="5">
        <v>37.4</v>
      </c>
      <c r="G388" s="5">
        <v>0.247</v>
      </c>
      <c r="H388" s="5">
        <v>24</v>
      </c>
      <c r="I388" s="5">
        <v>1</v>
      </c>
    </row>
    <row r="389" spans="1:9" x14ac:dyDescent="0.25">
      <c r="A389" s="5">
        <v>0</v>
      </c>
      <c r="B389" s="5">
        <v>74</v>
      </c>
      <c r="C389" s="5">
        <v>52</v>
      </c>
      <c r="D389" s="5">
        <v>10</v>
      </c>
      <c r="E389" s="5">
        <v>36</v>
      </c>
      <c r="F389" s="5">
        <v>27.8</v>
      </c>
      <c r="G389" s="5">
        <v>0.26900000000000002</v>
      </c>
      <c r="H389" s="5">
        <v>22</v>
      </c>
      <c r="I389" s="5">
        <v>0</v>
      </c>
    </row>
    <row r="390" spans="1:9" x14ac:dyDescent="0.25">
      <c r="A390" s="5">
        <v>1</v>
      </c>
      <c r="B390" s="5">
        <v>89</v>
      </c>
      <c r="C390" s="5">
        <v>76</v>
      </c>
      <c r="D390" s="5">
        <v>34</v>
      </c>
      <c r="E390" s="5">
        <v>37</v>
      </c>
      <c r="F390" s="5">
        <v>31.2</v>
      </c>
      <c r="G390" s="5">
        <v>0.192</v>
      </c>
      <c r="H390" s="5">
        <v>23</v>
      </c>
      <c r="I390" s="5">
        <v>0</v>
      </c>
    </row>
    <row r="391" spans="1:9" x14ac:dyDescent="0.25">
      <c r="A391" s="5">
        <v>1</v>
      </c>
      <c r="B391" s="5">
        <v>79</v>
      </c>
      <c r="C391" s="5">
        <v>80</v>
      </c>
      <c r="D391" s="5">
        <v>25</v>
      </c>
      <c r="E391" s="5">
        <v>37</v>
      </c>
      <c r="F391" s="5">
        <v>25.4</v>
      </c>
      <c r="G391" s="5">
        <v>0.58299999999999996</v>
      </c>
      <c r="H391" s="5">
        <v>22</v>
      </c>
      <c r="I391" s="5">
        <v>0</v>
      </c>
    </row>
    <row r="392" spans="1:9" x14ac:dyDescent="0.25">
      <c r="A392" s="5">
        <v>1</v>
      </c>
      <c r="B392" s="5">
        <v>95</v>
      </c>
      <c r="C392" s="5">
        <v>66</v>
      </c>
      <c r="D392" s="5">
        <v>13</v>
      </c>
      <c r="E392" s="5">
        <v>38</v>
      </c>
      <c r="F392" s="5">
        <v>19.600000000000001</v>
      </c>
      <c r="G392" s="5">
        <v>0.33400000000000002</v>
      </c>
      <c r="H392" s="5">
        <v>25</v>
      </c>
      <c r="I392" s="5">
        <v>0</v>
      </c>
    </row>
    <row r="393" spans="1:9" x14ac:dyDescent="0.25">
      <c r="A393" s="5">
        <v>1</v>
      </c>
      <c r="B393" s="5">
        <v>81</v>
      </c>
      <c r="C393" s="5">
        <v>72</v>
      </c>
      <c r="D393" s="5">
        <v>18</v>
      </c>
      <c r="E393" s="5">
        <v>40</v>
      </c>
      <c r="F393" s="5">
        <v>26.6</v>
      </c>
      <c r="G393" s="5">
        <v>0.28299999999999997</v>
      </c>
      <c r="H393" s="5">
        <v>24</v>
      </c>
      <c r="I393" s="5">
        <v>0</v>
      </c>
    </row>
    <row r="394" spans="1:9" x14ac:dyDescent="0.25">
      <c r="A394" s="5">
        <v>0</v>
      </c>
      <c r="B394" s="5">
        <v>78</v>
      </c>
      <c r="C394" s="5">
        <v>88</v>
      </c>
      <c r="D394" s="5">
        <v>29</v>
      </c>
      <c r="E394" s="5">
        <v>40</v>
      </c>
      <c r="F394" s="5">
        <v>36.9</v>
      </c>
      <c r="G394" s="5">
        <v>0.434</v>
      </c>
      <c r="H394" s="5">
        <v>21</v>
      </c>
      <c r="I394" s="5">
        <v>0</v>
      </c>
    </row>
    <row r="395" spans="1:9" x14ac:dyDescent="0.25">
      <c r="A395" s="5">
        <v>1</v>
      </c>
      <c r="B395" s="5">
        <v>92</v>
      </c>
      <c r="C395" s="5">
        <v>62</v>
      </c>
      <c r="D395" s="5">
        <v>25</v>
      </c>
      <c r="E395" s="5">
        <v>41</v>
      </c>
      <c r="F395" s="5">
        <v>19.5</v>
      </c>
      <c r="G395" s="5">
        <v>0.48199999999999998</v>
      </c>
      <c r="H395" s="5">
        <v>25</v>
      </c>
      <c r="I395" s="5">
        <v>0</v>
      </c>
    </row>
    <row r="396" spans="1:9" x14ac:dyDescent="0.25">
      <c r="A396" s="5">
        <v>5</v>
      </c>
      <c r="B396" s="5">
        <v>77</v>
      </c>
      <c r="C396" s="5">
        <v>82</v>
      </c>
      <c r="D396" s="5">
        <v>41</v>
      </c>
      <c r="E396" s="5">
        <v>42</v>
      </c>
      <c r="F396" s="5">
        <v>35.799999999999997</v>
      </c>
      <c r="G396" s="5">
        <v>0.156</v>
      </c>
      <c r="H396" s="5">
        <v>35</v>
      </c>
      <c r="I396" s="5">
        <v>0</v>
      </c>
    </row>
    <row r="397" spans="1:9" x14ac:dyDescent="0.25">
      <c r="A397" s="5">
        <v>1</v>
      </c>
      <c r="B397" s="5">
        <v>90</v>
      </c>
      <c r="C397" s="5">
        <v>62</v>
      </c>
      <c r="D397" s="5">
        <v>12</v>
      </c>
      <c r="E397" s="5">
        <v>43</v>
      </c>
      <c r="F397" s="5">
        <v>27.2</v>
      </c>
      <c r="G397" s="5">
        <v>0.57999999999999996</v>
      </c>
      <c r="H397" s="5">
        <v>24</v>
      </c>
      <c r="I397" s="5">
        <v>0</v>
      </c>
    </row>
    <row r="398" spans="1:9" x14ac:dyDescent="0.25">
      <c r="A398" s="5">
        <v>2</v>
      </c>
      <c r="B398" s="5">
        <v>99</v>
      </c>
      <c r="C398" s="5">
        <v>70</v>
      </c>
      <c r="D398" s="5">
        <v>16</v>
      </c>
      <c r="E398" s="5">
        <v>44</v>
      </c>
      <c r="F398" s="5">
        <v>20.399999999999999</v>
      </c>
      <c r="G398" s="5">
        <v>0.23499999999999999</v>
      </c>
      <c r="H398" s="5">
        <v>27</v>
      </c>
      <c r="I398" s="5">
        <v>0</v>
      </c>
    </row>
    <row r="399" spans="1:9" x14ac:dyDescent="0.25">
      <c r="A399" s="5">
        <v>1</v>
      </c>
      <c r="B399" s="5">
        <v>88</v>
      </c>
      <c r="C399" s="5">
        <v>62</v>
      </c>
      <c r="D399" s="5">
        <v>24</v>
      </c>
      <c r="E399" s="5">
        <v>44</v>
      </c>
      <c r="F399" s="5">
        <v>29.9</v>
      </c>
      <c r="G399" s="5">
        <v>0.42199999999999999</v>
      </c>
      <c r="H399" s="5">
        <v>23</v>
      </c>
      <c r="I399" s="5">
        <v>0</v>
      </c>
    </row>
    <row r="400" spans="1:9" x14ac:dyDescent="0.25">
      <c r="A400" s="5">
        <v>3</v>
      </c>
      <c r="B400" s="5">
        <v>111</v>
      </c>
      <c r="C400" s="5">
        <v>58</v>
      </c>
      <c r="D400" s="5">
        <v>31</v>
      </c>
      <c r="E400" s="5">
        <v>44</v>
      </c>
      <c r="F400" s="5">
        <v>29.5</v>
      </c>
      <c r="G400" s="5">
        <v>0.43</v>
      </c>
      <c r="H400" s="5">
        <v>22</v>
      </c>
      <c r="I400" s="5">
        <v>0</v>
      </c>
    </row>
    <row r="401" spans="1:9" x14ac:dyDescent="0.25">
      <c r="A401" s="5">
        <v>3</v>
      </c>
      <c r="B401" s="5">
        <v>74</v>
      </c>
      <c r="C401" s="5">
        <v>68</v>
      </c>
      <c r="D401" s="5">
        <v>28</v>
      </c>
      <c r="E401" s="5">
        <v>45</v>
      </c>
      <c r="F401" s="5">
        <v>29.7</v>
      </c>
      <c r="G401" s="5">
        <v>0.29299999999999998</v>
      </c>
      <c r="H401" s="5">
        <v>23</v>
      </c>
      <c r="I401" s="5">
        <v>0</v>
      </c>
    </row>
    <row r="402" spans="1:9" x14ac:dyDescent="0.25">
      <c r="A402" s="5">
        <v>1</v>
      </c>
      <c r="B402" s="5">
        <v>71</v>
      </c>
      <c r="C402" s="5">
        <v>78</v>
      </c>
      <c r="D402" s="5">
        <v>50</v>
      </c>
      <c r="E402" s="5">
        <v>45</v>
      </c>
      <c r="F402" s="5">
        <v>33.200000000000003</v>
      </c>
      <c r="G402" s="5">
        <v>0.42199999999999999</v>
      </c>
      <c r="H402" s="5">
        <v>21</v>
      </c>
      <c r="I402" s="5">
        <v>0</v>
      </c>
    </row>
    <row r="403" spans="1:9" x14ac:dyDescent="0.25">
      <c r="A403" s="5">
        <v>2</v>
      </c>
      <c r="B403" s="5">
        <v>56</v>
      </c>
      <c r="C403" s="5">
        <v>56</v>
      </c>
      <c r="D403" s="5">
        <v>28</v>
      </c>
      <c r="E403" s="5">
        <v>45</v>
      </c>
      <c r="F403" s="5">
        <v>24.2</v>
      </c>
      <c r="G403" s="5">
        <v>0.33200000000000002</v>
      </c>
      <c r="H403" s="5">
        <v>22</v>
      </c>
      <c r="I403" s="5">
        <v>0</v>
      </c>
    </row>
    <row r="404" spans="1:9" x14ac:dyDescent="0.25">
      <c r="A404" s="5">
        <v>1</v>
      </c>
      <c r="B404" s="5">
        <v>100</v>
      </c>
      <c r="C404" s="5">
        <v>74</v>
      </c>
      <c r="D404" s="5">
        <v>12</v>
      </c>
      <c r="E404" s="5">
        <v>46</v>
      </c>
      <c r="F404" s="5">
        <v>19.5</v>
      </c>
      <c r="G404" s="5">
        <v>0.14899999999999999</v>
      </c>
      <c r="H404" s="5">
        <v>28</v>
      </c>
      <c r="I404" s="5">
        <v>0</v>
      </c>
    </row>
    <row r="405" spans="1:9" x14ac:dyDescent="0.25">
      <c r="A405" s="5">
        <v>7</v>
      </c>
      <c r="B405" s="5">
        <v>81</v>
      </c>
      <c r="C405" s="5">
        <v>78</v>
      </c>
      <c r="D405" s="5">
        <v>40</v>
      </c>
      <c r="E405" s="5">
        <v>48</v>
      </c>
      <c r="F405" s="5">
        <v>46.7</v>
      </c>
      <c r="G405" s="5">
        <v>0.26100000000000001</v>
      </c>
      <c r="H405" s="5">
        <v>42</v>
      </c>
      <c r="I405" s="5">
        <v>0</v>
      </c>
    </row>
    <row r="406" spans="1:9" x14ac:dyDescent="0.25">
      <c r="A406" s="5">
        <v>1</v>
      </c>
      <c r="B406" s="5">
        <v>79</v>
      </c>
      <c r="C406" s="5">
        <v>60</v>
      </c>
      <c r="D406" s="5">
        <v>42</v>
      </c>
      <c r="E406" s="5">
        <v>48</v>
      </c>
      <c r="F406" s="5">
        <v>43.5</v>
      </c>
      <c r="G406" s="5">
        <v>0.67800000000000005</v>
      </c>
      <c r="H406" s="5">
        <v>23</v>
      </c>
      <c r="I406" s="5">
        <v>0</v>
      </c>
    </row>
    <row r="407" spans="1:9" x14ac:dyDescent="0.25">
      <c r="A407" s="5">
        <v>3</v>
      </c>
      <c r="B407" s="5">
        <v>107</v>
      </c>
      <c r="C407" s="5">
        <v>62</v>
      </c>
      <c r="D407" s="5">
        <v>13</v>
      </c>
      <c r="E407" s="5">
        <v>48</v>
      </c>
      <c r="F407" s="5">
        <v>22.9</v>
      </c>
      <c r="G407" s="5">
        <v>0.67800000000000005</v>
      </c>
      <c r="H407" s="5">
        <v>23</v>
      </c>
      <c r="I407" s="5">
        <v>1</v>
      </c>
    </row>
    <row r="408" spans="1:9" x14ac:dyDescent="0.25">
      <c r="A408" s="5">
        <v>2</v>
      </c>
      <c r="B408" s="5">
        <v>96</v>
      </c>
      <c r="C408" s="5">
        <v>68</v>
      </c>
      <c r="D408" s="5">
        <v>13</v>
      </c>
      <c r="E408" s="5">
        <v>49</v>
      </c>
      <c r="F408" s="5">
        <v>21.1</v>
      </c>
      <c r="G408" s="5">
        <v>0.64700000000000002</v>
      </c>
      <c r="H408" s="5">
        <v>26</v>
      </c>
      <c r="I408" s="5">
        <v>0</v>
      </c>
    </row>
    <row r="409" spans="1:9" x14ac:dyDescent="0.25">
      <c r="A409" s="5">
        <v>4</v>
      </c>
      <c r="B409" s="5">
        <v>96</v>
      </c>
      <c r="C409" s="5">
        <v>56</v>
      </c>
      <c r="D409" s="5">
        <v>17</v>
      </c>
      <c r="E409" s="5">
        <v>49</v>
      </c>
      <c r="F409" s="5">
        <v>20.8</v>
      </c>
      <c r="G409" s="5">
        <v>0.34</v>
      </c>
      <c r="H409" s="5">
        <v>26</v>
      </c>
      <c r="I409" s="5">
        <v>0</v>
      </c>
    </row>
    <row r="410" spans="1:9" x14ac:dyDescent="0.25">
      <c r="A410" s="5">
        <v>8</v>
      </c>
      <c r="B410" s="5">
        <v>74</v>
      </c>
      <c r="C410" s="5">
        <v>70</v>
      </c>
      <c r="D410" s="5">
        <v>40</v>
      </c>
      <c r="E410" s="5">
        <v>49</v>
      </c>
      <c r="F410" s="5">
        <v>35.299999999999997</v>
      </c>
      <c r="G410" s="5">
        <v>0.70499999999999996</v>
      </c>
      <c r="H410" s="5">
        <v>39</v>
      </c>
      <c r="I410" s="5">
        <v>0</v>
      </c>
    </row>
    <row r="411" spans="1:9" x14ac:dyDescent="0.25">
      <c r="A411" s="5">
        <v>4</v>
      </c>
      <c r="B411" s="5">
        <v>85</v>
      </c>
      <c r="C411" s="5">
        <v>58</v>
      </c>
      <c r="D411" s="5">
        <v>22</v>
      </c>
      <c r="E411" s="5">
        <v>49</v>
      </c>
      <c r="F411" s="5">
        <v>27.8</v>
      </c>
      <c r="G411" s="5">
        <v>0.30599999999999999</v>
      </c>
      <c r="H411" s="5">
        <v>28</v>
      </c>
      <c r="I411" s="5">
        <v>0</v>
      </c>
    </row>
    <row r="412" spans="1:9" x14ac:dyDescent="0.25">
      <c r="A412" s="5">
        <v>10</v>
      </c>
      <c r="B412" s="5">
        <v>68</v>
      </c>
      <c r="C412" s="5">
        <v>106</v>
      </c>
      <c r="D412" s="5">
        <v>23</v>
      </c>
      <c r="E412" s="5">
        <v>49</v>
      </c>
      <c r="F412" s="5">
        <v>35.5</v>
      </c>
      <c r="G412" s="5">
        <v>0.28499999999999998</v>
      </c>
      <c r="H412" s="5">
        <v>47</v>
      </c>
      <c r="I412" s="5">
        <v>0</v>
      </c>
    </row>
    <row r="413" spans="1:9" x14ac:dyDescent="0.25">
      <c r="A413" s="5">
        <v>0</v>
      </c>
      <c r="B413" s="5">
        <v>100</v>
      </c>
      <c r="C413" s="5">
        <v>70</v>
      </c>
      <c r="D413" s="5">
        <v>26</v>
      </c>
      <c r="E413" s="5">
        <v>50</v>
      </c>
      <c r="F413" s="5">
        <v>30.8</v>
      </c>
      <c r="G413" s="5">
        <v>0.59699999999999998</v>
      </c>
      <c r="H413" s="5">
        <v>21</v>
      </c>
      <c r="I413" s="5">
        <v>0</v>
      </c>
    </row>
    <row r="414" spans="1:9" x14ac:dyDescent="0.25">
      <c r="A414" s="5">
        <v>1</v>
      </c>
      <c r="B414" s="5">
        <v>119</v>
      </c>
      <c r="C414" s="5">
        <v>54</v>
      </c>
      <c r="D414" s="5">
        <v>13</v>
      </c>
      <c r="E414" s="5">
        <v>50</v>
      </c>
      <c r="F414" s="5">
        <v>22.3</v>
      </c>
      <c r="G414" s="5">
        <v>0.20499999999999999</v>
      </c>
      <c r="H414" s="5">
        <v>24</v>
      </c>
      <c r="I414" s="5">
        <v>0</v>
      </c>
    </row>
    <row r="415" spans="1:9" x14ac:dyDescent="0.25">
      <c r="A415" s="5">
        <v>2</v>
      </c>
      <c r="B415" s="5">
        <v>83</v>
      </c>
      <c r="C415" s="5">
        <v>66</v>
      </c>
      <c r="D415" s="5">
        <v>23</v>
      </c>
      <c r="E415" s="5">
        <v>50</v>
      </c>
      <c r="F415" s="5">
        <v>32.200000000000003</v>
      </c>
      <c r="G415" s="5">
        <v>0.497</v>
      </c>
      <c r="H415" s="5">
        <v>22</v>
      </c>
      <c r="I415" s="5">
        <v>0</v>
      </c>
    </row>
    <row r="416" spans="1:9" x14ac:dyDescent="0.25">
      <c r="A416" s="5">
        <v>4</v>
      </c>
      <c r="B416" s="5">
        <v>99</v>
      </c>
      <c r="C416" s="5">
        <v>76</v>
      </c>
      <c r="D416" s="5">
        <v>15</v>
      </c>
      <c r="E416" s="5">
        <v>51</v>
      </c>
      <c r="F416" s="5">
        <v>23.2</v>
      </c>
      <c r="G416" s="5">
        <v>0.223</v>
      </c>
      <c r="H416" s="5">
        <v>21</v>
      </c>
      <c r="I416" s="5">
        <v>0</v>
      </c>
    </row>
    <row r="417" spans="1:9" x14ac:dyDescent="0.25">
      <c r="A417" s="5">
        <v>2</v>
      </c>
      <c r="B417" s="5">
        <v>87</v>
      </c>
      <c r="C417" s="5">
        <v>58</v>
      </c>
      <c r="D417" s="5">
        <v>16</v>
      </c>
      <c r="E417" s="5">
        <v>52</v>
      </c>
      <c r="F417" s="5">
        <v>32.700000000000003</v>
      </c>
      <c r="G417" s="5">
        <v>0.16600000000000001</v>
      </c>
      <c r="H417" s="5">
        <v>25</v>
      </c>
      <c r="I417" s="5">
        <v>0</v>
      </c>
    </row>
    <row r="418" spans="1:9" x14ac:dyDescent="0.25">
      <c r="A418" s="5">
        <v>2</v>
      </c>
      <c r="B418" s="5">
        <v>88</v>
      </c>
      <c r="C418" s="5">
        <v>74</v>
      </c>
      <c r="D418" s="5">
        <v>19</v>
      </c>
      <c r="E418" s="5">
        <v>53</v>
      </c>
      <c r="F418" s="5">
        <v>29</v>
      </c>
      <c r="G418" s="5">
        <v>0.22900000000000001</v>
      </c>
      <c r="H418" s="5">
        <v>22</v>
      </c>
      <c r="I418" s="5">
        <v>0</v>
      </c>
    </row>
    <row r="419" spans="1:9" x14ac:dyDescent="0.25">
      <c r="A419" s="5">
        <v>0</v>
      </c>
      <c r="B419" s="5">
        <v>117</v>
      </c>
      <c r="C419" s="5">
        <v>80</v>
      </c>
      <c r="D419" s="5">
        <v>31</v>
      </c>
      <c r="E419" s="5">
        <v>53</v>
      </c>
      <c r="F419" s="5">
        <v>45.2</v>
      </c>
      <c r="G419" s="5">
        <v>8.8999999999999996E-2</v>
      </c>
      <c r="H419" s="5">
        <v>24</v>
      </c>
      <c r="I419" s="5">
        <v>0</v>
      </c>
    </row>
    <row r="420" spans="1:9" x14ac:dyDescent="0.25">
      <c r="A420" s="5">
        <v>3</v>
      </c>
      <c r="B420" s="5">
        <v>88</v>
      </c>
      <c r="C420" s="5">
        <v>58</v>
      </c>
      <c r="D420" s="5">
        <v>11</v>
      </c>
      <c r="E420" s="5">
        <v>54</v>
      </c>
      <c r="F420" s="5">
        <v>24.8</v>
      </c>
      <c r="G420" s="5">
        <v>0.26700000000000002</v>
      </c>
      <c r="H420" s="5">
        <v>22</v>
      </c>
      <c r="I420" s="5">
        <v>0</v>
      </c>
    </row>
    <row r="421" spans="1:9" x14ac:dyDescent="0.25">
      <c r="A421" s="5">
        <v>12</v>
      </c>
      <c r="B421" s="5">
        <v>88</v>
      </c>
      <c r="C421" s="5">
        <v>74</v>
      </c>
      <c r="D421" s="5">
        <v>40</v>
      </c>
      <c r="E421" s="5">
        <v>54</v>
      </c>
      <c r="F421" s="5">
        <v>35.299999999999997</v>
      </c>
      <c r="G421" s="5">
        <v>0.378</v>
      </c>
      <c r="H421" s="5">
        <v>48</v>
      </c>
      <c r="I421" s="5">
        <v>0</v>
      </c>
    </row>
    <row r="422" spans="1:9" x14ac:dyDescent="0.25">
      <c r="A422" s="5">
        <v>6</v>
      </c>
      <c r="B422" s="5">
        <v>99</v>
      </c>
      <c r="C422" s="5">
        <v>60</v>
      </c>
      <c r="D422" s="5">
        <v>19</v>
      </c>
      <c r="E422" s="5">
        <v>54</v>
      </c>
      <c r="F422" s="5">
        <v>26.9</v>
      </c>
      <c r="G422" s="5">
        <v>0.497</v>
      </c>
      <c r="H422" s="5">
        <v>32</v>
      </c>
      <c r="I422" s="5">
        <v>0</v>
      </c>
    </row>
    <row r="423" spans="1:9" x14ac:dyDescent="0.25">
      <c r="A423" s="5">
        <v>4</v>
      </c>
      <c r="B423" s="5">
        <v>90</v>
      </c>
      <c r="C423" s="5">
        <v>88</v>
      </c>
      <c r="D423" s="5">
        <v>47</v>
      </c>
      <c r="E423" s="5">
        <v>54</v>
      </c>
      <c r="F423" s="5">
        <v>37.700000000000003</v>
      </c>
      <c r="G423" s="5">
        <v>0.36199999999999999</v>
      </c>
      <c r="H423" s="5">
        <v>29</v>
      </c>
      <c r="I423" s="5">
        <v>0</v>
      </c>
    </row>
    <row r="424" spans="1:9" x14ac:dyDescent="0.25">
      <c r="A424" s="5">
        <v>2</v>
      </c>
      <c r="B424" s="5">
        <v>75</v>
      </c>
      <c r="C424" s="5">
        <v>64</v>
      </c>
      <c r="D424" s="5">
        <v>24</v>
      </c>
      <c r="E424" s="5">
        <v>55</v>
      </c>
      <c r="F424" s="5">
        <v>29.7</v>
      </c>
      <c r="G424" s="5">
        <v>0.37</v>
      </c>
      <c r="H424" s="5">
        <v>33</v>
      </c>
      <c r="I424" s="5">
        <v>0</v>
      </c>
    </row>
    <row r="425" spans="1:9" x14ac:dyDescent="0.25">
      <c r="A425" s="5">
        <v>2</v>
      </c>
      <c r="B425" s="5">
        <v>90</v>
      </c>
      <c r="C425" s="5">
        <v>80</v>
      </c>
      <c r="D425" s="5">
        <v>14</v>
      </c>
      <c r="E425" s="5">
        <v>55</v>
      </c>
      <c r="F425" s="5">
        <v>24.4</v>
      </c>
      <c r="G425" s="5">
        <v>0.249</v>
      </c>
      <c r="H425" s="5">
        <v>24</v>
      </c>
      <c r="I425" s="5">
        <v>0</v>
      </c>
    </row>
    <row r="426" spans="1:9" x14ac:dyDescent="0.25">
      <c r="A426" s="5">
        <v>1</v>
      </c>
      <c r="B426" s="5">
        <v>100</v>
      </c>
      <c r="C426" s="5">
        <v>66</v>
      </c>
      <c r="D426" s="5">
        <v>15</v>
      </c>
      <c r="E426" s="5">
        <v>56</v>
      </c>
      <c r="F426" s="5">
        <v>23.6</v>
      </c>
      <c r="G426" s="5">
        <v>0.66600000000000004</v>
      </c>
      <c r="H426" s="5">
        <v>26</v>
      </c>
      <c r="I426" s="5">
        <v>0</v>
      </c>
    </row>
    <row r="427" spans="1:9" x14ac:dyDescent="0.25">
      <c r="A427" s="5">
        <v>2</v>
      </c>
      <c r="B427" s="5">
        <v>108</v>
      </c>
      <c r="C427" s="5">
        <v>62</v>
      </c>
      <c r="D427" s="5">
        <v>32</v>
      </c>
      <c r="E427" s="5">
        <v>56</v>
      </c>
      <c r="F427" s="5">
        <v>25.2</v>
      </c>
      <c r="G427" s="5">
        <v>0.128</v>
      </c>
      <c r="H427" s="5">
        <v>21</v>
      </c>
      <c r="I427" s="5">
        <v>0</v>
      </c>
    </row>
    <row r="428" spans="1:9" x14ac:dyDescent="0.25">
      <c r="A428" s="5">
        <v>9</v>
      </c>
      <c r="B428" s="5">
        <v>120</v>
      </c>
      <c r="C428" s="5">
        <v>72</v>
      </c>
      <c r="D428" s="5">
        <v>22</v>
      </c>
      <c r="E428" s="5">
        <v>56</v>
      </c>
      <c r="F428" s="5">
        <v>20.8</v>
      </c>
      <c r="G428" s="5">
        <v>0.73299999999999998</v>
      </c>
      <c r="H428" s="5">
        <v>48</v>
      </c>
      <c r="I428" s="5">
        <v>0</v>
      </c>
    </row>
    <row r="429" spans="1:9" x14ac:dyDescent="0.25">
      <c r="A429" s="5">
        <v>1</v>
      </c>
      <c r="B429" s="5">
        <v>77</v>
      </c>
      <c r="C429" s="5">
        <v>56</v>
      </c>
      <c r="D429" s="5">
        <v>30</v>
      </c>
      <c r="E429" s="5">
        <v>56</v>
      </c>
      <c r="F429" s="5">
        <v>33.299999999999997</v>
      </c>
      <c r="G429" s="5">
        <v>1.2509999999999999</v>
      </c>
      <c r="H429" s="5">
        <v>24</v>
      </c>
      <c r="I429" s="5">
        <v>0</v>
      </c>
    </row>
    <row r="430" spans="1:9" x14ac:dyDescent="0.25">
      <c r="A430" s="5">
        <v>4</v>
      </c>
      <c r="B430" s="5">
        <v>84</v>
      </c>
      <c r="C430" s="5">
        <v>90</v>
      </c>
      <c r="D430" s="5">
        <v>23</v>
      </c>
      <c r="E430" s="5">
        <v>56</v>
      </c>
      <c r="F430" s="5">
        <v>39.5</v>
      </c>
      <c r="G430" s="5">
        <v>0.159</v>
      </c>
      <c r="H430" s="5">
        <v>25</v>
      </c>
      <c r="I430" s="5">
        <v>0</v>
      </c>
    </row>
    <row r="431" spans="1:9" x14ac:dyDescent="0.25">
      <c r="A431" s="5">
        <v>2</v>
      </c>
      <c r="B431" s="5">
        <v>100</v>
      </c>
      <c r="C431" s="5">
        <v>70</v>
      </c>
      <c r="D431" s="5">
        <v>52</v>
      </c>
      <c r="E431" s="5">
        <v>57</v>
      </c>
      <c r="F431" s="5">
        <v>40.5</v>
      </c>
      <c r="G431" s="5">
        <v>0.67700000000000005</v>
      </c>
      <c r="H431" s="5">
        <v>25</v>
      </c>
      <c r="I431" s="5">
        <v>0</v>
      </c>
    </row>
    <row r="432" spans="1:9" x14ac:dyDescent="0.25">
      <c r="A432" s="5">
        <v>1</v>
      </c>
      <c r="B432" s="5">
        <v>81</v>
      </c>
      <c r="C432" s="5">
        <v>74</v>
      </c>
      <c r="D432" s="5">
        <v>41</v>
      </c>
      <c r="E432" s="5">
        <v>57</v>
      </c>
      <c r="F432" s="5">
        <v>46.3</v>
      </c>
      <c r="G432" s="5">
        <v>1.0960000000000001</v>
      </c>
      <c r="H432" s="5">
        <v>32</v>
      </c>
      <c r="I432" s="5">
        <v>0</v>
      </c>
    </row>
    <row r="433" spans="1:9" x14ac:dyDescent="0.25">
      <c r="A433" s="5">
        <v>1</v>
      </c>
      <c r="B433" s="5">
        <v>128</v>
      </c>
      <c r="C433" s="5">
        <v>98</v>
      </c>
      <c r="D433" s="5">
        <v>41</v>
      </c>
      <c r="E433" s="5">
        <v>58</v>
      </c>
      <c r="F433" s="5">
        <v>32</v>
      </c>
      <c r="G433" s="5">
        <v>1.321</v>
      </c>
      <c r="H433" s="5">
        <v>33</v>
      </c>
      <c r="I433" s="5">
        <v>1</v>
      </c>
    </row>
    <row r="434" spans="1:9" x14ac:dyDescent="0.25">
      <c r="A434" s="5">
        <v>1</v>
      </c>
      <c r="B434" s="5">
        <v>95</v>
      </c>
      <c r="C434" s="5">
        <v>60</v>
      </c>
      <c r="D434" s="5">
        <v>18</v>
      </c>
      <c r="E434" s="5">
        <v>58</v>
      </c>
      <c r="F434" s="5">
        <v>23.9</v>
      </c>
      <c r="G434" s="5">
        <v>0.26</v>
      </c>
      <c r="H434" s="5">
        <v>22</v>
      </c>
      <c r="I434" s="5">
        <v>0</v>
      </c>
    </row>
    <row r="435" spans="1:9" x14ac:dyDescent="0.25">
      <c r="A435" s="5">
        <v>1</v>
      </c>
      <c r="B435" s="5">
        <v>90</v>
      </c>
      <c r="C435" s="5">
        <v>62</v>
      </c>
      <c r="D435" s="5">
        <v>18</v>
      </c>
      <c r="E435" s="5">
        <v>59</v>
      </c>
      <c r="F435" s="5">
        <v>25.1</v>
      </c>
      <c r="G435" s="5">
        <v>1.268</v>
      </c>
      <c r="H435" s="5">
        <v>25</v>
      </c>
      <c r="I435" s="5">
        <v>0</v>
      </c>
    </row>
    <row r="436" spans="1:9" x14ac:dyDescent="0.25">
      <c r="A436" s="5">
        <v>1</v>
      </c>
      <c r="B436" s="5">
        <v>80</v>
      </c>
      <c r="C436" s="5">
        <v>74</v>
      </c>
      <c r="D436" s="5">
        <v>11</v>
      </c>
      <c r="E436" s="5">
        <v>60</v>
      </c>
      <c r="F436" s="5">
        <v>30</v>
      </c>
      <c r="G436" s="5">
        <v>0.52700000000000002</v>
      </c>
      <c r="H436" s="5">
        <v>22</v>
      </c>
      <c r="I436" s="5">
        <v>0</v>
      </c>
    </row>
    <row r="437" spans="1:9" x14ac:dyDescent="0.25">
      <c r="A437" s="5">
        <v>9</v>
      </c>
      <c r="B437" s="5">
        <v>134</v>
      </c>
      <c r="C437" s="5">
        <v>74</v>
      </c>
      <c r="D437" s="5">
        <v>33</v>
      </c>
      <c r="E437" s="5">
        <v>60</v>
      </c>
      <c r="F437" s="5">
        <v>25.9</v>
      </c>
      <c r="G437" s="5">
        <v>0.46</v>
      </c>
      <c r="H437" s="5">
        <v>81</v>
      </c>
      <c r="I437" s="5">
        <v>0</v>
      </c>
    </row>
    <row r="438" spans="1:9" x14ac:dyDescent="0.25">
      <c r="A438" s="5">
        <v>1</v>
      </c>
      <c r="B438" s="5">
        <v>143</v>
      </c>
      <c r="C438" s="5">
        <v>74</v>
      </c>
      <c r="D438" s="5">
        <v>22</v>
      </c>
      <c r="E438" s="5">
        <v>61</v>
      </c>
      <c r="F438" s="5">
        <v>26.2</v>
      </c>
      <c r="G438" s="5">
        <v>0.25600000000000001</v>
      </c>
      <c r="H438" s="5">
        <v>21</v>
      </c>
      <c r="I438" s="5">
        <v>0</v>
      </c>
    </row>
    <row r="439" spans="1:9" x14ac:dyDescent="0.25">
      <c r="A439" s="5">
        <v>2</v>
      </c>
      <c r="B439" s="5">
        <v>108</v>
      </c>
      <c r="C439" s="5">
        <v>52</v>
      </c>
      <c r="D439" s="5">
        <v>26</v>
      </c>
      <c r="E439" s="5">
        <v>63</v>
      </c>
      <c r="F439" s="5">
        <v>32.5</v>
      </c>
      <c r="G439" s="5">
        <v>0.318</v>
      </c>
      <c r="H439" s="5">
        <v>22</v>
      </c>
      <c r="I439" s="5">
        <v>0</v>
      </c>
    </row>
    <row r="440" spans="1:9" x14ac:dyDescent="0.25">
      <c r="A440" s="5">
        <v>0</v>
      </c>
      <c r="B440" s="5">
        <v>120</v>
      </c>
      <c r="C440" s="5">
        <v>74</v>
      </c>
      <c r="D440" s="5">
        <v>18</v>
      </c>
      <c r="E440" s="5">
        <v>63</v>
      </c>
      <c r="F440" s="5">
        <v>30.5</v>
      </c>
      <c r="G440" s="5">
        <v>0.28499999999999998</v>
      </c>
      <c r="H440" s="5">
        <v>26</v>
      </c>
      <c r="I440" s="5">
        <v>0</v>
      </c>
    </row>
    <row r="441" spans="1:9" x14ac:dyDescent="0.25">
      <c r="A441" s="5">
        <v>1</v>
      </c>
      <c r="B441" s="5">
        <v>119</v>
      </c>
      <c r="C441" s="5">
        <v>44</v>
      </c>
      <c r="D441" s="5">
        <v>47</v>
      </c>
      <c r="E441" s="5">
        <v>63</v>
      </c>
      <c r="F441" s="5">
        <v>35.5</v>
      </c>
      <c r="G441" s="5">
        <v>0.28000000000000003</v>
      </c>
      <c r="H441" s="5">
        <v>25</v>
      </c>
      <c r="I441" s="5">
        <v>0</v>
      </c>
    </row>
    <row r="442" spans="1:9" x14ac:dyDescent="0.25">
      <c r="A442" s="5">
        <v>2</v>
      </c>
      <c r="B442" s="5">
        <v>142</v>
      </c>
      <c r="C442" s="5">
        <v>82</v>
      </c>
      <c r="D442" s="5">
        <v>18</v>
      </c>
      <c r="E442" s="5">
        <v>64</v>
      </c>
      <c r="F442" s="5">
        <v>24.7</v>
      </c>
      <c r="G442" s="5">
        <v>0.76100000000000001</v>
      </c>
      <c r="H442" s="5">
        <v>21</v>
      </c>
      <c r="I442" s="5">
        <v>0</v>
      </c>
    </row>
    <row r="443" spans="1:9" x14ac:dyDescent="0.25">
      <c r="A443" s="5">
        <v>6</v>
      </c>
      <c r="B443" s="5">
        <v>93</v>
      </c>
      <c r="C443" s="5">
        <v>50</v>
      </c>
      <c r="D443" s="5">
        <v>30</v>
      </c>
      <c r="E443" s="5">
        <v>64</v>
      </c>
      <c r="F443" s="5">
        <v>28.7</v>
      </c>
      <c r="G443" s="5">
        <v>0.35599999999999998</v>
      </c>
      <c r="H443" s="5">
        <v>23</v>
      </c>
      <c r="I443" s="5">
        <v>0</v>
      </c>
    </row>
    <row r="444" spans="1:9" x14ac:dyDescent="0.25">
      <c r="A444" s="5">
        <v>3</v>
      </c>
      <c r="B444" s="5">
        <v>99</v>
      </c>
      <c r="C444" s="5">
        <v>80</v>
      </c>
      <c r="D444" s="5">
        <v>11</v>
      </c>
      <c r="E444" s="5">
        <v>64</v>
      </c>
      <c r="F444" s="5">
        <v>19.3</v>
      </c>
      <c r="G444" s="5">
        <v>0.28399999999999997</v>
      </c>
      <c r="H444" s="5">
        <v>30</v>
      </c>
      <c r="I444" s="5">
        <v>0</v>
      </c>
    </row>
    <row r="445" spans="1:9" x14ac:dyDescent="0.25">
      <c r="A445" s="5">
        <v>0</v>
      </c>
      <c r="B445" s="5">
        <v>104</v>
      </c>
      <c r="C445" s="5">
        <v>64</v>
      </c>
      <c r="D445" s="5">
        <v>37</v>
      </c>
      <c r="E445" s="5">
        <v>64</v>
      </c>
      <c r="F445" s="5">
        <v>33.6</v>
      </c>
      <c r="G445" s="5">
        <v>0.51</v>
      </c>
      <c r="H445" s="5">
        <v>22</v>
      </c>
      <c r="I445" s="5">
        <v>1</v>
      </c>
    </row>
    <row r="446" spans="1:9" x14ac:dyDescent="0.25">
      <c r="A446" s="5">
        <v>1</v>
      </c>
      <c r="B446" s="5">
        <v>86</v>
      </c>
      <c r="C446" s="5">
        <v>66</v>
      </c>
      <c r="D446" s="5">
        <v>52</v>
      </c>
      <c r="E446" s="5">
        <v>65</v>
      </c>
      <c r="F446" s="5">
        <v>41.3</v>
      </c>
      <c r="G446" s="5">
        <v>0.91700000000000004</v>
      </c>
      <c r="H446" s="5">
        <v>29</v>
      </c>
      <c r="I446" s="5">
        <v>0</v>
      </c>
    </row>
    <row r="447" spans="1:9" x14ac:dyDescent="0.25">
      <c r="A447" s="5">
        <v>3</v>
      </c>
      <c r="B447" s="5">
        <v>81</v>
      </c>
      <c r="C447" s="5">
        <v>86</v>
      </c>
      <c r="D447" s="5">
        <v>16</v>
      </c>
      <c r="E447" s="5">
        <v>66</v>
      </c>
      <c r="F447" s="5">
        <v>27.5</v>
      </c>
      <c r="G447" s="5">
        <v>0.30599999999999999</v>
      </c>
      <c r="H447" s="5">
        <v>22</v>
      </c>
      <c r="I447" s="5">
        <v>0</v>
      </c>
    </row>
    <row r="448" spans="1:9" x14ac:dyDescent="0.25">
      <c r="A448" s="5">
        <v>0</v>
      </c>
      <c r="B448" s="5">
        <v>84</v>
      </c>
      <c r="C448" s="5">
        <v>64</v>
      </c>
      <c r="D448" s="5">
        <v>22</v>
      </c>
      <c r="E448" s="5">
        <v>66</v>
      </c>
      <c r="F448" s="5">
        <v>35.799999999999997</v>
      </c>
      <c r="G448" s="5">
        <v>0.54500000000000004</v>
      </c>
      <c r="H448" s="5">
        <v>21</v>
      </c>
      <c r="I448" s="5">
        <v>0</v>
      </c>
    </row>
    <row r="449" spans="1:9" x14ac:dyDescent="0.25">
      <c r="A449" s="5">
        <v>2</v>
      </c>
      <c r="B449" s="5">
        <v>83</v>
      </c>
      <c r="C449" s="5">
        <v>65</v>
      </c>
      <c r="D449" s="5">
        <v>28</v>
      </c>
      <c r="E449" s="5">
        <v>66</v>
      </c>
      <c r="F449" s="5">
        <v>36.799999999999997</v>
      </c>
      <c r="G449" s="5">
        <v>0.629</v>
      </c>
      <c r="H449" s="5">
        <v>24</v>
      </c>
      <c r="I449" s="5">
        <v>0</v>
      </c>
    </row>
    <row r="450" spans="1:9" x14ac:dyDescent="0.25">
      <c r="A450" s="5">
        <v>2</v>
      </c>
      <c r="B450" s="5">
        <v>68</v>
      </c>
      <c r="C450" s="5">
        <v>70</v>
      </c>
      <c r="D450" s="5">
        <v>32</v>
      </c>
      <c r="E450" s="5">
        <v>66</v>
      </c>
      <c r="F450" s="5">
        <v>25</v>
      </c>
      <c r="G450" s="5">
        <v>0.187</v>
      </c>
      <c r="H450" s="5">
        <v>25</v>
      </c>
      <c r="I450" s="5">
        <v>0</v>
      </c>
    </row>
    <row r="451" spans="1:9" x14ac:dyDescent="0.25">
      <c r="A451" s="5">
        <v>2</v>
      </c>
      <c r="B451" s="5">
        <v>94</v>
      </c>
      <c r="C451" s="5">
        <v>76</v>
      </c>
      <c r="D451" s="5">
        <v>18</v>
      </c>
      <c r="E451" s="5">
        <v>66</v>
      </c>
      <c r="F451" s="5">
        <v>31.6</v>
      </c>
      <c r="G451" s="5">
        <v>0.64900000000000002</v>
      </c>
      <c r="H451" s="5">
        <v>23</v>
      </c>
      <c r="I451" s="5">
        <v>0</v>
      </c>
    </row>
    <row r="452" spans="1:9" x14ac:dyDescent="0.25">
      <c r="A452" s="5">
        <v>5</v>
      </c>
      <c r="B452" s="5">
        <v>96</v>
      </c>
      <c r="C452" s="5">
        <v>74</v>
      </c>
      <c r="D452" s="5">
        <v>18</v>
      </c>
      <c r="E452" s="5">
        <v>67</v>
      </c>
      <c r="F452" s="5">
        <v>33.6</v>
      </c>
      <c r="G452" s="5">
        <v>0.997</v>
      </c>
      <c r="H452" s="5">
        <v>43</v>
      </c>
      <c r="I452" s="5">
        <v>0</v>
      </c>
    </row>
    <row r="453" spans="1:9" x14ac:dyDescent="0.25">
      <c r="A453" s="5">
        <v>1</v>
      </c>
      <c r="B453" s="5">
        <v>164</v>
      </c>
      <c r="C453" s="5">
        <v>82</v>
      </c>
      <c r="D453" s="5">
        <v>43</v>
      </c>
      <c r="E453" s="5">
        <v>67</v>
      </c>
      <c r="F453" s="5">
        <v>32.799999999999997</v>
      </c>
      <c r="G453" s="5">
        <v>0.34100000000000003</v>
      </c>
      <c r="H453" s="5">
        <v>50</v>
      </c>
      <c r="I453" s="5">
        <v>0</v>
      </c>
    </row>
    <row r="454" spans="1:9" x14ac:dyDescent="0.25">
      <c r="A454" s="5">
        <v>6</v>
      </c>
      <c r="B454" s="5">
        <v>105</v>
      </c>
      <c r="C454" s="5">
        <v>70</v>
      </c>
      <c r="D454" s="5">
        <v>32</v>
      </c>
      <c r="E454" s="5">
        <v>68</v>
      </c>
      <c r="F454" s="5">
        <v>30.8</v>
      </c>
      <c r="G454" s="5">
        <v>0.122</v>
      </c>
      <c r="H454" s="5">
        <v>37</v>
      </c>
      <c r="I454" s="5">
        <v>0</v>
      </c>
    </row>
    <row r="455" spans="1:9" x14ac:dyDescent="0.25">
      <c r="A455" s="5">
        <v>3</v>
      </c>
      <c r="B455" s="5">
        <v>180</v>
      </c>
      <c r="C455" s="5">
        <v>64</v>
      </c>
      <c r="D455" s="5">
        <v>25</v>
      </c>
      <c r="E455" s="5">
        <v>70</v>
      </c>
      <c r="F455" s="5">
        <v>34</v>
      </c>
      <c r="G455" s="5">
        <v>0.27100000000000002</v>
      </c>
      <c r="H455" s="5">
        <v>26</v>
      </c>
      <c r="I455" s="5">
        <v>0</v>
      </c>
    </row>
    <row r="456" spans="1:9" x14ac:dyDescent="0.25">
      <c r="A456" s="5">
        <v>1</v>
      </c>
      <c r="B456" s="5">
        <v>100</v>
      </c>
      <c r="C456" s="5">
        <v>72</v>
      </c>
      <c r="D456" s="5">
        <v>12</v>
      </c>
      <c r="E456" s="5">
        <v>70</v>
      </c>
      <c r="F456" s="5">
        <v>25.3</v>
      </c>
      <c r="G456" s="5">
        <v>0.65800000000000003</v>
      </c>
      <c r="H456" s="5">
        <v>28</v>
      </c>
      <c r="I456" s="5">
        <v>0</v>
      </c>
    </row>
    <row r="457" spans="1:9" x14ac:dyDescent="0.25">
      <c r="A457" s="5">
        <v>3</v>
      </c>
      <c r="B457" s="5">
        <v>80</v>
      </c>
      <c r="C457" s="5">
        <v>82</v>
      </c>
      <c r="D457" s="5">
        <v>31</v>
      </c>
      <c r="E457" s="5">
        <v>70</v>
      </c>
      <c r="F457" s="5">
        <v>34.200000000000003</v>
      </c>
      <c r="G457" s="5">
        <v>1.292</v>
      </c>
      <c r="H457" s="5">
        <v>27</v>
      </c>
      <c r="I457" s="5">
        <v>1</v>
      </c>
    </row>
    <row r="458" spans="1:9" x14ac:dyDescent="0.25">
      <c r="A458" s="5">
        <v>7</v>
      </c>
      <c r="B458" s="5">
        <v>83</v>
      </c>
      <c r="C458" s="5">
        <v>78</v>
      </c>
      <c r="D458" s="5">
        <v>26</v>
      </c>
      <c r="E458" s="5">
        <v>71</v>
      </c>
      <c r="F458" s="5">
        <v>29.3</v>
      </c>
      <c r="G458" s="5">
        <v>0.76700000000000002</v>
      </c>
      <c r="H458" s="5">
        <v>36</v>
      </c>
      <c r="I458" s="5">
        <v>0</v>
      </c>
    </row>
    <row r="459" spans="1:9" x14ac:dyDescent="0.25">
      <c r="A459" s="5">
        <v>2</v>
      </c>
      <c r="B459" s="5">
        <v>100</v>
      </c>
      <c r="C459" s="5">
        <v>68</v>
      </c>
      <c r="D459" s="5">
        <v>25</v>
      </c>
      <c r="E459" s="5">
        <v>71</v>
      </c>
      <c r="F459" s="5">
        <v>38.5</v>
      </c>
      <c r="G459" s="5">
        <v>0.32400000000000001</v>
      </c>
      <c r="H459" s="5">
        <v>26</v>
      </c>
      <c r="I459" s="5">
        <v>0</v>
      </c>
    </row>
    <row r="460" spans="1:9" x14ac:dyDescent="0.25">
      <c r="A460" s="5">
        <v>5</v>
      </c>
      <c r="B460" s="5">
        <v>86</v>
      </c>
      <c r="C460" s="5">
        <v>68</v>
      </c>
      <c r="D460" s="5">
        <v>28</v>
      </c>
      <c r="E460" s="5">
        <v>71</v>
      </c>
      <c r="F460" s="5">
        <v>30.2</v>
      </c>
      <c r="G460" s="5">
        <v>0.36399999999999999</v>
      </c>
      <c r="H460" s="5">
        <v>24</v>
      </c>
      <c r="I460" s="5">
        <v>0</v>
      </c>
    </row>
    <row r="461" spans="1:9" x14ac:dyDescent="0.25">
      <c r="A461" s="5">
        <v>2</v>
      </c>
      <c r="B461" s="5">
        <v>117</v>
      </c>
      <c r="C461" s="5">
        <v>90</v>
      </c>
      <c r="D461" s="5">
        <v>19</v>
      </c>
      <c r="E461" s="5">
        <v>71</v>
      </c>
      <c r="F461" s="5">
        <v>25.2</v>
      </c>
      <c r="G461" s="5">
        <v>0.313</v>
      </c>
      <c r="H461" s="5">
        <v>21</v>
      </c>
      <c r="I461" s="5">
        <v>0</v>
      </c>
    </row>
    <row r="462" spans="1:9" x14ac:dyDescent="0.25">
      <c r="A462" s="5">
        <v>0</v>
      </c>
      <c r="B462" s="5">
        <v>93</v>
      </c>
      <c r="C462" s="5">
        <v>100</v>
      </c>
      <c r="D462" s="5">
        <v>39</v>
      </c>
      <c r="E462" s="5">
        <v>72</v>
      </c>
      <c r="F462" s="5">
        <v>43.4</v>
      </c>
      <c r="G462" s="5">
        <v>1.0209999999999999</v>
      </c>
      <c r="H462" s="5">
        <v>35</v>
      </c>
      <c r="I462" s="5">
        <v>0</v>
      </c>
    </row>
    <row r="463" spans="1:9" x14ac:dyDescent="0.25">
      <c r="A463" s="5">
        <v>1</v>
      </c>
      <c r="B463" s="5">
        <v>95</v>
      </c>
      <c r="C463" s="5">
        <v>74</v>
      </c>
      <c r="D463" s="5">
        <v>21</v>
      </c>
      <c r="E463" s="5">
        <v>73</v>
      </c>
      <c r="F463" s="5">
        <v>25.9</v>
      </c>
      <c r="G463" s="5">
        <v>0.67300000000000004</v>
      </c>
      <c r="H463" s="5">
        <v>36</v>
      </c>
      <c r="I463" s="5">
        <v>0</v>
      </c>
    </row>
    <row r="464" spans="1:9" x14ac:dyDescent="0.25">
      <c r="A464" s="5">
        <v>0</v>
      </c>
      <c r="B464" s="5">
        <v>107</v>
      </c>
      <c r="C464" s="5">
        <v>62</v>
      </c>
      <c r="D464" s="5">
        <v>30</v>
      </c>
      <c r="E464" s="5">
        <v>74</v>
      </c>
      <c r="F464" s="5">
        <v>36.6</v>
      </c>
      <c r="G464" s="5">
        <v>0.75700000000000001</v>
      </c>
      <c r="H464" s="5">
        <v>25</v>
      </c>
      <c r="I464" s="5">
        <v>1</v>
      </c>
    </row>
    <row r="465" spans="1:9" x14ac:dyDescent="0.25">
      <c r="A465" s="5">
        <v>3</v>
      </c>
      <c r="B465" s="5">
        <v>99</v>
      </c>
      <c r="C465" s="5">
        <v>62</v>
      </c>
      <c r="D465" s="5">
        <v>19</v>
      </c>
      <c r="E465" s="5">
        <v>74</v>
      </c>
      <c r="F465" s="5">
        <v>21.8</v>
      </c>
      <c r="G465" s="5">
        <v>0.27900000000000003</v>
      </c>
      <c r="H465" s="5">
        <v>26</v>
      </c>
      <c r="I465" s="5">
        <v>0</v>
      </c>
    </row>
    <row r="466" spans="1:9" x14ac:dyDescent="0.25">
      <c r="A466" s="5">
        <v>1</v>
      </c>
      <c r="B466" s="5">
        <v>121</v>
      </c>
      <c r="C466" s="5">
        <v>78</v>
      </c>
      <c r="D466" s="5">
        <v>39</v>
      </c>
      <c r="E466" s="5">
        <v>74</v>
      </c>
      <c r="F466" s="5">
        <v>39</v>
      </c>
      <c r="G466" s="5">
        <v>0.26100000000000001</v>
      </c>
      <c r="H466" s="5">
        <v>28</v>
      </c>
      <c r="I466" s="5">
        <v>0</v>
      </c>
    </row>
    <row r="467" spans="1:9" x14ac:dyDescent="0.25">
      <c r="A467" s="5">
        <v>5</v>
      </c>
      <c r="B467" s="5">
        <v>108</v>
      </c>
      <c r="C467" s="5">
        <v>72</v>
      </c>
      <c r="D467" s="5">
        <v>43</v>
      </c>
      <c r="E467" s="5">
        <v>75</v>
      </c>
      <c r="F467" s="5">
        <v>36.1</v>
      </c>
      <c r="G467" s="5">
        <v>0.26300000000000001</v>
      </c>
      <c r="H467" s="5">
        <v>33</v>
      </c>
      <c r="I467" s="5">
        <v>0</v>
      </c>
    </row>
    <row r="468" spans="1:9" x14ac:dyDescent="0.25">
      <c r="A468" s="5">
        <v>1</v>
      </c>
      <c r="B468" s="5">
        <v>87</v>
      </c>
      <c r="C468" s="5">
        <v>60</v>
      </c>
      <c r="D468" s="5">
        <v>37</v>
      </c>
      <c r="E468" s="5">
        <v>75</v>
      </c>
      <c r="F468" s="5">
        <v>37.200000000000003</v>
      </c>
      <c r="G468" s="5">
        <v>0.50900000000000001</v>
      </c>
      <c r="H468" s="5">
        <v>22</v>
      </c>
      <c r="I468" s="5">
        <v>0</v>
      </c>
    </row>
    <row r="469" spans="1:9" x14ac:dyDescent="0.25">
      <c r="A469" s="5">
        <v>8</v>
      </c>
      <c r="B469" s="5">
        <v>126</v>
      </c>
      <c r="C469" s="5">
        <v>74</v>
      </c>
      <c r="D469" s="5">
        <v>38</v>
      </c>
      <c r="E469" s="5">
        <v>75</v>
      </c>
      <c r="F469" s="5">
        <v>25.9</v>
      </c>
      <c r="G469" s="5">
        <v>0.16200000000000001</v>
      </c>
      <c r="H469" s="5">
        <v>39</v>
      </c>
      <c r="I469" s="5">
        <v>0</v>
      </c>
    </row>
    <row r="470" spans="1:9" x14ac:dyDescent="0.25">
      <c r="A470" s="5">
        <v>1</v>
      </c>
      <c r="B470" s="5">
        <v>71</v>
      </c>
      <c r="C470" s="5">
        <v>48</v>
      </c>
      <c r="D470" s="5">
        <v>18</v>
      </c>
      <c r="E470" s="5">
        <v>76</v>
      </c>
      <c r="F470" s="5">
        <v>20.399999999999999</v>
      </c>
      <c r="G470" s="5">
        <v>0.32300000000000001</v>
      </c>
      <c r="H470" s="5">
        <v>22</v>
      </c>
      <c r="I470" s="5">
        <v>0</v>
      </c>
    </row>
    <row r="471" spans="1:9" x14ac:dyDescent="0.25">
      <c r="A471" s="5">
        <v>2</v>
      </c>
      <c r="B471" s="5">
        <v>94</v>
      </c>
      <c r="C471" s="5">
        <v>68</v>
      </c>
      <c r="D471" s="5">
        <v>18</v>
      </c>
      <c r="E471" s="5">
        <v>76</v>
      </c>
      <c r="F471" s="5">
        <v>26</v>
      </c>
      <c r="G471" s="5">
        <v>0.56100000000000005</v>
      </c>
      <c r="H471" s="5">
        <v>21</v>
      </c>
      <c r="I471" s="5">
        <v>0</v>
      </c>
    </row>
    <row r="472" spans="1:9" x14ac:dyDescent="0.25">
      <c r="A472" s="5">
        <v>2</v>
      </c>
      <c r="B472" s="5">
        <v>81</v>
      </c>
      <c r="C472" s="5">
        <v>72</v>
      </c>
      <c r="D472" s="5">
        <v>15</v>
      </c>
      <c r="E472" s="5">
        <v>76</v>
      </c>
      <c r="F472" s="5">
        <v>30.1</v>
      </c>
      <c r="G472" s="5">
        <v>0.54700000000000004</v>
      </c>
      <c r="H472" s="5">
        <v>25</v>
      </c>
      <c r="I472" s="5">
        <v>0</v>
      </c>
    </row>
    <row r="473" spans="1:9" x14ac:dyDescent="0.25">
      <c r="A473" s="5">
        <v>2</v>
      </c>
      <c r="B473" s="5">
        <v>84</v>
      </c>
      <c r="C473" s="5">
        <v>50</v>
      </c>
      <c r="D473" s="5">
        <v>23</v>
      </c>
      <c r="E473" s="5">
        <v>76</v>
      </c>
      <c r="F473" s="5">
        <v>30.4</v>
      </c>
      <c r="G473" s="5">
        <v>0.96799999999999997</v>
      </c>
      <c r="H473" s="5">
        <v>21</v>
      </c>
      <c r="I473" s="5">
        <v>0</v>
      </c>
    </row>
    <row r="474" spans="1:9" x14ac:dyDescent="0.25">
      <c r="A474" s="5">
        <v>1</v>
      </c>
      <c r="B474" s="5">
        <v>88</v>
      </c>
      <c r="C474" s="5">
        <v>78</v>
      </c>
      <c r="D474" s="5">
        <v>29</v>
      </c>
      <c r="E474" s="5">
        <v>76</v>
      </c>
      <c r="F474" s="5">
        <v>32</v>
      </c>
      <c r="G474" s="5">
        <v>0.36499999999999999</v>
      </c>
      <c r="H474" s="5">
        <v>29</v>
      </c>
      <c r="I474" s="5">
        <v>0</v>
      </c>
    </row>
    <row r="475" spans="1:9" x14ac:dyDescent="0.25">
      <c r="A475" s="5">
        <v>1</v>
      </c>
      <c r="B475" s="5">
        <v>87</v>
      </c>
      <c r="C475" s="5">
        <v>68</v>
      </c>
      <c r="D475" s="5">
        <v>34</v>
      </c>
      <c r="E475" s="5">
        <v>77</v>
      </c>
      <c r="F475" s="5">
        <v>37.6</v>
      </c>
      <c r="G475" s="5">
        <v>0.40100000000000002</v>
      </c>
      <c r="H475" s="5">
        <v>24</v>
      </c>
      <c r="I475" s="5">
        <v>0</v>
      </c>
    </row>
    <row r="476" spans="1:9" x14ac:dyDescent="0.25">
      <c r="A476" s="5">
        <v>5</v>
      </c>
      <c r="B476" s="5">
        <v>123</v>
      </c>
      <c r="C476" s="5">
        <v>74</v>
      </c>
      <c r="D476" s="5">
        <v>40</v>
      </c>
      <c r="E476" s="5">
        <v>77</v>
      </c>
      <c r="F476" s="5">
        <v>34.1</v>
      </c>
      <c r="G476" s="5">
        <v>0.26900000000000002</v>
      </c>
      <c r="H476" s="5">
        <v>28</v>
      </c>
      <c r="I476" s="5">
        <v>0</v>
      </c>
    </row>
    <row r="477" spans="1:9" x14ac:dyDescent="0.25">
      <c r="A477" s="5">
        <v>3</v>
      </c>
      <c r="B477" s="5">
        <v>111</v>
      </c>
      <c r="C477" s="5">
        <v>90</v>
      </c>
      <c r="D477" s="5">
        <v>12</v>
      </c>
      <c r="E477" s="5">
        <v>78</v>
      </c>
      <c r="F477" s="5">
        <v>28.4</v>
      </c>
      <c r="G477" s="5">
        <v>0.495</v>
      </c>
      <c r="H477" s="5">
        <v>29</v>
      </c>
      <c r="I477" s="5">
        <v>0</v>
      </c>
    </row>
    <row r="478" spans="1:9" x14ac:dyDescent="0.25">
      <c r="A478" s="5">
        <v>0</v>
      </c>
      <c r="B478" s="5">
        <v>102</v>
      </c>
      <c r="C478" s="5">
        <v>64</v>
      </c>
      <c r="D478" s="5">
        <v>46</v>
      </c>
      <c r="E478" s="5">
        <v>78</v>
      </c>
      <c r="F478" s="5">
        <v>40.6</v>
      </c>
      <c r="G478" s="5">
        <v>0.496</v>
      </c>
      <c r="H478" s="5">
        <v>21</v>
      </c>
      <c r="I478" s="5">
        <v>0</v>
      </c>
    </row>
    <row r="479" spans="1:9" x14ac:dyDescent="0.25">
      <c r="A479" s="5">
        <v>7</v>
      </c>
      <c r="B479" s="5">
        <v>94</v>
      </c>
      <c r="C479" s="5">
        <v>64</v>
      </c>
      <c r="D479" s="5">
        <v>25</v>
      </c>
      <c r="E479" s="5">
        <v>79</v>
      </c>
      <c r="F479" s="5">
        <v>33.299999999999997</v>
      </c>
      <c r="G479" s="5">
        <v>0.73799999999999999</v>
      </c>
      <c r="H479" s="5">
        <v>41</v>
      </c>
      <c r="I479" s="5">
        <v>0</v>
      </c>
    </row>
    <row r="480" spans="1:9" x14ac:dyDescent="0.25">
      <c r="A480" s="5">
        <v>3</v>
      </c>
      <c r="B480" s="5">
        <v>130</v>
      </c>
      <c r="C480" s="5">
        <v>78</v>
      </c>
      <c r="D480" s="5">
        <v>23</v>
      </c>
      <c r="E480" s="5">
        <v>79</v>
      </c>
      <c r="F480" s="5">
        <v>28.4</v>
      </c>
      <c r="G480" s="5">
        <v>0.32300000000000001</v>
      </c>
      <c r="H480" s="5">
        <v>34</v>
      </c>
      <c r="I480" s="5">
        <v>1</v>
      </c>
    </row>
    <row r="481" spans="1:9" x14ac:dyDescent="0.25">
      <c r="A481" s="5">
        <v>3</v>
      </c>
      <c r="B481" s="5">
        <v>100</v>
      </c>
      <c r="C481" s="5">
        <v>68</v>
      </c>
      <c r="D481" s="5">
        <v>23</v>
      </c>
      <c r="E481" s="5">
        <v>81</v>
      </c>
      <c r="F481" s="5">
        <v>31.6</v>
      </c>
      <c r="G481" s="5">
        <v>0.94899999999999995</v>
      </c>
      <c r="H481" s="5">
        <v>28</v>
      </c>
      <c r="I481" s="5">
        <v>0</v>
      </c>
    </row>
    <row r="482" spans="1:9" x14ac:dyDescent="0.25">
      <c r="A482" s="5">
        <v>1</v>
      </c>
      <c r="B482" s="5">
        <v>103</v>
      </c>
      <c r="C482" s="5">
        <v>80</v>
      </c>
      <c r="D482" s="5">
        <v>11</v>
      </c>
      <c r="E482" s="5">
        <v>82</v>
      </c>
      <c r="F482" s="5">
        <v>19.399999999999999</v>
      </c>
      <c r="G482" s="5">
        <v>0.49099999999999999</v>
      </c>
      <c r="H482" s="5">
        <v>22</v>
      </c>
      <c r="I482" s="5">
        <v>0</v>
      </c>
    </row>
    <row r="483" spans="1:9" x14ac:dyDescent="0.25">
      <c r="A483" s="5">
        <v>1</v>
      </c>
      <c r="B483" s="5">
        <v>107</v>
      </c>
      <c r="C483" s="5">
        <v>72</v>
      </c>
      <c r="D483" s="5">
        <v>30</v>
      </c>
      <c r="E483" s="5">
        <v>82</v>
      </c>
      <c r="F483" s="5">
        <v>30.8</v>
      </c>
      <c r="G483" s="5">
        <v>0.82099999999999995</v>
      </c>
      <c r="H483" s="5">
        <v>24</v>
      </c>
      <c r="I483" s="5">
        <v>0</v>
      </c>
    </row>
    <row r="484" spans="1:9" x14ac:dyDescent="0.25">
      <c r="A484" s="5">
        <v>1</v>
      </c>
      <c r="B484" s="5">
        <v>97</v>
      </c>
      <c r="C484" s="5">
        <v>64</v>
      </c>
      <c r="D484" s="5">
        <v>19</v>
      </c>
      <c r="E484" s="5">
        <v>82</v>
      </c>
      <c r="F484" s="5">
        <v>18.2</v>
      </c>
      <c r="G484" s="5">
        <v>0.29899999999999999</v>
      </c>
      <c r="H484" s="5">
        <v>21</v>
      </c>
      <c r="I484" s="5">
        <v>0</v>
      </c>
    </row>
    <row r="485" spans="1:9" x14ac:dyDescent="0.25">
      <c r="A485" s="5">
        <v>1</v>
      </c>
      <c r="B485" s="5">
        <v>103</v>
      </c>
      <c r="C485" s="5">
        <v>30</v>
      </c>
      <c r="D485" s="5">
        <v>38</v>
      </c>
      <c r="E485" s="5">
        <v>83</v>
      </c>
      <c r="F485" s="5">
        <v>43.3</v>
      </c>
      <c r="G485" s="5">
        <v>0.183</v>
      </c>
      <c r="H485" s="5">
        <v>33</v>
      </c>
      <c r="I485" s="5">
        <v>0</v>
      </c>
    </row>
    <row r="486" spans="1:9" x14ac:dyDescent="0.25">
      <c r="A486" s="5">
        <v>1</v>
      </c>
      <c r="B486" s="5">
        <v>139</v>
      </c>
      <c r="C486" s="5">
        <v>46</v>
      </c>
      <c r="D486" s="5">
        <v>19</v>
      </c>
      <c r="E486" s="5">
        <v>83</v>
      </c>
      <c r="F486" s="5">
        <v>28.7</v>
      </c>
      <c r="G486" s="5">
        <v>0.65400000000000003</v>
      </c>
      <c r="H486" s="5">
        <v>22</v>
      </c>
      <c r="I486" s="5">
        <v>0</v>
      </c>
    </row>
    <row r="487" spans="1:9" x14ac:dyDescent="0.25">
      <c r="A487" s="5">
        <v>5</v>
      </c>
      <c r="B487" s="5">
        <v>99</v>
      </c>
      <c r="C487" s="5">
        <v>54</v>
      </c>
      <c r="D487" s="5">
        <v>28</v>
      </c>
      <c r="E487" s="5">
        <v>83</v>
      </c>
      <c r="F487" s="5">
        <v>34</v>
      </c>
      <c r="G487" s="5">
        <v>0.499</v>
      </c>
      <c r="H487" s="5">
        <v>30</v>
      </c>
      <c r="I487" s="5">
        <v>0</v>
      </c>
    </row>
    <row r="488" spans="1:9" x14ac:dyDescent="0.25">
      <c r="A488" s="5">
        <v>0</v>
      </c>
      <c r="B488" s="5">
        <v>98</v>
      </c>
      <c r="C488" s="5">
        <v>82</v>
      </c>
      <c r="D488" s="5">
        <v>15</v>
      </c>
      <c r="E488" s="5">
        <v>84</v>
      </c>
      <c r="F488" s="5">
        <v>25.2</v>
      </c>
      <c r="G488" s="5">
        <v>0.29899999999999999</v>
      </c>
      <c r="H488" s="5">
        <v>22</v>
      </c>
      <c r="I488" s="5">
        <v>0</v>
      </c>
    </row>
    <row r="489" spans="1:9" x14ac:dyDescent="0.25">
      <c r="A489" s="5">
        <v>3</v>
      </c>
      <c r="B489" s="5">
        <v>113</v>
      </c>
      <c r="C489" s="5">
        <v>50</v>
      </c>
      <c r="D489" s="5">
        <v>10</v>
      </c>
      <c r="E489" s="5">
        <v>85</v>
      </c>
      <c r="F489" s="5">
        <v>29.5</v>
      </c>
      <c r="G489" s="5">
        <v>0.626</v>
      </c>
      <c r="H489" s="5">
        <v>25</v>
      </c>
      <c r="I489" s="5">
        <v>0</v>
      </c>
    </row>
    <row r="490" spans="1:9" x14ac:dyDescent="0.25">
      <c r="A490" s="5">
        <v>3</v>
      </c>
      <c r="B490" s="5">
        <v>89</v>
      </c>
      <c r="C490" s="5">
        <v>74</v>
      </c>
      <c r="D490" s="5">
        <v>16</v>
      </c>
      <c r="E490" s="5">
        <v>85</v>
      </c>
      <c r="F490" s="5">
        <v>30.4</v>
      </c>
      <c r="G490" s="5">
        <v>0.55100000000000005</v>
      </c>
      <c r="H490" s="5">
        <v>38</v>
      </c>
      <c r="I490" s="5">
        <v>0</v>
      </c>
    </row>
    <row r="491" spans="1:9" x14ac:dyDescent="0.25">
      <c r="A491" s="5">
        <v>3</v>
      </c>
      <c r="B491" s="5">
        <v>99</v>
      </c>
      <c r="C491" s="5">
        <v>54</v>
      </c>
      <c r="D491" s="5">
        <v>19</v>
      </c>
      <c r="E491" s="5">
        <v>86</v>
      </c>
      <c r="F491" s="5">
        <v>25.6</v>
      </c>
      <c r="G491" s="5">
        <v>0.154</v>
      </c>
      <c r="H491" s="5">
        <v>24</v>
      </c>
      <c r="I491" s="5">
        <v>0</v>
      </c>
    </row>
    <row r="492" spans="1:9" x14ac:dyDescent="0.25">
      <c r="A492" s="5">
        <v>1</v>
      </c>
      <c r="B492" s="5">
        <v>96</v>
      </c>
      <c r="C492" s="5">
        <v>64</v>
      </c>
      <c r="D492" s="5">
        <v>27</v>
      </c>
      <c r="E492" s="5">
        <v>87</v>
      </c>
      <c r="F492" s="5">
        <v>33.200000000000003</v>
      </c>
      <c r="G492" s="5">
        <v>0.28899999999999998</v>
      </c>
      <c r="H492" s="5">
        <v>21</v>
      </c>
      <c r="I492" s="5">
        <v>0</v>
      </c>
    </row>
    <row r="493" spans="1:9" x14ac:dyDescent="0.25">
      <c r="A493" s="5">
        <v>4</v>
      </c>
      <c r="B493" s="5">
        <v>116</v>
      </c>
      <c r="C493" s="5">
        <v>72</v>
      </c>
      <c r="D493" s="5">
        <v>12</v>
      </c>
      <c r="E493" s="5">
        <v>87</v>
      </c>
      <c r="F493" s="5">
        <v>22.1</v>
      </c>
      <c r="G493" s="5">
        <v>0.46300000000000002</v>
      </c>
      <c r="H493" s="5">
        <v>37</v>
      </c>
      <c r="I493" s="5">
        <v>0</v>
      </c>
    </row>
    <row r="494" spans="1:9" x14ac:dyDescent="0.25">
      <c r="A494" s="5">
        <v>3</v>
      </c>
      <c r="B494" s="5">
        <v>78</v>
      </c>
      <c r="C494" s="5">
        <v>50</v>
      </c>
      <c r="D494" s="5">
        <v>32</v>
      </c>
      <c r="E494" s="5">
        <v>88</v>
      </c>
      <c r="F494" s="5">
        <v>31</v>
      </c>
      <c r="G494" s="5">
        <v>0.248</v>
      </c>
      <c r="H494" s="5">
        <v>26</v>
      </c>
      <c r="I494" s="5">
        <v>1</v>
      </c>
    </row>
    <row r="495" spans="1:9" x14ac:dyDescent="0.25">
      <c r="A495" s="5">
        <v>4</v>
      </c>
      <c r="B495" s="5">
        <v>91</v>
      </c>
      <c r="C495" s="5">
        <v>70</v>
      </c>
      <c r="D495" s="5">
        <v>32</v>
      </c>
      <c r="E495" s="5">
        <v>88</v>
      </c>
      <c r="F495" s="5">
        <v>33.1</v>
      </c>
      <c r="G495" s="5">
        <v>0.44600000000000001</v>
      </c>
      <c r="H495" s="5">
        <v>22</v>
      </c>
      <c r="I495" s="5">
        <v>0</v>
      </c>
    </row>
    <row r="496" spans="1:9" x14ac:dyDescent="0.25">
      <c r="A496" s="5">
        <v>5</v>
      </c>
      <c r="B496" s="5">
        <v>136</v>
      </c>
      <c r="C496" s="5">
        <v>84</v>
      </c>
      <c r="D496" s="5">
        <v>41</v>
      </c>
      <c r="E496" s="5">
        <v>88</v>
      </c>
      <c r="F496" s="5">
        <v>35</v>
      </c>
      <c r="G496" s="5">
        <v>0.28599999999999998</v>
      </c>
      <c r="H496" s="5">
        <v>35</v>
      </c>
      <c r="I496" s="5">
        <v>1</v>
      </c>
    </row>
    <row r="497" spans="1:9" x14ac:dyDescent="0.25">
      <c r="A497" s="5">
        <v>2</v>
      </c>
      <c r="B497" s="5">
        <v>95</v>
      </c>
      <c r="C497" s="5">
        <v>54</v>
      </c>
      <c r="D497" s="5">
        <v>14</v>
      </c>
      <c r="E497" s="5">
        <v>88</v>
      </c>
      <c r="F497" s="5">
        <v>26.1</v>
      </c>
      <c r="G497" s="5">
        <v>0.748</v>
      </c>
      <c r="H497" s="5">
        <v>22</v>
      </c>
      <c r="I497" s="5">
        <v>0</v>
      </c>
    </row>
    <row r="498" spans="1:9" x14ac:dyDescent="0.25">
      <c r="A498" s="5">
        <v>0</v>
      </c>
      <c r="B498" s="5">
        <v>118</v>
      </c>
      <c r="C498" s="5">
        <v>64</v>
      </c>
      <c r="D498" s="5">
        <v>23</v>
      </c>
      <c r="E498" s="5">
        <v>89</v>
      </c>
      <c r="F498" s="5">
        <v>0</v>
      </c>
      <c r="G498" s="5">
        <v>1.7310000000000001</v>
      </c>
      <c r="H498" s="5">
        <v>21</v>
      </c>
      <c r="I498" s="5">
        <v>0</v>
      </c>
    </row>
    <row r="499" spans="1:9" x14ac:dyDescent="0.25">
      <c r="A499" s="5">
        <v>2</v>
      </c>
      <c r="B499" s="5">
        <v>100</v>
      </c>
      <c r="C499" s="5">
        <v>66</v>
      </c>
      <c r="D499" s="5">
        <v>20</v>
      </c>
      <c r="E499" s="5">
        <v>90</v>
      </c>
      <c r="F499" s="5">
        <v>32.9</v>
      </c>
      <c r="G499" s="5">
        <v>0.86699999999999999</v>
      </c>
      <c r="H499" s="5">
        <v>28</v>
      </c>
      <c r="I499" s="5">
        <v>1</v>
      </c>
    </row>
    <row r="500" spans="1:9" x14ac:dyDescent="0.25">
      <c r="A500" s="5">
        <v>0</v>
      </c>
      <c r="B500" s="5">
        <v>180</v>
      </c>
      <c r="C500" s="5">
        <v>90</v>
      </c>
      <c r="D500" s="5">
        <v>26</v>
      </c>
      <c r="E500" s="5">
        <v>90</v>
      </c>
      <c r="F500" s="5">
        <v>36.5</v>
      </c>
      <c r="G500" s="5">
        <v>0.314</v>
      </c>
      <c r="H500" s="5">
        <v>35</v>
      </c>
      <c r="I500" s="5">
        <v>1</v>
      </c>
    </row>
    <row r="501" spans="1:9" x14ac:dyDescent="0.25">
      <c r="A501" s="5">
        <v>0</v>
      </c>
      <c r="B501" s="5">
        <v>102</v>
      </c>
      <c r="C501" s="5">
        <v>78</v>
      </c>
      <c r="D501" s="5">
        <v>40</v>
      </c>
      <c r="E501" s="5">
        <v>90</v>
      </c>
      <c r="F501" s="5">
        <v>34.5</v>
      </c>
      <c r="G501" s="5">
        <v>0.23799999999999999</v>
      </c>
      <c r="H501" s="5">
        <v>24</v>
      </c>
      <c r="I501" s="5">
        <v>0</v>
      </c>
    </row>
    <row r="502" spans="1:9" x14ac:dyDescent="0.25">
      <c r="A502" s="5">
        <v>2</v>
      </c>
      <c r="B502" s="5">
        <v>101</v>
      </c>
      <c r="C502" s="5">
        <v>58</v>
      </c>
      <c r="D502" s="5">
        <v>35</v>
      </c>
      <c r="E502" s="5">
        <v>90</v>
      </c>
      <c r="F502" s="5">
        <v>21.8</v>
      </c>
      <c r="G502" s="5">
        <v>0.155</v>
      </c>
      <c r="H502" s="5">
        <v>22</v>
      </c>
      <c r="I502" s="5">
        <v>0</v>
      </c>
    </row>
    <row r="503" spans="1:9" x14ac:dyDescent="0.25">
      <c r="A503" s="5">
        <v>7</v>
      </c>
      <c r="B503" s="5">
        <v>97</v>
      </c>
      <c r="C503" s="5">
        <v>76</v>
      </c>
      <c r="D503" s="5">
        <v>32</v>
      </c>
      <c r="E503" s="5">
        <v>91</v>
      </c>
      <c r="F503" s="5">
        <v>40.9</v>
      </c>
      <c r="G503" s="5">
        <v>0.871</v>
      </c>
      <c r="H503" s="5">
        <v>32</v>
      </c>
      <c r="I503" s="5">
        <v>1</v>
      </c>
    </row>
    <row r="504" spans="1:9" x14ac:dyDescent="0.25">
      <c r="A504" s="5">
        <v>0</v>
      </c>
      <c r="B504" s="5">
        <v>93</v>
      </c>
      <c r="C504" s="5">
        <v>60</v>
      </c>
      <c r="D504" s="5">
        <v>25</v>
      </c>
      <c r="E504" s="5">
        <v>92</v>
      </c>
      <c r="F504" s="5">
        <v>28.7</v>
      </c>
      <c r="G504" s="5">
        <v>0.53200000000000003</v>
      </c>
      <c r="H504" s="5">
        <v>22</v>
      </c>
      <c r="I504" s="5">
        <v>0</v>
      </c>
    </row>
    <row r="505" spans="1:9" x14ac:dyDescent="0.25">
      <c r="A505" s="5">
        <v>0</v>
      </c>
      <c r="B505" s="5">
        <v>119</v>
      </c>
      <c r="C505" s="5">
        <v>64</v>
      </c>
      <c r="D505" s="5">
        <v>18</v>
      </c>
      <c r="E505" s="5">
        <v>92</v>
      </c>
      <c r="F505" s="5">
        <v>34.9</v>
      </c>
      <c r="G505" s="5">
        <v>0.72499999999999998</v>
      </c>
      <c r="H505" s="5">
        <v>23</v>
      </c>
      <c r="I505" s="5">
        <v>0</v>
      </c>
    </row>
    <row r="506" spans="1:9" x14ac:dyDescent="0.25">
      <c r="A506" s="5">
        <v>0</v>
      </c>
      <c r="B506" s="5">
        <v>95</v>
      </c>
      <c r="C506" s="5">
        <v>80</v>
      </c>
      <c r="D506" s="5">
        <v>45</v>
      </c>
      <c r="E506" s="5">
        <v>92</v>
      </c>
      <c r="F506" s="5">
        <v>36.5</v>
      </c>
      <c r="G506" s="5">
        <v>0.33</v>
      </c>
      <c r="H506" s="5">
        <v>26</v>
      </c>
      <c r="I506" s="5">
        <v>0</v>
      </c>
    </row>
    <row r="507" spans="1:9" x14ac:dyDescent="0.25">
      <c r="A507" s="5">
        <v>1</v>
      </c>
      <c r="B507" s="5">
        <v>89</v>
      </c>
      <c r="C507" s="5">
        <v>66</v>
      </c>
      <c r="D507" s="5">
        <v>23</v>
      </c>
      <c r="E507" s="5">
        <v>94</v>
      </c>
      <c r="F507" s="5">
        <v>28.1</v>
      </c>
      <c r="G507" s="5">
        <v>0.16700000000000001</v>
      </c>
      <c r="H507" s="5">
        <v>21</v>
      </c>
      <c r="I507" s="5">
        <v>0</v>
      </c>
    </row>
    <row r="508" spans="1:9" x14ac:dyDescent="0.25">
      <c r="A508" s="5">
        <v>1</v>
      </c>
      <c r="B508" s="5">
        <v>118</v>
      </c>
      <c r="C508" s="5">
        <v>58</v>
      </c>
      <c r="D508" s="5">
        <v>36</v>
      </c>
      <c r="E508" s="5">
        <v>94</v>
      </c>
      <c r="F508" s="5">
        <v>33.299999999999997</v>
      </c>
      <c r="G508" s="5">
        <v>0.26100000000000001</v>
      </c>
      <c r="H508" s="5">
        <v>23</v>
      </c>
      <c r="I508" s="5">
        <v>0</v>
      </c>
    </row>
    <row r="509" spans="1:9" x14ac:dyDescent="0.25">
      <c r="A509" s="5">
        <v>2</v>
      </c>
      <c r="B509" s="5">
        <v>99</v>
      </c>
      <c r="C509" s="5">
        <v>52</v>
      </c>
      <c r="D509" s="5">
        <v>15</v>
      </c>
      <c r="E509" s="5">
        <v>94</v>
      </c>
      <c r="F509" s="5">
        <v>24.6</v>
      </c>
      <c r="G509" s="5">
        <v>0.63700000000000001</v>
      </c>
      <c r="H509" s="5">
        <v>21</v>
      </c>
      <c r="I509" s="5">
        <v>0</v>
      </c>
    </row>
    <row r="510" spans="1:9" x14ac:dyDescent="0.25">
      <c r="A510" s="5">
        <v>9</v>
      </c>
      <c r="B510" s="5">
        <v>123</v>
      </c>
      <c r="C510" s="5">
        <v>70</v>
      </c>
      <c r="D510" s="5">
        <v>44</v>
      </c>
      <c r="E510" s="5">
        <v>94</v>
      </c>
      <c r="F510" s="5">
        <v>33.1</v>
      </c>
      <c r="G510" s="5">
        <v>0.374</v>
      </c>
      <c r="H510" s="5">
        <v>40</v>
      </c>
      <c r="I510" s="5">
        <v>0</v>
      </c>
    </row>
    <row r="511" spans="1:9" x14ac:dyDescent="0.25">
      <c r="A511" s="5">
        <v>2</v>
      </c>
      <c r="B511" s="5">
        <v>112</v>
      </c>
      <c r="C511" s="5">
        <v>68</v>
      </c>
      <c r="D511" s="5">
        <v>22</v>
      </c>
      <c r="E511" s="5">
        <v>94</v>
      </c>
      <c r="F511" s="5">
        <v>34.1</v>
      </c>
      <c r="G511" s="5">
        <v>0.315</v>
      </c>
      <c r="H511" s="5">
        <v>26</v>
      </c>
      <c r="I511" s="5">
        <v>0</v>
      </c>
    </row>
    <row r="512" spans="1:9" x14ac:dyDescent="0.25">
      <c r="A512" s="5">
        <v>2</v>
      </c>
      <c r="B512" s="5">
        <v>105</v>
      </c>
      <c r="C512" s="5">
        <v>58</v>
      </c>
      <c r="D512" s="5">
        <v>40</v>
      </c>
      <c r="E512" s="5">
        <v>94</v>
      </c>
      <c r="F512" s="5">
        <v>34.9</v>
      </c>
      <c r="G512" s="5">
        <v>0.22500000000000001</v>
      </c>
      <c r="H512" s="5">
        <v>25</v>
      </c>
      <c r="I512" s="5">
        <v>0</v>
      </c>
    </row>
    <row r="513" spans="1:9" x14ac:dyDescent="0.25">
      <c r="A513" s="5">
        <v>3</v>
      </c>
      <c r="B513" s="5">
        <v>102</v>
      </c>
      <c r="C513" s="5">
        <v>44</v>
      </c>
      <c r="D513" s="5">
        <v>20</v>
      </c>
      <c r="E513" s="5">
        <v>94</v>
      </c>
      <c r="F513" s="5">
        <v>30.8</v>
      </c>
      <c r="G513" s="5">
        <v>0.4</v>
      </c>
      <c r="H513" s="5">
        <v>26</v>
      </c>
      <c r="I513" s="5">
        <v>0</v>
      </c>
    </row>
    <row r="514" spans="1:9" x14ac:dyDescent="0.25">
      <c r="A514" s="5">
        <v>1</v>
      </c>
      <c r="B514" s="5">
        <v>82</v>
      </c>
      <c r="C514" s="5">
        <v>64</v>
      </c>
      <c r="D514" s="5">
        <v>13</v>
      </c>
      <c r="E514" s="5">
        <v>95</v>
      </c>
      <c r="F514" s="5">
        <v>21.2</v>
      </c>
      <c r="G514" s="5">
        <v>0.41499999999999998</v>
      </c>
      <c r="H514" s="5">
        <v>23</v>
      </c>
      <c r="I514" s="5">
        <v>0</v>
      </c>
    </row>
    <row r="515" spans="1:9" x14ac:dyDescent="0.25">
      <c r="A515" s="5">
        <v>2</v>
      </c>
      <c r="B515" s="5">
        <v>121</v>
      </c>
      <c r="C515" s="5">
        <v>70</v>
      </c>
      <c r="D515" s="5">
        <v>32</v>
      </c>
      <c r="E515" s="5">
        <v>95</v>
      </c>
      <c r="F515" s="5">
        <v>39.1</v>
      </c>
      <c r="G515" s="5">
        <v>0.88600000000000001</v>
      </c>
      <c r="H515" s="5">
        <v>23</v>
      </c>
      <c r="I515" s="5">
        <v>0</v>
      </c>
    </row>
    <row r="516" spans="1:9" x14ac:dyDescent="0.25">
      <c r="A516" s="5">
        <v>1</v>
      </c>
      <c r="B516" s="5">
        <v>115</v>
      </c>
      <c r="C516" s="5">
        <v>70</v>
      </c>
      <c r="D516" s="5">
        <v>30</v>
      </c>
      <c r="E516" s="5">
        <v>96</v>
      </c>
      <c r="F516" s="5">
        <v>34.6</v>
      </c>
      <c r="G516" s="5">
        <v>0.52900000000000003</v>
      </c>
      <c r="H516" s="5">
        <v>32</v>
      </c>
      <c r="I516" s="5">
        <v>1</v>
      </c>
    </row>
    <row r="517" spans="1:9" x14ac:dyDescent="0.25">
      <c r="A517" s="5">
        <v>2</v>
      </c>
      <c r="B517" s="5">
        <v>155</v>
      </c>
      <c r="C517" s="5">
        <v>74</v>
      </c>
      <c r="D517" s="5">
        <v>17</v>
      </c>
      <c r="E517" s="5">
        <v>96</v>
      </c>
      <c r="F517" s="5">
        <v>26.6</v>
      </c>
      <c r="G517" s="5">
        <v>0.433</v>
      </c>
      <c r="H517" s="5">
        <v>27</v>
      </c>
      <c r="I517" s="5">
        <v>1</v>
      </c>
    </row>
    <row r="518" spans="1:9" x14ac:dyDescent="0.25">
      <c r="A518" s="5">
        <v>1</v>
      </c>
      <c r="B518" s="5">
        <v>88</v>
      </c>
      <c r="C518" s="5">
        <v>30</v>
      </c>
      <c r="D518" s="5">
        <v>42</v>
      </c>
      <c r="E518" s="5">
        <v>99</v>
      </c>
      <c r="F518" s="5">
        <v>55</v>
      </c>
      <c r="G518" s="5">
        <v>0.496</v>
      </c>
      <c r="H518" s="5">
        <v>26</v>
      </c>
      <c r="I518" s="5">
        <v>1</v>
      </c>
    </row>
    <row r="519" spans="1:9" x14ac:dyDescent="0.25">
      <c r="A519" s="5">
        <v>4</v>
      </c>
      <c r="B519" s="5">
        <v>109</v>
      </c>
      <c r="C519" s="5">
        <v>64</v>
      </c>
      <c r="D519" s="5">
        <v>44</v>
      </c>
      <c r="E519" s="5">
        <v>99</v>
      </c>
      <c r="F519" s="5">
        <v>34.799999999999997</v>
      </c>
      <c r="G519" s="5">
        <v>0.90500000000000003</v>
      </c>
      <c r="H519" s="5">
        <v>26</v>
      </c>
      <c r="I519" s="5">
        <v>1</v>
      </c>
    </row>
    <row r="520" spans="1:9" x14ac:dyDescent="0.25">
      <c r="A520" s="5">
        <v>4</v>
      </c>
      <c r="B520" s="5">
        <v>146</v>
      </c>
      <c r="C520" s="5">
        <v>85</v>
      </c>
      <c r="D520" s="5">
        <v>27</v>
      </c>
      <c r="E520" s="5">
        <v>100</v>
      </c>
      <c r="F520" s="5">
        <v>28.9</v>
      </c>
      <c r="G520" s="5">
        <v>0.189</v>
      </c>
      <c r="H520" s="5">
        <v>27</v>
      </c>
      <c r="I520" s="5">
        <v>0</v>
      </c>
    </row>
    <row r="521" spans="1:9" x14ac:dyDescent="0.25">
      <c r="A521" s="5">
        <v>0</v>
      </c>
      <c r="B521" s="5">
        <v>162</v>
      </c>
      <c r="C521" s="5">
        <v>76</v>
      </c>
      <c r="D521" s="5">
        <v>56</v>
      </c>
      <c r="E521" s="5">
        <v>100</v>
      </c>
      <c r="F521" s="5">
        <v>53.2</v>
      </c>
      <c r="G521" s="5">
        <v>0.75900000000000001</v>
      </c>
      <c r="H521" s="5">
        <v>25</v>
      </c>
      <c r="I521" s="5">
        <v>1</v>
      </c>
    </row>
    <row r="522" spans="1:9" x14ac:dyDescent="0.25">
      <c r="A522" s="5">
        <v>2</v>
      </c>
      <c r="B522" s="5">
        <v>107</v>
      </c>
      <c r="C522" s="5">
        <v>74</v>
      </c>
      <c r="D522" s="5">
        <v>30</v>
      </c>
      <c r="E522" s="5">
        <v>100</v>
      </c>
      <c r="F522" s="5">
        <v>33.6</v>
      </c>
      <c r="G522" s="5">
        <v>0.40400000000000003</v>
      </c>
      <c r="H522" s="5">
        <v>23</v>
      </c>
      <c r="I522" s="5">
        <v>0</v>
      </c>
    </row>
    <row r="523" spans="1:9" x14ac:dyDescent="0.25">
      <c r="A523" s="5">
        <v>0</v>
      </c>
      <c r="B523" s="5">
        <v>97</v>
      </c>
      <c r="C523" s="5">
        <v>64</v>
      </c>
      <c r="D523" s="5">
        <v>36</v>
      </c>
      <c r="E523" s="5">
        <v>100</v>
      </c>
      <c r="F523" s="5">
        <v>36.799999999999997</v>
      </c>
      <c r="G523" s="5">
        <v>0.6</v>
      </c>
      <c r="H523" s="5">
        <v>25</v>
      </c>
      <c r="I523" s="5">
        <v>0</v>
      </c>
    </row>
    <row r="524" spans="1:9" x14ac:dyDescent="0.25">
      <c r="A524" s="5">
        <v>1</v>
      </c>
      <c r="B524" s="5">
        <v>91</v>
      </c>
      <c r="C524" s="5">
        <v>54</v>
      </c>
      <c r="D524" s="5">
        <v>25</v>
      </c>
      <c r="E524" s="5">
        <v>100</v>
      </c>
      <c r="F524" s="5">
        <v>25.2</v>
      </c>
      <c r="G524" s="5">
        <v>0.23400000000000001</v>
      </c>
      <c r="H524" s="5">
        <v>23</v>
      </c>
      <c r="I524" s="5">
        <v>0</v>
      </c>
    </row>
    <row r="525" spans="1:9" x14ac:dyDescent="0.25">
      <c r="A525" s="5">
        <v>9</v>
      </c>
      <c r="B525" s="5">
        <v>154</v>
      </c>
      <c r="C525" s="5">
        <v>78</v>
      </c>
      <c r="D525" s="5">
        <v>30</v>
      </c>
      <c r="E525" s="5">
        <v>100</v>
      </c>
      <c r="F525" s="5">
        <v>30.9</v>
      </c>
      <c r="G525" s="5">
        <v>0.16400000000000001</v>
      </c>
      <c r="H525" s="5">
        <v>45</v>
      </c>
      <c r="I525" s="5">
        <v>0</v>
      </c>
    </row>
    <row r="526" spans="1:9" x14ac:dyDescent="0.25">
      <c r="A526" s="5">
        <v>4</v>
      </c>
      <c r="B526" s="5">
        <v>110</v>
      </c>
      <c r="C526" s="5">
        <v>76</v>
      </c>
      <c r="D526" s="5">
        <v>20</v>
      </c>
      <c r="E526" s="5">
        <v>100</v>
      </c>
      <c r="F526" s="5">
        <v>28.4</v>
      </c>
      <c r="G526" s="5">
        <v>0.11799999999999999</v>
      </c>
      <c r="H526" s="5">
        <v>27</v>
      </c>
      <c r="I526" s="5">
        <v>0</v>
      </c>
    </row>
    <row r="527" spans="1:9" x14ac:dyDescent="0.25">
      <c r="A527" s="5">
        <v>7</v>
      </c>
      <c r="B527" s="5">
        <v>102</v>
      </c>
      <c r="C527" s="5">
        <v>74</v>
      </c>
      <c r="D527" s="5">
        <v>40</v>
      </c>
      <c r="E527" s="5">
        <v>105</v>
      </c>
      <c r="F527" s="5">
        <v>37.200000000000003</v>
      </c>
      <c r="G527" s="5">
        <v>0.20399999999999999</v>
      </c>
      <c r="H527" s="5">
        <v>45</v>
      </c>
      <c r="I527" s="5">
        <v>0</v>
      </c>
    </row>
    <row r="528" spans="1:9" x14ac:dyDescent="0.25">
      <c r="A528" s="5">
        <v>2</v>
      </c>
      <c r="B528" s="5">
        <v>120</v>
      </c>
      <c r="C528" s="5">
        <v>76</v>
      </c>
      <c r="D528" s="5">
        <v>37</v>
      </c>
      <c r="E528" s="5">
        <v>105</v>
      </c>
      <c r="F528" s="5">
        <v>39.700000000000003</v>
      </c>
      <c r="G528" s="5">
        <v>0.215</v>
      </c>
      <c r="H528" s="5">
        <v>29</v>
      </c>
      <c r="I528" s="5">
        <v>0</v>
      </c>
    </row>
    <row r="529" spans="1:9" x14ac:dyDescent="0.25">
      <c r="A529" s="5">
        <v>1</v>
      </c>
      <c r="B529" s="5">
        <v>130</v>
      </c>
      <c r="C529" s="5">
        <v>70</v>
      </c>
      <c r="D529" s="5">
        <v>13</v>
      </c>
      <c r="E529" s="5">
        <v>105</v>
      </c>
      <c r="F529" s="5">
        <v>25.9</v>
      </c>
      <c r="G529" s="5">
        <v>0.47199999999999998</v>
      </c>
      <c r="H529" s="5">
        <v>22</v>
      </c>
      <c r="I529" s="5">
        <v>0</v>
      </c>
    </row>
    <row r="530" spans="1:9" x14ac:dyDescent="0.25">
      <c r="A530" s="5">
        <v>2</v>
      </c>
      <c r="B530" s="5">
        <v>100</v>
      </c>
      <c r="C530" s="5">
        <v>54</v>
      </c>
      <c r="D530" s="5">
        <v>28</v>
      </c>
      <c r="E530" s="5">
        <v>105</v>
      </c>
      <c r="F530" s="5">
        <v>37.799999999999997</v>
      </c>
      <c r="G530" s="5">
        <v>0.498</v>
      </c>
      <c r="H530" s="5">
        <v>24</v>
      </c>
      <c r="I530" s="5">
        <v>0</v>
      </c>
    </row>
    <row r="531" spans="1:9" x14ac:dyDescent="0.25">
      <c r="A531" s="5">
        <v>0</v>
      </c>
      <c r="B531" s="5">
        <v>124</v>
      </c>
      <c r="C531" s="5">
        <v>56</v>
      </c>
      <c r="D531" s="5">
        <v>13</v>
      </c>
      <c r="E531" s="5">
        <v>105</v>
      </c>
      <c r="F531" s="5">
        <v>21.8</v>
      </c>
      <c r="G531" s="5">
        <v>0.45200000000000001</v>
      </c>
      <c r="H531" s="5">
        <v>21</v>
      </c>
      <c r="I531" s="5">
        <v>0</v>
      </c>
    </row>
    <row r="532" spans="1:9" x14ac:dyDescent="0.25">
      <c r="A532" s="5">
        <v>3</v>
      </c>
      <c r="B532" s="5">
        <v>163</v>
      </c>
      <c r="C532" s="5">
        <v>70</v>
      </c>
      <c r="D532" s="5">
        <v>18</v>
      </c>
      <c r="E532" s="5">
        <v>105</v>
      </c>
      <c r="F532" s="5">
        <v>31.6</v>
      </c>
      <c r="G532" s="5">
        <v>0.26800000000000002</v>
      </c>
      <c r="H532" s="5">
        <v>28</v>
      </c>
      <c r="I532" s="5">
        <v>1</v>
      </c>
    </row>
    <row r="533" spans="1:9" x14ac:dyDescent="0.25">
      <c r="A533" s="5">
        <v>3</v>
      </c>
      <c r="B533" s="5">
        <v>116</v>
      </c>
      <c r="C533" s="5">
        <v>74</v>
      </c>
      <c r="D533" s="5">
        <v>15</v>
      </c>
      <c r="E533" s="5">
        <v>105</v>
      </c>
      <c r="F533" s="5">
        <v>26.3</v>
      </c>
      <c r="G533" s="5">
        <v>0.107</v>
      </c>
      <c r="H533" s="5">
        <v>24</v>
      </c>
      <c r="I533" s="5">
        <v>0</v>
      </c>
    </row>
    <row r="534" spans="1:9" x14ac:dyDescent="0.25">
      <c r="A534" s="5">
        <v>0</v>
      </c>
      <c r="B534" s="5">
        <v>102</v>
      </c>
      <c r="C534" s="5">
        <v>86</v>
      </c>
      <c r="D534" s="5">
        <v>17</v>
      </c>
      <c r="E534" s="5">
        <v>105</v>
      </c>
      <c r="F534" s="5">
        <v>29.3</v>
      </c>
      <c r="G534" s="5">
        <v>0.69499999999999995</v>
      </c>
      <c r="H534" s="5">
        <v>27</v>
      </c>
      <c r="I534" s="5">
        <v>0</v>
      </c>
    </row>
    <row r="535" spans="1:9" x14ac:dyDescent="0.25">
      <c r="A535" s="5">
        <v>0</v>
      </c>
      <c r="B535" s="5">
        <v>95</v>
      </c>
      <c r="C535" s="5">
        <v>64</v>
      </c>
      <c r="D535" s="5">
        <v>39</v>
      </c>
      <c r="E535" s="5">
        <v>105</v>
      </c>
      <c r="F535" s="5">
        <v>44.6</v>
      </c>
      <c r="G535" s="5">
        <v>0.36599999999999999</v>
      </c>
      <c r="H535" s="5">
        <v>22</v>
      </c>
      <c r="I535" s="5">
        <v>0</v>
      </c>
    </row>
    <row r="536" spans="1:9" x14ac:dyDescent="0.25">
      <c r="A536" s="5">
        <v>5</v>
      </c>
      <c r="B536" s="5">
        <v>117</v>
      </c>
      <c r="C536" s="5">
        <v>86</v>
      </c>
      <c r="D536" s="5">
        <v>30</v>
      </c>
      <c r="E536" s="5">
        <v>105</v>
      </c>
      <c r="F536" s="5">
        <v>39.1</v>
      </c>
      <c r="G536" s="5">
        <v>0.251</v>
      </c>
      <c r="H536" s="5">
        <v>42</v>
      </c>
      <c r="I536" s="5">
        <v>0</v>
      </c>
    </row>
    <row r="537" spans="1:9" x14ac:dyDescent="0.25">
      <c r="A537" s="5">
        <v>12</v>
      </c>
      <c r="B537" s="5">
        <v>100</v>
      </c>
      <c r="C537" s="5">
        <v>84</v>
      </c>
      <c r="D537" s="5">
        <v>33</v>
      </c>
      <c r="E537" s="5">
        <v>105</v>
      </c>
      <c r="F537" s="5">
        <v>30</v>
      </c>
      <c r="G537" s="5">
        <v>0.48799999999999999</v>
      </c>
      <c r="H537" s="5">
        <v>46</v>
      </c>
      <c r="I537" s="5">
        <v>0</v>
      </c>
    </row>
    <row r="538" spans="1:9" x14ac:dyDescent="0.25">
      <c r="A538" s="5">
        <v>2</v>
      </c>
      <c r="B538" s="5">
        <v>122</v>
      </c>
      <c r="C538" s="5">
        <v>60</v>
      </c>
      <c r="D538" s="5">
        <v>18</v>
      </c>
      <c r="E538" s="5">
        <v>106</v>
      </c>
      <c r="F538" s="5">
        <v>29.8</v>
      </c>
      <c r="G538" s="5">
        <v>0.71699999999999997</v>
      </c>
      <c r="H538" s="5">
        <v>22</v>
      </c>
      <c r="I538" s="5">
        <v>0</v>
      </c>
    </row>
    <row r="539" spans="1:9" x14ac:dyDescent="0.25">
      <c r="A539" s="5">
        <v>3</v>
      </c>
      <c r="B539" s="5">
        <v>84</v>
      </c>
      <c r="C539" s="5">
        <v>68</v>
      </c>
      <c r="D539" s="5">
        <v>30</v>
      </c>
      <c r="E539" s="5">
        <v>106</v>
      </c>
      <c r="F539" s="5">
        <v>31.9</v>
      </c>
      <c r="G539" s="5">
        <v>0.59099999999999997</v>
      </c>
      <c r="H539" s="5">
        <v>25</v>
      </c>
      <c r="I539" s="5">
        <v>0</v>
      </c>
    </row>
    <row r="540" spans="1:9" x14ac:dyDescent="0.25">
      <c r="A540" s="5">
        <v>1</v>
      </c>
      <c r="B540" s="5">
        <v>117</v>
      </c>
      <c r="C540" s="5">
        <v>60</v>
      </c>
      <c r="D540" s="5">
        <v>23</v>
      </c>
      <c r="E540" s="5">
        <v>106</v>
      </c>
      <c r="F540" s="5">
        <v>33.799999999999997</v>
      </c>
      <c r="G540" s="5">
        <v>0.46600000000000003</v>
      </c>
      <c r="H540" s="5">
        <v>27</v>
      </c>
      <c r="I540" s="5">
        <v>0</v>
      </c>
    </row>
    <row r="541" spans="1:9" x14ac:dyDescent="0.25">
      <c r="A541" s="5">
        <v>8</v>
      </c>
      <c r="B541" s="5">
        <v>126</v>
      </c>
      <c r="C541" s="5">
        <v>88</v>
      </c>
      <c r="D541" s="5">
        <v>36</v>
      </c>
      <c r="E541" s="5">
        <v>108</v>
      </c>
      <c r="F541" s="5">
        <v>38.5</v>
      </c>
      <c r="G541" s="5">
        <v>0.34899999999999998</v>
      </c>
      <c r="H541" s="5">
        <v>49</v>
      </c>
      <c r="I541" s="5">
        <v>0</v>
      </c>
    </row>
    <row r="542" spans="1:9" x14ac:dyDescent="0.25">
      <c r="A542" s="5">
        <v>13</v>
      </c>
      <c r="B542" s="5">
        <v>145</v>
      </c>
      <c r="C542" s="5">
        <v>82</v>
      </c>
      <c r="D542" s="5">
        <v>19</v>
      </c>
      <c r="E542" s="5">
        <v>110</v>
      </c>
      <c r="F542" s="5">
        <v>22.2</v>
      </c>
      <c r="G542" s="5">
        <v>0.245</v>
      </c>
      <c r="H542" s="5">
        <v>57</v>
      </c>
      <c r="I542" s="5">
        <v>0</v>
      </c>
    </row>
    <row r="543" spans="1:9" x14ac:dyDescent="0.25">
      <c r="A543" s="5">
        <v>0</v>
      </c>
      <c r="B543" s="5">
        <v>100</v>
      </c>
      <c r="C543" s="5">
        <v>88</v>
      </c>
      <c r="D543" s="5">
        <v>60</v>
      </c>
      <c r="E543" s="5">
        <v>110</v>
      </c>
      <c r="F543" s="5">
        <v>46.8</v>
      </c>
      <c r="G543" s="5">
        <v>0.96199999999999997</v>
      </c>
      <c r="H543" s="5">
        <v>31</v>
      </c>
      <c r="I543" s="5">
        <v>0</v>
      </c>
    </row>
    <row r="544" spans="1:9" x14ac:dyDescent="0.25">
      <c r="A544" s="5">
        <v>15</v>
      </c>
      <c r="B544" s="5">
        <v>136</v>
      </c>
      <c r="C544" s="5">
        <v>70</v>
      </c>
      <c r="D544" s="5">
        <v>32</v>
      </c>
      <c r="E544" s="5">
        <v>110</v>
      </c>
      <c r="F544" s="5">
        <v>37.1</v>
      </c>
      <c r="G544" s="5">
        <v>0.153</v>
      </c>
      <c r="H544" s="5">
        <v>43</v>
      </c>
      <c r="I544" s="5">
        <v>1</v>
      </c>
    </row>
    <row r="545" spans="1:9" x14ac:dyDescent="0.25">
      <c r="A545" s="5">
        <v>1</v>
      </c>
      <c r="B545" s="5">
        <v>125</v>
      </c>
      <c r="C545" s="5">
        <v>70</v>
      </c>
      <c r="D545" s="5">
        <v>24</v>
      </c>
      <c r="E545" s="5">
        <v>110</v>
      </c>
      <c r="F545" s="5">
        <v>24.3</v>
      </c>
      <c r="G545" s="5">
        <v>0.221</v>
      </c>
      <c r="H545" s="5">
        <v>25</v>
      </c>
      <c r="I545" s="5">
        <v>0</v>
      </c>
    </row>
    <row r="546" spans="1:9" x14ac:dyDescent="0.25">
      <c r="A546" s="5">
        <v>7</v>
      </c>
      <c r="B546" s="5">
        <v>114</v>
      </c>
      <c r="C546" s="5">
        <v>76</v>
      </c>
      <c r="D546" s="5">
        <v>17</v>
      </c>
      <c r="E546" s="5">
        <v>110</v>
      </c>
      <c r="F546" s="5">
        <v>23.8</v>
      </c>
      <c r="G546" s="5">
        <v>0.46600000000000003</v>
      </c>
      <c r="H546" s="5">
        <v>31</v>
      </c>
      <c r="I546" s="5">
        <v>0</v>
      </c>
    </row>
    <row r="547" spans="1:9" x14ac:dyDescent="0.25">
      <c r="A547" s="5">
        <v>1</v>
      </c>
      <c r="B547" s="5">
        <v>128</v>
      </c>
      <c r="C547" s="5">
        <v>88</v>
      </c>
      <c r="D547" s="5">
        <v>39</v>
      </c>
      <c r="E547" s="5">
        <v>110</v>
      </c>
      <c r="F547" s="5">
        <v>36.5</v>
      </c>
      <c r="G547" s="5">
        <v>1.0569999999999999</v>
      </c>
      <c r="H547" s="5">
        <v>37</v>
      </c>
      <c r="I547" s="5">
        <v>1</v>
      </c>
    </row>
    <row r="548" spans="1:9" x14ac:dyDescent="0.25">
      <c r="A548" s="5">
        <v>5</v>
      </c>
      <c r="B548" s="5">
        <v>121</v>
      </c>
      <c r="C548" s="5">
        <v>72</v>
      </c>
      <c r="D548" s="5">
        <v>23</v>
      </c>
      <c r="E548" s="5">
        <v>112</v>
      </c>
      <c r="F548" s="5">
        <v>26.2</v>
      </c>
      <c r="G548" s="5">
        <v>0.245</v>
      </c>
      <c r="H548" s="5">
        <v>30</v>
      </c>
      <c r="I548" s="5">
        <v>0</v>
      </c>
    </row>
    <row r="549" spans="1:9" x14ac:dyDescent="0.25">
      <c r="A549" s="5">
        <v>17</v>
      </c>
      <c r="B549" s="5">
        <v>163</v>
      </c>
      <c r="C549" s="5">
        <v>72</v>
      </c>
      <c r="D549" s="5">
        <v>41</v>
      </c>
      <c r="E549" s="5">
        <v>114</v>
      </c>
      <c r="F549" s="5">
        <v>40.9</v>
      </c>
      <c r="G549" s="5">
        <v>0.81699999999999995</v>
      </c>
      <c r="H549" s="5">
        <v>47</v>
      </c>
      <c r="I549" s="5">
        <v>1</v>
      </c>
    </row>
    <row r="550" spans="1:9" x14ac:dyDescent="0.25">
      <c r="A550" s="5">
        <v>8</v>
      </c>
      <c r="B550" s="5">
        <v>109</v>
      </c>
      <c r="C550" s="5">
        <v>76</v>
      </c>
      <c r="D550" s="5">
        <v>39</v>
      </c>
      <c r="E550" s="5">
        <v>114</v>
      </c>
      <c r="F550" s="5">
        <v>27.9</v>
      </c>
      <c r="G550" s="5">
        <v>0.64</v>
      </c>
      <c r="H550" s="5">
        <v>31</v>
      </c>
      <c r="I550" s="5">
        <v>1</v>
      </c>
    </row>
    <row r="551" spans="1:9" x14ac:dyDescent="0.25">
      <c r="A551" s="5">
        <v>10</v>
      </c>
      <c r="B551" s="5">
        <v>125</v>
      </c>
      <c r="C551" s="5">
        <v>70</v>
      </c>
      <c r="D551" s="5">
        <v>26</v>
      </c>
      <c r="E551" s="5">
        <v>115</v>
      </c>
      <c r="F551" s="5">
        <v>31.1</v>
      </c>
      <c r="G551" s="5">
        <v>0.20499999999999999</v>
      </c>
      <c r="H551" s="5">
        <v>41</v>
      </c>
      <c r="I551" s="5">
        <v>1</v>
      </c>
    </row>
    <row r="552" spans="1:9" x14ac:dyDescent="0.25">
      <c r="A552" s="5">
        <v>3</v>
      </c>
      <c r="B552" s="5">
        <v>96</v>
      </c>
      <c r="C552" s="5">
        <v>56</v>
      </c>
      <c r="D552" s="5">
        <v>34</v>
      </c>
      <c r="E552" s="5">
        <v>115</v>
      </c>
      <c r="F552" s="5">
        <v>24.7</v>
      </c>
      <c r="G552" s="5">
        <v>0.94399999999999995</v>
      </c>
      <c r="H552" s="5">
        <v>39</v>
      </c>
      <c r="I552" s="5">
        <v>0</v>
      </c>
    </row>
    <row r="553" spans="1:9" x14ac:dyDescent="0.25">
      <c r="A553" s="5">
        <v>3</v>
      </c>
      <c r="B553" s="5">
        <v>129</v>
      </c>
      <c r="C553" s="5">
        <v>64</v>
      </c>
      <c r="D553" s="5">
        <v>29</v>
      </c>
      <c r="E553" s="5">
        <v>115</v>
      </c>
      <c r="F553" s="5">
        <v>26.4</v>
      </c>
      <c r="G553" s="5">
        <v>0.219</v>
      </c>
      <c r="H553" s="5">
        <v>28</v>
      </c>
      <c r="I553" s="5">
        <v>1</v>
      </c>
    </row>
    <row r="554" spans="1:9" x14ac:dyDescent="0.25">
      <c r="A554" s="5">
        <v>1</v>
      </c>
      <c r="B554" s="5">
        <v>84</v>
      </c>
      <c r="C554" s="5">
        <v>64</v>
      </c>
      <c r="D554" s="5">
        <v>23</v>
      </c>
      <c r="E554" s="5">
        <v>115</v>
      </c>
      <c r="F554" s="5">
        <v>36.9</v>
      </c>
      <c r="G554" s="5">
        <v>0.47099999999999997</v>
      </c>
      <c r="H554" s="5">
        <v>28</v>
      </c>
      <c r="I554" s="5">
        <v>0</v>
      </c>
    </row>
    <row r="555" spans="1:9" x14ac:dyDescent="0.25">
      <c r="A555" s="5">
        <v>2</v>
      </c>
      <c r="B555" s="5">
        <v>82</v>
      </c>
      <c r="C555" s="5">
        <v>52</v>
      </c>
      <c r="D555" s="5">
        <v>22</v>
      </c>
      <c r="E555" s="5">
        <v>115</v>
      </c>
      <c r="F555" s="5">
        <v>28.5</v>
      </c>
      <c r="G555" s="5">
        <v>1.6990000000000001</v>
      </c>
      <c r="H555" s="5">
        <v>25</v>
      </c>
      <c r="I555" s="5">
        <v>0</v>
      </c>
    </row>
    <row r="556" spans="1:9" x14ac:dyDescent="0.25">
      <c r="A556" s="5">
        <v>0</v>
      </c>
      <c r="B556" s="5">
        <v>94</v>
      </c>
      <c r="C556" s="5">
        <v>70</v>
      </c>
      <c r="D556" s="5">
        <v>27</v>
      </c>
      <c r="E556" s="5">
        <v>115</v>
      </c>
      <c r="F556" s="5">
        <v>43.5</v>
      </c>
      <c r="G556" s="5">
        <v>0.34699999999999998</v>
      </c>
      <c r="H556" s="5">
        <v>21</v>
      </c>
      <c r="I556" s="5">
        <v>0</v>
      </c>
    </row>
    <row r="557" spans="1:9" x14ac:dyDescent="0.25">
      <c r="A557" s="5">
        <v>0</v>
      </c>
      <c r="B557" s="5">
        <v>104</v>
      </c>
      <c r="C557" s="5">
        <v>64</v>
      </c>
      <c r="D557" s="5">
        <v>23</v>
      </c>
      <c r="E557" s="5">
        <v>116</v>
      </c>
      <c r="F557" s="5">
        <v>27.8</v>
      </c>
      <c r="G557" s="5">
        <v>0.45400000000000001</v>
      </c>
      <c r="H557" s="5">
        <v>23</v>
      </c>
      <c r="I557" s="5">
        <v>0</v>
      </c>
    </row>
    <row r="558" spans="1:9" x14ac:dyDescent="0.25">
      <c r="A558" s="5">
        <v>1</v>
      </c>
      <c r="B558" s="5">
        <v>109</v>
      </c>
      <c r="C558" s="5">
        <v>58</v>
      </c>
      <c r="D558" s="5">
        <v>18</v>
      </c>
      <c r="E558" s="5">
        <v>116</v>
      </c>
      <c r="F558" s="5">
        <v>28.5</v>
      </c>
      <c r="G558" s="5">
        <v>0.219</v>
      </c>
      <c r="H558" s="5">
        <v>22</v>
      </c>
      <c r="I558" s="5">
        <v>0</v>
      </c>
    </row>
    <row r="559" spans="1:9" x14ac:dyDescent="0.25">
      <c r="A559" s="5">
        <v>2</v>
      </c>
      <c r="B559" s="5">
        <v>106</v>
      </c>
      <c r="C559" s="5">
        <v>64</v>
      </c>
      <c r="D559" s="5">
        <v>35</v>
      </c>
      <c r="E559" s="5">
        <v>119</v>
      </c>
      <c r="F559" s="5">
        <v>30.5</v>
      </c>
      <c r="G559" s="5">
        <v>1.4</v>
      </c>
      <c r="H559" s="5">
        <v>34</v>
      </c>
      <c r="I559" s="5">
        <v>0</v>
      </c>
    </row>
    <row r="560" spans="1:9" x14ac:dyDescent="0.25">
      <c r="A560" s="5">
        <v>6</v>
      </c>
      <c r="B560" s="5">
        <v>125</v>
      </c>
      <c r="C560" s="5">
        <v>68</v>
      </c>
      <c r="D560" s="5">
        <v>30</v>
      </c>
      <c r="E560" s="5">
        <v>120</v>
      </c>
      <c r="F560" s="5">
        <v>30</v>
      </c>
      <c r="G560" s="5">
        <v>0.46400000000000002</v>
      </c>
      <c r="H560" s="5">
        <v>32</v>
      </c>
      <c r="I560" s="5">
        <v>0</v>
      </c>
    </row>
    <row r="561" spans="1:9" x14ac:dyDescent="0.25">
      <c r="A561" s="5">
        <v>6</v>
      </c>
      <c r="B561" s="5">
        <v>151</v>
      </c>
      <c r="C561" s="5">
        <v>62</v>
      </c>
      <c r="D561" s="5">
        <v>31</v>
      </c>
      <c r="E561" s="5">
        <v>120</v>
      </c>
      <c r="F561" s="5">
        <v>35.5</v>
      </c>
      <c r="G561" s="5">
        <v>0.69199999999999995</v>
      </c>
      <c r="H561" s="5">
        <v>28</v>
      </c>
      <c r="I561" s="5">
        <v>0</v>
      </c>
    </row>
    <row r="562" spans="1:9" x14ac:dyDescent="0.25">
      <c r="A562" s="5">
        <v>2</v>
      </c>
      <c r="B562" s="5">
        <v>102</v>
      </c>
      <c r="C562" s="5">
        <v>86</v>
      </c>
      <c r="D562" s="5">
        <v>36</v>
      </c>
      <c r="E562" s="5">
        <v>120</v>
      </c>
      <c r="F562" s="5">
        <v>45.5</v>
      </c>
      <c r="G562" s="5">
        <v>0.127</v>
      </c>
      <c r="H562" s="5">
        <v>23</v>
      </c>
      <c r="I562" s="5">
        <v>1</v>
      </c>
    </row>
    <row r="563" spans="1:9" x14ac:dyDescent="0.25">
      <c r="A563" s="5">
        <v>4</v>
      </c>
      <c r="B563" s="5">
        <v>117</v>
      </c>
      <c r="C563" s="5">
        <v>64</v>
      </c>
      <c r="D563" s="5">
        <v>27</v>
      </c>
      <c r="E563" s="5">
        <v>120</v>
      </c>
      <c r="F563" s="5">
        <v>33.200000000000003</v>
      </c>
      <c r="G563" s="5">
        <v>0.23</v>
      </c>
      <c r="H563" s="5">
        <v>24</v>
      </c>
      <c r="I563" s="5">
        <v>0</v>
      </c>
    </row>
    <row r="564" spans="1:9" x14ac:dyDescent="0.25">
      <c r="A564" s="5">
        <v>2</v>
      </c>
      <c r="B564" s="5">
        <v>98</v>
      </c>
      <c r="C564" s="5">
        <v>60</v>
      </c>
      <c r="D564" s="5">
        <v>17</v>
      </c>
      <c r="E564" s="5">
        <v>120</v>
      </c>
      <c r="F564" s="5">
        <v>34.700000000000003</v>
      </c>
      <c r="G564" s="5">
        <v>0.19800000000000001</v>
      </c>
      <c r="H564" s="5">
        <v>22</v>
      </c>
      <c r="I564" s="5">
        <v>0</v>
      </c>
    </row>
    <row r="565" spans="1:9" x14ac:dyDescent="0.25">
      <c r="A565" s="5">
        <v>1</v>
      </c>
      <c r="B565" s="5">
        <v>109</v>
      </c>
      <c r="C565" s="5">
        <v>38</v>
      </c>
      <c r="D565" s="5">
        <v>18</v>
      </c>
      <c r="E565" s="5">
        <v>120</v>
      </c>
      <c r="F565" s="5">
        <v>23.1</v>
      </c>
      <c r="G565" s="5">
        <v>0.40699999999999997</v>
      </c>
      <c r="H565" s="5">
        <v>26</v>
      </c>
      <c r="I565" s="5">
        <v>0</v>
      </c>
    </row>
    <row r="566" spans="1:9" x14ac:dyDescent="0.25">
      <c r="A566" s="5">
        <v>2</v>
      </c>
      <c r="B566" s="5">
        <v>174</v>
      </c>
      <c r="C566" s="5">
        <v>88</v>
      </c>
      <c r="D566" s="5">
        <v>37</v>
      </c>
      <c r="E566" s="5">
        <v>120</v>
      </c>
      <c r="F566" s="5">
        <v>44.5</v>
      </c>
      <c r="G566" s="5">
        <v>0.64600000000000002</v>
      </c>
      <c r="H566" s="5">
        <v>24</v>
      </c>
      <c r="I566" s="5">
        <v>1</v>
      </c>
    </row>
    <row r="567" spans="1:9" x14ac:dyDescent="0.25">
      <c r="A567" s="5">
        <v>0</v>
      </c>
      <c r="B567" s="5">
        <v>126</v>
      </c>
      <c r="C567" s="5">
        <v>86</v>
      </c>
      <c r="D567" s="5">
        <v>27</v>
      </c>
      <c r="E567" s="5">
        <v>120</v>
      </c>
      <c r="F567" s="5">
        <v>27.4</v>
      </c>
      <c r="G567" s="5">
        <v>0.51500000000000001</v>
      </c>
      <c r="H567" s="5">
        <v>21</v>
      </c>
      <c r="I567" s="5">
        <v>0</v>
      </c>
    </row>
    <row r="568" spans="1:9" x14ac:dyDescent="0.25">
      <c r="A568" s="5">
        <v>10</v>
      </c>
      <c r="B568" s="5">
        <v>129</v>
      </c>
      <c r="C568" s="5">
        <v>76</v>
      </c>
      <c r="D568" s="5">
        <v>28</v>
      </c>
      <c r="E568" s="5">
        <v>122</v>
      </c>
      <c r="F568" s="5">
        <v>35.9</v>
      </c>
      <c r="G568" s="5">
        <v>0.28000000000000003</v>
      </c>
      <c r="H568" s="5">
        <v>39</v>
      </c>
      <c r="I568" s="5">
        <v>0</v>
      </c>
    </row>
    <row r="569" spans="1:9" x14ac:dyDescent="0.25">
      <c r="A569" s="5">
        <v>4</v>
      </c>
      <c r="B569" s="5">
        <v>125</v>
      </c>
      <c r="C569" s="5">
        <v>70</v>
      </c>
      <c r="D569" s="5">
        <v>18</v>
      </c>
      <c r="E569" s="5">
        <v>122</v>
      </c>
      <c r="F569" s="5">
        <v>28.9</v>
      </c>
      <c r="G569" s="5">
        <v>1.1439999999999999</v>
      </c>
      <c r="H569" s="5">
        <v>45</v>
      </c>
      <c r="I569" s="5">
        <v>1</v>
      </c>
    </row>
    <row r="570" spans="1:9" x14ac:dyDescent="0.25">
      <c r="A570" s="5">
        <v>2</v>
      </c>
      <c r="B570" s="5">
        <v>110</v>
      </c>
      <c r="C570" s="5">
        <v>74</v>
      </c>
      <c r="D570" s="5">
        <v>29</v>
      </c>
      <c r="E570" s="5">
        <v>125</v>
      </c>
      <c r="F570" s="5">
        <v>32.4</v>
      </c>
      <c r="G570" s="5">
        <v>0.69799999999999995</v>
      </c>
      <c r="H570" s="5">
        <v>27</v>
      </c>
      <c r="I570" s="5">
        <v>0</v>
      </c>
    </row>
    <row r="571" spans="1:9" x14ac:dyDescent="0.25">
      <c r="A571" s="5">
        <v>0</v>
      </c>
      <c r="B571" s="5">
        <v>84</v>
      </c>
      <c r="C571" s="5">
        <v>82</v>
      </c>
      <c r="D571" s="5">
        <v>31</v>
      </c>
      <c r="E571" s="5">
        <v>125</v>
      </c>
      <c r="F571" s="5">
        <v>38.200000000000003</v>
      </c>
      <c r="G571" s="5">
        <v>0.23300000000000001</v>
      </c>
      <c r="H571" s="5">
        <v>23</v>
      </c>
      <c r="I571" s="5">
        <v>0</v>
      </c>
    </row>
    <row r="572" spans="1:9" x14ac:dyDescent="0.25">
      <c r="A572" s="5">
        <v>7</v>
      </c>
      <c r="B572" s="5">
        <v>129</v>
      </c>
      <c r="C572" s="5">
        <v>68</v>
      </c>
      <c r="D572" s="5">
        <v>49</v>
      </c>
      <c r="E572" s="5">
        <v>125</v>
      </c>
      <c r="F572" s="5">
        <v>38.5</v>
      </c>
      <c r="G572" s="5">
        <v>0.439</v>
      </c>
      <c r="H572" s="5">
        <v>43</v>
      </c>
      <c r="I572" s="5">
        <v>1</v>
      </c>
    </row>
    <row r="573" spans="1:9" x14ac:dyDescent="0.25">
      <c r="A573" s="5">
        <v>3</v>
      </c>
      <c r="B573" s="5">
        <v>169</v>
      </c>
      <c r="C573" s="5">
        <v>74</v>
      </c>
      <c r="D573" s="5">
        <v>19</v>
      </c>
      <c r="E573" s="5">
        <v>125</v>
      </c>
      <c r="F573" s="5">
        <v>29.9</v>
      </c>
      <c r="G573" s="5">
        <v>0.26800000000000002</v>
      </c>
      <c r="H573" s="5">
        <v>31</v>
      </c>
      <c r="I573" s="5">
        <v>1</v>
      </c>
    </row>
    <row r="574" spans="1:9" x14ac:dyDescent="0.25">
      <c r="A574" s="5">
        <v>6</v>
      </c>
      <c r="B574" s="5">
        <v>92</v>
      </c>
      <c r="C574" s="5">
        <v>62</v>
      </c>
      <c r="D574" s="5">
        <v>32</v>
      </c>
      <c r="E574" s="5">
        <v>126</v>
      </c>
      <c r="F574" s="5">
        <v>32</v>
      </c>
      <c r="G574" s="5">
        <v>8.5000000000000006E-2</v>
      </c>
      <c r="H574" s="5">
        <v>46</v>
      </c>
      <c r="I574" s="5">
        <v>0</v>
      </c>
    </row>
    <row r="575" spans="1:9" x14ac:dyDescent="0.25">
      <c r="A575" s="5">
        <v>4</v>
      </c>
      <c r="B575" s="5">
        <v>154</v>
      </c>
      <c r="C575" s="5">
        <v>72</v>
      </c>
      <c r="D575" s="5">
        <v>29</v>
      </c>
      <c r="E575" s="5">
        <v>126</v>
      </c>
      <c r="F575" s="5">
        <v>31.3</v>
      </c>
      <c r="G575" s="5">
        <v>0.33800000000000002</v>
      </c>
      <c r="H575" s="5">
        <v>37</v>
      </c>
      <c r="I575" s="5">
        <v>0</v>
      </c>
    </row>
    <row r="576" spans="1:9" x14ac:dyDescent="0.25">
      <c r="A576" s="5">
        <v>7</v>
      </c>
      <c r="B576" s="5">
        <v>150</v>
      </c>
      <c r="C576" s="5">
        <v>78</v>
      </c>
      <c r="D576" s="5">
        <v>29</v>
      </c>
      <c r="E576" s="5">
        <v>126</v>
      </c>
      <c r="F576" s="5">
        <v>35.200000000000003</v>
      </c>
      <c r="G576" s="5">
        <v>0.69199999999999995</v>
      </c>
      <c r="H576" s="5">
        <v>54</v>
      </c>
      <c r="I576" s="5">
        <v>1</v>
      </c>
    </row>
    <row r="577" spans="1:9" x14ac:dyDescent="0.25">
      <c r="A577" s="5">
        <v>1</v>
      </c>
      <c r="B577" s="5">
        <v>149</v>
      </c>
      <c r="C577" s="5">
        <v>68</v>
      </c>
      <c r="D577" s="5">
        <v>29</v>
      </c>
      <c r="E577" s="5">
        <v>127</v>
      </c>
      <c r="F577" s="5">
        <v>29.3</v>
      </c>
      <c r="G577" s="5">
        <v>0.34899999999999998</v>
      </c>
      <c r="H577" s="5">
        <v>42</v>
      </c>
      <c r="I577" s="5">
        <v>1</v>
      </c>
    </row>
    <row r="578" spans="1:9" x14ac:dyDescent="0.25">
      <c r="A578" s="5">
        <v>2</v>
      </c>
      <c r="B578" s="5">
        <v>141</v>
      </c>
      <c r="C578" s="5">
        <v>58</v>
      </c>
      <c r="D578" s="5">
        <v>34</v>
      </c>
      <c r="E578" s="5">
        <v>128</v>
      </c>
      <c r="F578" s="5">
        <v>25.4</v>
      </c>
      <c r="G578" s="5">
        <v>0.69899999999999995</v>
      </c>
      <c r="H578" s="5">
        <v>24</v>
      </c>
      <c r="I578" s="5">
        <v>0</v>
      </c>
    </row>
    <row r="579" spans="1:9" x14ac:dyDescent="0.25">
      <c r="A579" s="5">
        <v>5</v>
      </c>
      <c r="B579" s="5">
        <v>109</v>
      </c>
      <c r="C579" s="5">
        <v>62</v>
      </c>
      <c r="D579" s="5">
        <v>41</v>
      </c>
      <c r="E579" s="5">
        <v>129</v>
      </c>
      <c r="F579" s="5">
        <v>35.799999999999997</v>
      </c>
      <c r="G579" s="5">
        <v>0.51400000000000001</v>
      </c>
      <c r="H579" s="5">
        <v>25</v>
      </c>
      <c r="I579" s="5">
        <v>1</v>
      </c>
    </row>
    <row r="580" spans="1:9" x14ac:dyDescent="0.25">
      <c r="A580" s="5">
        <v>6</v>
      </c>
      <c r="B580" s="5">
        <v>134</v>
      </c>
      <c r="C580" s="5">
        <v>70</v>
      </c>
      <c r="D580" s="5">
        <v>23</v>
      </c>
      <c r="E580" s="5">
        <v>130</v>
      </c>
      <c r="F580" s="5">
        <v>35.4</v>
      </c>
      <c r="G580" s="5">
        <v>0.54200000000000004</v>
      </c>
      <c r="H580" s="5">
        <v>29</v>
      </c>
      <c r="I580" s="5">
        <v>1</v>
      </c>
    </row>
    <row r="581" spans="1:9" x14ac:dyDescent="0.25">
      <c r="A581" s="5">
        <v>8</v>
      </c>
      <c r="B581" s="5">
        <v>179</v>
      </c>
      <c r="C581" s="5">
        <v>72</v>
      </c>
      <c r="D581" s="5">
        <v>42</v>
      </c>
      <c r="E581" s="5">
        <v>130</v>
      </c>
      <c r="F581" s="5">
        <v>32.700000000000003</v>
      </c>
      <c r="G581" s="5">
        <v>0.71899999999999997</v>
      </c>
      <c r="H581" s="5">
        <v>36</v>
      </c>
      <c r="I581" s="5">
        <v>1</v>
      </c>
    </row>
    <row r="582" spans="1:9" x14ac:dyDescent="0.25">
      <c r="A582" s="5">
        <v>0</v>
      </c>
      <c r="B582" s="5">
        <v>129</v>
      </c>
      <c r="C582" s="5">
        <v>110</v>
      </c>
      <c r="D582" s="5">
        <v>46</v>
      </c>
      <c r="E582" s="5">
        <v>130</v>
      </c>
      <c r="F582" s="5">
        <v>67.099999999999994</v>
      </c>
      <c r="G582" s="5">
        <v>0.31900000000000001</v>
      </c>
      <c r="H582" s="5">
        <v>26</v>
      </c>
      <c r="I582" s="5">
        <v>1</v>
      </c>
    </row>
    <row r="583" spans="1:9" x14ac:dyDescent="0.25">
      <c r="A583" s="5">
        <v>0</v>
      </c>
      <c r="B583" s="5">
        <v>140</v>
      </c>
      <c r="C583" s="5">
        <v>65</v>
      </c>
      <c r="D583" s="5">
        <v>26</v>
      </c>
      <c r="E583" s="5">
        <v>130</v>
      </c>
      <c r="F583" s="5">
        <v>42.6</v>
      </c>
      <c r="G583" s="5">
        <v>0.43099999999999999</v>
      </c>
      <c r="H583" s="5">
        <v>24</v>
      </c>
      <c r="I583" s="5">
        <v>1</v>
      </c>
    </row>
    <row r="584" spans="1:9" x14ac:dyDescent="0.25">
      <c r="A584" s="5">
        <v>3</v>
      </c>
      <c r="B584" s="5">
        <v>191</v>
      </c>
      <c r="C584" s="5">
        <v>68</v>
      </c>
      <c r="D584" s="5">
        <v>15</v>
      </c>
      <c r="E584" s="5">
        <v>130</v>
      </c>
      <c r="F584" s="5">
        <v>30.9</v>
      </c>
      <c r="G584" s="5">
        <v>0.29899999999999999</v>
      </c>
      <c r="H584" s="5">
        <v>34</v>
      </c>
      <c r="I584" s="5">
        <v>0</v>
      </c>
    </row>
    <row r="585" spans="1:9" x14ac:dyDescent="0.25">
      <c r="A585" s="5">
        <v>3</v>
      </c>
      <c r="B585" s="5">
        <v>124</v>
      </c>
      <c r="C585" s="5">
        <v>80</v>
      </c>
      <c r="D585" s="5">
        <v>33</v>
      </c>
      <c r="E585" s="5">
        <v>130</v>
      </c>
      <c r="F585" s="5">
        <v>33.200000000000003</v>
      </c>
      <c r="G585" s="5">
        <v>0.30499999999999999</v>
      </c>
      <c r="H585" s="5">
        <v>26</v>
      </c>
      <c r="I585" s="5">
        <v>0</v>
      </c>
    </row>
    <row r="586" spans="1:9" x14ac:dyDescent="0.25">
      <c r="A586" s="5">
        <v>6</v>
      </c>
      <c r="B586" s="5">
        <v>108</v>
      </c>
      <c r="C586" s="5">
        <v>44</v>
      </c>
      <c r="D586" s="5">
        <v>20</v>
      </c>
      <c r="E586" s="5">
        <v>130</v>
      </c>
      <c r="F586" s="5">
        <v>24</v>
      </c>
      <c r="G586" s="5">
        <v>0.81299999999999994</v>
      </c>
      <c r="H586" s="5">
        <v>35</v>
      </c>
      <c r="I586" s="5">
        <v>0</v>
      </c>
    </row>
    <row r="587" spans="1:9" x14ac:dyDescent="0.25">
      <c r="A587" s="5">
        <v>11</v>
      </c>
      <c r="B587" s="5">
        <v>136</v>
      </c>
      <c r="C587" s="5">
        <v>84</v>
      </c>
      <c r="D587" s="5">
        <v>35</v>
      </c>
      <c r="E587" s="5">
        <v>130</v>
      </c>
      <c r="F587" s="5">
        <v>28.3</v>
      </c>
      <c r="G587" s="5">
        <v>0.26</v>
      </c>
      <c r="H587" s="5">
        <v>42</v>
      </c>
      <c r="I587" s="5">
        <v>1</v>
      </c>
    </row>
    <row r="588" spans="1:9" x14ac:dyDescent="0.25">
      <c r="A588" s="5">
        <v>9</v>
      </c>
      <c r="B588" s="5">
        <v>145</v>
      </c>
      <c r="C588" s="5">
        <v>80</v>
      </c>
      <c r="D588" s="5">
        <v>46</v>
      </c>
      <c r="E588" s="5">
        <v>130</v>
      </c>
      <c r="F588" s="5">
        <v>37.9</v>
      </c>
      <c r="G588" s="5">
        <v>0.63700000000000001</v>
      </c>
      <c r="H588" s="5">
        <v>40</v>
      </c>
      <c r="I588" s="5">
        <v>1</v>
      </c>
    </row>
    <row r="589" spans="1:9" x14ac:dyDescent="0.25">
      <c r="A589" s="5">
        <v>10</v>
      </c>
      <c r="B589" s="5">
        <v>161</v>
      </c>
      <c r="C589" s="5">
        <v>68</v>
      </c>
      <c r="D589" s="5">
        <v>23</v>
      </c>
      <c r="E589" s="5">
        <v>132</v>
      </c>
      <c r="F589" s="5">
        <v>25.5</v>
      </c>
      <c r="G589" s="5">
        <v>0.32600000000000001</v>
      </c>
      <c r="H589" s="5">
        <v>47</v>
      </c>
      <c r="I589" s="5">
        <v>1</v>
      </c>
    </row>
    <row r="590" spans="1:9" x14ac:dyDescent="0.25">
      <c r="A590" s="5">
        <v>1</v>
      </c>
      <c r="B590" s="5">
        <v>112</v>
      </c>
      <c r="C590" s="5">
        <v>80</v>
      </c>
      <c r="D590" s="5">
        <v>45</v>
      </c>
      <c r="E590" s="5">
        <v>132</v>
      </c>
      <c r="F590" s="5">
        <v>34.799999999999997</v>
      </c>
      <c r="G590" s="5">
        <v>0.217</v>
      </c>
      <c r="H590" s="5">
        <v>24</v>
      </c>
      <c r="I590" s="5">
        <v>0</v>
      </c>
    </row>
    <row r="591" spans="1:9" x14ac:dyDescent="0.25">
      <c r="A591" s="5">
        <v>3</v>
      </c>
      <c r="B591" s="5">
        <v>171</v>
      </c>
      <c r="C591" s="5">
        <v>72</v>
      </c>
      <c r="D591" s="5">
        <v>33</v>
      </c>
      <c r="E591" s="5">
        <v>135</v>
      </c>
      <c r="F591" s="5">
        <v>33.299999999999997</v>
      </c>
      <c r="G591" s="5">
        <v>0.19900000000000001</v>
      </c>
      <c r="H591" s="5">
        <v>24</v>
      </c>
      <c r="I591" s="5">
        <v>1</v>
      </c>
    </row>
    <row r="592" spans="1:9" x14ac:dyDescent="0.25">
      <c r="A592" s="5">
        <v>3</v>
      </c>
      <c r="B592" s="5">
        <v>120</v>
      </c>
      <c r="C592" s="5">
        <v>70</v>
      </c>
      <c r="D592" s="5">
        <v>30</v>
      </c>
      <c r="E592" s="5">
        <v>135</v>
      </c>
      <c r="F592" s="5">
        <v>42.9</v>
      </c>
      <c r="G592" s="5">
        <v>0.45200000000000001</v>
      </c>
      <c r="H592" s="5">
        <v>30</v>
      </c>
      <c r="I592" s="5">
        <v>0</v>
      </c>
    </row>
    <row r="593" spans="1:9" x14ac:dyDescent="0.25">
      <c r="A593" s="5">
        <v>1</v>
      </c>
      <c r="B593" s="5">
        <v>109</v>
      </c>
      <c r="C593" s="5">
        <v>56</v>
      </c>
      <c r="D593" s="5">
        <v>21</v>
      </c>
      <c r="E593" s="5">
        <v>135</v>
      </c>
      <c r="F593" s="5">
        <v>25.2</v>
      </c>
      <c r="G593" s="5">
        <v>0.83299999999999996</v>
      </c>
      <c r="H593" s="5">
        <v>23</v>
      </c>
      <c r="I593" s="5">
        <v>0</v>
      </c>
    </row>
    <row r="594" spans="1:9" x14ac:dyDescent="0.25">
      <c r="A594" s="5">
        <v>7</v>
      </c>
      <c r="B594" s="5">
        <v>136</v>
      </c>
      <c r="C594" s="5">
        <v>74</v>
      </c>
      <c r="D594" s="5">
        <v>26</v>
      </c>
      <c r="E594" s="5">
        <v>135</v>
      </c>
      <c r="F594" s="5">
        <v>26</v>
      </c>
      <c r="G594" s="5">
        <v>0.64700000000000002</v>
      </c>
      <c r="H594" s="5">
        <v>51</v>
      </c>
      <c r="I594" s="5">
        <v>0</v>
      </c>
    </row>
    <row r="595" spans="1:9" x14ac:dyDescent="0.25">
      <c r="A595" s="5">
        <v>2</v>
      </c>
      <c r="B595" s="5">
        <v>144</v>
      </c>
      <c r="C595" s="5">
        <v>58</v>
      </c>
      <c r="D595" s="5">
        <v>33</v>
      </c>
      <c r="E595" s="5">
        <v>135</v>
      </c>
      <c r="F595" s="5">
        <v>31.6</v>
      </c>
      <c r="G595" s="5">
        <v>0.42199999999999999</v>
      </c>
      <c r="H595" s="5">
        <v>25</v>
      </c>
      <c r="I595" s="5">
        <v>1</v>
      </c>
    </row>
    <row r="596" spans="1:9" x14ac:dyDescent="0.25">
      <c r="A596" s="5">
        <v>1</v>
      </c>
      <c r="B596" s="5">
        <v>106</v>
      </c>
      <c r="C596" s="5">
        <v>70</v>
      </c>
      <c r="D596" s="5">
        <v>28</v>
      </c>
      <c r="E596" s="5">
        <v>135</v>
      </c>
      <c r="F596" s="5">
        <v>34.200000000000003</v>
      </c>
      <c r="G596" s="5">
        <v>0.14199999999999999</v>
      </c>
      <c r="H596" s="5">
        <v>22</v>
      </c>
      <c r="I596" s="5">
        <v>0</v>
      </c>
    </row>
    <row r="597" spans="1:9" x14ac:dyDescent="0.25">
      <c r="A597" s="5">
        <v>1</v>
      </c>
      <c r="B597" s="5">
        <v>97</v>
      </c>
      <c r="C597" s="5">
        <v>66</v>
      </c>
      <c r="D597" s="5">
        <v>15</v>
      </c>
      <c r="E597" s="5">
        <v>140</v>
      </c>
      <c r="F597" s="5">
        <v>23.2</v>
      </c>
      <c r="G597" s="5">
        <v>0.48699999999999999</v>
      </c>
      <c r="H597" s="5">
        <v>22</v>
      </c>
      <c r="I597" s="5">
        <v>0</v>
      </c>
    </row>
    <row r="598" spans="1:9" x14ac:dyDescent="0.25">
      <c r="A598" s="5">
        <v>5</v>
      </c>
      <c r="B598" s="5">
        <v>139</v>
      </c>
      <c r="C598" s="5">
        <v>64</v>
      </c>
      <c r="D598" s="5">
        <v>35</v>
      </c>
      <c r="E598" s="5">
        <v>140</v>
      </c>
      <c r="F598" s="5">
        <v>28.6</v>
      </c>
      <c r="G598" s="5">
        <v>0.41099999999999998</v>
      </c>
      <c r="H598" s="5">
        <v>26</v>
      </c>
      <c r="I598" s="5">
        <v>0</v>
      </c>
    </row>
    <row r="599" spans="1:9" x14ac:dyDescent="0.25">
      <c r="A599" s="5">
        <v>4</v>
      </c>
      <c r="B599" s="5">
        <v>144</v>
      </c>
      <c r="C599" s="5">
        <v>58</v>
      </c>
      <c r="D599" s="5">
        <v>28</v>
      </c>
      <c r="E599" s="5">
        <v>140</v>
      </c>
      <c r="F599" s="5">
        <v>29.5</v>
      </c>
      <c r="G599" s="5">
        <v>0.28699999999999998</v>
      </c>
      <c r="H599" s="5">
        <v>37</v>
      </c>
      <c r="I599" s="5">
        <v>0</v>
      </c>
    </row>
    <row r="600" spans="1:9" x14ac:dyDescent="0.25">
      <c r="A600" s="5">
        <v>2</v>
      </c>
      <c r="B600" s="5">
        <v>125</v>
      </c>
      <c r="C600" s="5">
        <v>60</v>
      </c>
      <c r="D600" s="5">
        <v>20</v>
      </c>
      <c r="E600" s="5">
        <v>140</v>
      </c>
      <c r="F600" s="5">
        <v>33.799999999999997</v>
      </c>
      <c r="G600" s="5">
        <v>8.7999999999999995E-2</v>
      </c>
      <c r="H600" s="5">
        <v>31</v>
      </c>
      <c r="I600" s="5">
        <v>0</v>
      </c>
    </row>
    <row r="601" spans="1:9" x14ac:dyDescent="0.25">
      <c r="A601" s="5">
        <v>3</v>
      </c>
      <c r="B601" s="5">
        <v>115</v>
      </c>
      <c r="C601" s="5">
        <v>66</v>
      </c>
      <c r="D601" s="5">
        <v>39</v>
      </c>
      <c r="E601" s="5">
        <v>140</v>
      </c>
      <c r="F601" s="5">
        <v>38.1</v>
      </c>
      <c r="G601" s="5">
        <v>0.15</v>
      </c>
      <c r="H601" s="5">
        <v>28</v>
      </c>
      <c r="I601" s="5">
        <v>0</v>
      </c>
    </row>
    <row r="602" spans="1:9" x14ac:dyDescent="0.25">
      <c r="A602" s="5">
        <v>1</v>
      </c>
      <c r="B602" s="5">
        <v>133</v>
      </c>
      <c r="C602" s="5">
        <v>102</v>
      </c>
      <c r="D602" s="5">
        <v>28</v>
      </c>
      <c r="E602" s="5">
        <v>140</v>
      </c>
      <c r="F602" s="5">
        <v>32.799999999999997</v>
      </c>
      <c r="G602" s="5">
        <v>0.23400000000000001</v>
      </c>
      <c r="H602" s="5">
        <v>45</v>
      </c>
      <c r="I602" s="5">
        <v>1</v>
      </c>
    </row>
    <row r="603" spans="1:9" x14ac:dyDescent="0.25">
      <c r="A603" s="5">
        <v>6</v>
      </c>
      <c r="B603" s="5">
        <v>154</v>
      </c>
      <c r="C603" s="5">
        <v>78</v>
      </c>
      <c r="D603" s="5">
        <v>41</v>
      </c>
      <c r="E603" s="5">
        <v>140</v>
      </c>
      <c r="F603" s="5">
        <v>46.1</v>
      </c>
      <c r="G603" s="5">
        <v>0.57099999999999995</v>
      </c>
      <c r="H603" s="5">
        <v>27</v>
      </c>
      <c r="I603" s="5">
        <v>0</v>
      </c>
    </row>
    <row r="604" spans="1:9" x14ac:dyDescent="0.25">
      <c r="A604" s="5">
        <v>2</v>
      </c>
      <c r="B604" s="5">
        <v>112</v>
      </c>
      <c r="C604" s="5">
        <v>78</v>
      </c>
      <c r="D604" s="5">
        <v>50</v>
      </c>
      <c r="E604" s="5">
        <v>140</v>
      </c>
      <c r="F604" s="5">
        <v>39.4</v>
      </c>
      <c r="G604" s="5">
        <v>0.17499999999999999</v>
      </c>
      <c r="H604" s="5">
        <v>24</v>
      </c>
      <c r="I604" s="5">
        <v>0</v>
      </c>
    </row>
    <row r="605" spans="1:9" x14ac:dyDescent="0.25">
      <c r="A605" s="5">
        <v>13</v>
      </c>
      <c r="B605" s="5">
        <v>153</v>
      </c>
      <c r="C605" s="5">
        <v>88</v>
      </c>
      <c r="D605" s="5">
        <v>37</v>
      </c>
      <c r="E605" s="5">
        <v>140</v>
      </c>
      <c r="F605" s="5">
        <v>40.6</v>
      </c>
      <c r="G605" s="5">
        <v>1.1739999999999999</v>
      </c>
      <c r="H605" s="5">
        <v>39</v>
      </c>
      <c r="I605" s="5">
        <v>0</v>
      </c>
    </row>
    <row r="606" spans="1:9" x14ac:dyDescent="0.25">
      <c r="A606" s="5">
        <v>0</v>
      </c>
      <c r="B606" s="5">
        <v>105</v>
      </c>
      <c r="C606" s="5">
        <v>64</v>
      </c>
      <c r="D606" s="5">
        <v>41</v>
      </c>
      <c r="E606" s="5">
        <v>142</v>
      </c>
      <c r="F606" s="5">
        <v>41.5</v>
      </c>
      <c r="G606" s="5">
        <v>0.17299999999999999</v>
      </c>
      <c r="H606" s="5">
        <v>22</v>
      </c>
      <c r="I606" s="5">
        <v>0</v>
      </c>
    </row>
    <row r="607" spans="1:9" x14ac:dyDescent="0.25">
      <c r="A607" s="5">
        <v>11</v>
      </c>
      <c r="B607" s="5">
        <v>138</v>
      </c>
      <c r="C607" s="5">
        <v>74</v>
      </c>
      <c r="D607" s="5">
        <v>26</v>
      </c>
      <c r="E607" s="5">
        <v>144</v>
      </c>
      <c r="F607" s="5">
        <v>36.1</v>
      </c>
      <c r="G607" s="5">
        <v>0.55700000000000005</v>
      </c>
      <c r="H607" s="5">
        <v>50</v>
      </c>
      <c r="I607" s="5">
        <v>1</v>
      </c>
    </row>
    <row r="608" spans="1:9" x14ac:dyDescent="0.25">
      <c r="A608" s="5">
        <v>1</v>
      </c>
      <c r="B608" s="5">
        <v>167</v>
      </c>
      <c r="C608" s="5">
        <v>74</v>
      </c>
      <c r="D608" s="5">
        <v>17</v>
      </c>
      <c r="E608" s="5">
        <v>144</v>
      </c>
      <c r="F608" s="5">
        <v>23.4</v>
      </c>
      <c r="G608" s="5">
        <v>0.44700000000000001</v>
      </c>
      <c r="H608" s="5">
        <v>33</v>
      </c>
      <c r="I608" s="5">
        <v>1</v>
      </c>
    </row>
    <row r="609" spans="1:9" x14ac:dyDescent="0.25">
      <c r="A609" s="5">
        <v>1</v>
      </c>
      <c r="B609" s="5">
        <v>117</v>
      </c>
      <c r="C609" s="5">
        <v>88</v>
      </c>
      <c r="D609" s="5">
        <v>24</v>
      </c>
      <c r="E609" s="5">
        <v>145</v>
      </c>
      <c r="F609" s="5">
        <v>34.5</v>
      </c>
      <c r="G609" s="5">
        <v>0.40300000000000002</v>
      </c>
      <c r="H609" s="5">
        <v>40</v>
      </c>
      <c r="I609" s="5">
        <v>1</v>
      </c>
    </row>
    <row r="610" spans="1:9" x14ac:dyDescent="0.25">
      <c r="A610" s="5">
        <v>0</v>
      </c>
      <c r="B610" s="5">
        <v>135</v>
      </c>
      <c r="C610" s="5">
        <v>94</v>
      </c>
      <c r="D610" s="5">
        <v>46</v>
      </c>
      <c r="E610" s="5">
        <v>145</v>
      </c>
      <c r="F610" s="5">
        <v>40.6</v>
      </c>
      <c r="G610" s="5">
        <v>0.28399999999999997</v>
      </c>
      <c r="H610" s="5">
        <v>26</v>
      </c>
      <c r="I610" s="5">
        <v>0</v>
      </c>
    </row>
    <row r="611" spans="1:9" x14ac:dyDescent="0.25">
      <c r="A611" s="5">
        <v>7</v>
      </c>
      <c r="B611" s="5">
        <v>195</v>
      </c>
      <c r="C611" s="5">
        <v>70</v>
      </c>
      <c r="D611" s="5">
        <v>33</v>
      </c>
      <c r="E611" s="5">
        <v>145</v>
      </c>
      <c r="F611" s="5">
        <v>25.1</v>
      </c>
      <c r="G611" s="5">
        <v>0.16300000000000001</v>
      </c>
      <c r="H611" s="5">
        <v>55</v>
      </c>
      <c r="I611" s="5">
        <v>1</v>
      </c>
    </row>
    <row r="612" spans="1:9" x14ac:dyDescent="0.25">
      <c r="A612" s="5">
        <v>11</v>
      </c>
      <c r="B612" s="5">
        <v>143</v>
      </c>
      <c r="C612" s="5">
        <v>94</v>
      </c>
      <c r="D612" s="5">
        <v>33</v>
      </c>
      <c r="E612" s="5">
        <v>146</v>
      </c>
      <c r="F612" s="5">
        <v>36.6</v>
      </c>
      <c r="G612" s="5">
        <v>0.254</v>
      </c>
      <c r="H612" s="5">
        <v>51</v>
      </c>
      <c r="I612" s="5">
        <v>1</v>
      </c>
    </row>
    <row r="613" spans="1:9" x14ac:dyDescent="0.25">
      <c r="A613" s="5">
        <v>0</v>
      </c>
      <c r="B613" s="5">
        <v>137</v>
      </c>
      <c r="C613" s="5">
        <v>68</v>
      </c>
      <c r="D613" s="5">
        <v>14</v>
      </c>
      <c r="E613" s="5">
        <v>148</v>
      </c>
      <c r="F613" s="5">
        <v>24.8</v>
      </c>
      <c r="G613" s="5">
        <v>0.14299999999999999</v>
      </c>
      <c r="H613" s="5">
        <v>21</v>
      </c>
      <c r="I613" s="5">
        <v>0</v>
      </c>
    </row>
    <row r="614" spans="1:9" x14ac:dyDescent="0.25">
      <c r="A614" s="5">
        <v>0</v>
      </c>
      <c r="B614" s="5">
        <v>106</v>
      </c>
      <c r="C614" s="5">
        <v>70</v>
      </c>
      <c r="D614" s="5">
        <v>37</v>
      </c>
      <c r="E614" s="5">
        <v>148</v>
      </c>
      <c r="F614" s="5">
        <v>39.4</v>
      </c>
      <c r="G614" s="5">
        <v>0.60499999999999998</v>
      </c>
      <c r="H614" s="5">
        <v>22</v>
      </c>
      <c r="I614" s="5">
        <v>0</v>
      </c>
    </row>
    <row r="615" spans="1:9" x14ac:dyDescent="0.25">
      <c r="A615" s="5">
        <v>11</v>
      </c>
      <c r="B615" s="5">
        <v>155</v>
      </c>
      <c r="C615" s="5">
        <v>76</v>
      </c>
      <c r="D615" s="5">
        <v>28</v>
      </c>
      <c r="E615" s="5">
        <v>150</v>
      </c>
      <c r="F615" s="5">
        <v>33.299999999999997</v>
      </c>
      <c r="G615" s="5">
        <v>1.353</v>
      </c>
      <c r="H615" s="5">
        <v>51</v>
      </c>
      <c r="I615" s="5">
        <v>1</v>
      </c>
    </row>
    <row r="616" spans="1:9" x14ac:dyDescent="0.25">
      <c r="A616" s="5">
        <v>11</v>
      </c>
      <c r="B616" s="5">
        <v>120</v>
      </c>
      <c r="C616" s="5">
        <v>80</v>
      </c>
      <c r="D616" s="5">
        <v>37</v>
      </c>
      <c r="E616" s="5">
        <v>150</v>
      </c>
      <c r="F616" s="5">
        <v>42.3</v>
      </c>
      <c r="G616" s="5">
        <v>0.78500000000000003</v>
      </c>
      <c r="H616" s="5">
        <v>48</v>
      </c>
      <c r="I616" s="5">
        <v>1</v>
      </c>
    </row>
    <row r="617" spans="1:9" x14ac:dyDescent="0.25">
      <c r="A617" s="5">
        <v>1</v>
      </c>
      <c r="B617" s="5">
        <v>126</v>
      </c>
      <c r="C617" s="5">
        <v>56</v>
      </c>
      <c r="D617" s="5">
        <v>29</v>
      </c>
      <c r="E617" s="5">
        <v>152</v>
      </c>
      <c r="F617" s="5">
        <v>28.7</v>
      </c>
      <c r="G617" s="5">
        <v>0.80100000000000005</v>
      </c>
      <c r="H617" s="5">
        <v>21</v>
      </c>
      <c r="I617" s="5">
        <v>0</v>
      </c>
    </row>
    <row r="618" spans="1:9" x14ac:dyDescent="0.25">
      <c r="A618" s="5">
        <v>3</v>
      </c>
      <c r="B618" s="5">
        <v>103</v>
      </c>
      <c r="C618" s="5">
        <v>72</v>
      </c>
      <c r="D618" s="5">
        <v>30</v>
      </c>
      <c r="E618" s="5">
        <v>152</v>
      </c>
      <c r="F618" s="5">
        <v>27.6</v>
      </c>
      <c r="G618" s="5">
        <v>0.73</v>
      </c>
      <c r="H618" s="5">
        <v>27</v>
      </c>
      <c r="I618" s="5">
        <v>0</v>
      </c>
    </row>
    <row r="619" spans="1:9" x14ac:dyDescent="0.25">
      <c r="A619" s="5">
        <v>9</v>
      </c>
      <c r="B619" s="5">
        <v>156</v>
      </c>
      <c r="C619" s="5">
        <v>86</v>
      </c>
      <c r="D619" s="5">
        <v>28</v>
      </c>
      <c r="E619" s="5">
        <v>155</v>
      </c>
      <c r="F619" s="5">
        <v>34.299999999999997</v>
      </c>
      <c r="G619" s="5">
        <v>1.1890000000000001</v>
      </c>
      <c r="H619" s="5">
        <v>42</v>
      </c>
      <c r="I619" s="5">
        <v>1</v>
      </c>
    </row>
    <row r="620" spans="1:9" x14ac:dyDescent="0.25">
      <c r="A620" s="5">
        <v>7</v>
      </c>
      <c r="B620" s="5">
        <v>133</v>
      </c>
      <c r="C620" s="5">
        <v>88</v>
      </c>
      <c r="D620" s="5">
        <v>15</v>
      </c>
      <c r="E620" s="5">
        <v>155</v>
      </c>
      <c r="F620" s="5">
        <v>32.4</v>
      </c>
      <c r="G620" s="5">
        <v>0.26200000000000001</v>
      </c>
      <c r="H620" s="5">
        <v>37</v>
      </c>
      <c r="I620" s="5">
        <v>0</v>
      </c>
    </row>
    <row r="621" spans="1:9" x14ac:dyDescent="0.25">
      <c r="A621" s="5">
        <v>3</v>
      </c>
      <c r="B621" s="5">
        <v>129</v>
      </c>
      <c r="C621" s="5">
        <v>92</v>
      </c>
      <c r="D621" s="5">
        <v>49</v>
      </c>
      <c r="E621" s="5">
        <v>155</v>
      </c>
      <c r="F621" s="5">
        <v>36.4</v>
      </c>
      <c r="G621" s="5">
        <v>0.96799999999999997</v>
      </c>
      <c r="H621" s="5">
        <v>32</v>
      </c>
      <c r="I621" s="5">
        <v>1</v>
      </c>
    </row>
    <row r="622" spans="1:9" x14ac:dyDescent="0.25">
      <c r="A622" s="5">
        <v>4</v>
      </c>
      <c r="B622" s="5">
        <v>127</v>
      </c>
      <c r="C622" s="5">
        <v>88</v>
      </c>
      <c r="D622" s="5">
        <v>11</v>
      </c>
      <c r="E622" s="5">
        <v>155</v>
      </c>
      <c r="F622" s="5">
        <v>34.5</v>
      </c>
      <c r="G622" s="5">
        <v>0.59799999999999998</v>
      </c>
      <c r="H622" s="5">
        <v>28</v>
      </c>
      <c r="I622" s="5">
        <v>0</v>
      </c>
    </row>
    <row r="623" spans="1:9" x14ac:dyDescent="0.25">
      <c r="A623" s="5">
        <v>6</v>
      </c>
      <c r="B623" s="5">
        <v>104</v>
      </c>
      <c r="C623" s="5">
        <v>74</v>
      </c>
      <c r="D623" s="5">
        <v>18</v>
      </c>
      <c r="E623" s="5">
        <v>156</v>
      </c>
      <c r="F623" s="5">
        <v>29.9</v>
      </c>
      <c r="G623" s="5">
        <v>0.72199999999999998</v>
      </c>
      <c r="H623" s="5">
        <v>41</v>
      </c>
      <c r="I623" s="5">
        <v>1</v>
      </c>
    </row>
    <row r="624" spans="1:9" x14ac:dyDescent="0.25">
      <c r="A624" s="5">
        <v>1</v>
      </c>
      <c r="B624" s="5">
        <v>122</v>
      </c>
      <c r="C624" s="5">
        <v>64</v>
      </c>
      <c r="D624" s="5">
        <v>32</v>
      </c>
      <c r="E624" s="5">
        <v>156</v>
      </c>
      <c r="F624" s="5">
        <v>35.1</v>
      </c>
      <c r="G624" s="5">
        <v>0.69199999999999995</v>
      </c>
      <c r="H624" s="5">
        <v>30</v>
      </c>
      <c r="I624" s="5">
        <v>1</v>
      </c>
    </row>
    <row r="625" spans="1:9" x14ac:dyDescent="0.25">
      <c r="A625" s="5">
        <v>3</v>
      </c>
      <c r="B625" s="5">
        <v>176</v>
      </c>
      <c r="C625" s="5">
        <v>86</v>
      </c>
      <c r="D625" s="5">
        <v>27</v>
      </c>
      <c r="E625" s="5">
        <v>156</v>
      </c>
      <c r="F625" s="5">
        <v>33.299999999999997</v>
      </c>
      <c r="G625" s="5">
        <v>1.1539999999999999</v>
      </c>
      <c r="H625" s="5">
        <v>52</v>
      </c>
      <c r="I625" s="5">
        <v>1</v>
      </c>
    </row>
    <row r="626" spans="1:9" x14ac:dyDescent="0.25">
      <c r="A626" s="5">
        <v>2</v>
      </c>
      <c r="B626" s="5">
        <v>122</v>
      </c>
      <c r="C626" s="5">
        <v>52</v>
      </c>
      <c r="D626" s="5">
        <v>43</v>
      </c>
      <c r="E626" s="5">
        <v>158</v>
      </c>
      <c r="F626" s="5">
        <v>36.200000000000003</v>
      </c>
      <c r="G626" s="5">
        <v>0.81599999999999995</v>
      </c>
      <c r="H626" s="5">
        <v>28</v>
      </c>
      <c r="I626" s="5">
        <v>0</v>
      </c>
    </row>
    <row r="627" spans="1:9" x14ac:dyDescent="0.25">
      <c r="A627" s="5">
        <v>3</v>
      </c>
      <c r="B627" s="5">
        <v>106</v>
      </c>
      <c r="C627" s="5">
        <v>54</v>
      </c>
      <c r="D627" s="5">
        <v>21</v>
      </c>
      <c r="E627" s="5">
        <v>158</v>
      </c>
      <c r="F627" s="5">
        <v>30.9</v>
      </c>
      <c r="G627" s="5">
        <v>0.29199999999999998</v>
      </c>
      <c r="H627" s="5">
        <v>24</v>
      </c>
      <c r="I627" s="5">
        <v>0</v>
      </c>
    </row>
    <row r="628" spans="1:9" x14ac:dyDescent="0.25">
      <c r="A628" s="5">
        <v>0</v>
      </c>
      <c r="B628" s="5">
        <v>179</v>
      </c>
      <c r="C628" s="5">
        <v>50</v>
      </c>
      <c r="D628" s="5">
        <v>36</v>
      </c>
      <c r="E628" s="5">
        <v>159</v>
      </c>
      <c r="F628" s="5">
        <v>37.799999999999997</v>
      </c>
      <c r="G628" s="5">
        <v>0.45500000000000002</v>
      </c>
      <c r="H628" s="5">
        <v>22</v>
      </c>
      <c r="I628" s="5">
        <v>1</v>
      </c>
    </row>
    <row r="629" spans="1:9" x14ac:dyDescent="0.25">
      <c r="A629" s="5">
        <v>5</v>
      </c>
      <c r="B629" s="5">
        <v>139</v>
      </c>
      <c r="C629" s="5">
        <v>80</v>
      </c>
      <c r="D629" s="5">
        <v>35</v>
      </c>
      <c r="E629" s="5">
        <v>160</v>
      </c>
      <c r="F629" s="5">
        <v>31.6</v>
      </c>
      <c r="G629" s="5">
        <v>0.36099999999999999</v>
      </c>
      <c r="H629" s="5">
        <v>25</v>
      </c>
      <c r="I629" s="5">
        <v>1</v>
      </c>
    </row>
    <row r="630" spans="1:9" x14ac:dyDescent="0.25">
      <c r="A630" s="5">
        <v>2</v>
      </c>
      <c r="B630" s="5">
        <v>112</v>
      </c>
      <c r="C630" s="5">
        <v>86</v>
      </c>
      <c r="D630" s="5">
        <v>42</v>
      </c>
      <c r="E630" s="5">
        <v>160</v>
      </c>
      <c r="F630" s="5">
        <v>38.4</v>
      </c>
      <c r="G630" s="5">
        <v>0.246</v>
      </c>
      <c r="H630" s="5">
        <v>28</v>
      </c>
      <c r="I630" s="5">
        <v>0</v>
      </c>
    </row>
    <row r="631" spans="1:9" x14ac:dyDescent="0.25">
      <c r="A631" s="5">
        <v>2</v>
      </c>
      <c r="B631" s="5">
        <v>93</v>
      </c>
      <c r="C631" s="5">
        <v>64</v>
      </c>
      <c r="D631" s="5">
        <v>32</v>
      </c>
      <c r="E631" s="5">
        <v>160</v>
      </c>
      <c r="F631" s="5">
        <v>38</v>
      </c>
      <c r="G631" s="5">
        <v>0.67400000000000004</v>
      </c>
      <c r="H631" s="5">
        <v>23</v>
      </c>
      <c r="I631" s="5">
        <v>1</v>
      </c>
    </row>
    <row r="632" spans="1:9" x14ac:dyDescent="0.25">
      <c r="A632" s="5">
        <v>2</v>
      </c>
      <c r="B632" s="5">
        <v>99</v>
      </c>
      <c r="C632" s="5">
        <v>60</v>
      </c>
      <c r="D632" s="5">
        <v>17</v>
      </c>
      <c r="E632" s="5">
        <v>160</v>
      </c>
      <c r="F632" s="5">
        <v>36.6</v>
      </c>
      <c r="G632" s="5">
        <v>0.45300000000000001</v>
      </c>
      <c r="H632" s="5">
        <v>21</v>
      </c>
      <c r="I632" s="5">
        <v>0</v>
      </c>
    </row>
    <row r="633" spans="1:9" x14ac:dyDescent="0.25">
      <c r="A633" s="5">
        <v>2</v>
      </c>
      <c r="B633" s="5">
        <v>123</v>
      </c>
      <c r="C633" s="5">
        <v>48</v>
      </c>
      <c r="D633" s="5">
        <v>32</v>
      </c>
      <c r="E633" s="5">
        <v>165</v>
      </c>
      <c r="F633" s="5">
        <v>42.1</v>
      </c>
      <c r="G633" s="5">
        <v>0.52</v>
      </c>
      <c r="H633" s="5">
        <v>26</v>
      </c>
      <c r="I633" s="5">
        <v>0</v>
      </c>
    </row>
    <row r="634" spans="1:9" x14ac:dyDescent="0.25">
      <c r="A634" s="5">
        <v>9</v>
      </c>
      <c r="B634" s="5">
        <v>145</v>
      </c>
      <c r="C634" s="5">
        <v>88</v>
      </c>
      <c r="D634" s="5">
        <v>34</v>
      </c>
      <c r="E634" s="5">
        <v>165</v>
      </c>
      <c r="F634" s="5">
        <v>30.3</v>
      </c>
      <c r="G634" s="5">
        <v>0.77100000000000002</v>
      </c>
      <c r="H634" s="5">
        <v>53</v>
      </c>
      <c r="I634" s="5">
        <v>1</v>
      </c>
    </row>
    <row r="635" spans="1:9" x14ac:dyDescent="0.25">
      <c r="A635" s="5">
        <v>0</v>
      </c>
      <c r="B635" s="5">
        <v>121</v>
      </c>
      <c r="C635" s="5">
        <v>66</v>
      </c>
      <c r="D635" s="5">
        <v>30</v>
      </c>
      <c r="E635" s="5">
        <v>165</v>
      </c>
      <c r="F635" s="5">
        <v>34.299999999999997</v>
      </c>
      <c r="G635" s="5">
        <v>0.20300000000000001</v>
      </c>
      <c r="H635" s="5">
        <v>33</v>
      </c>
      <c r="I635" s="5">
        <v>1</v>
      </c>
    </row>
    <row r="636" spans="1:9" x14ac:dyDescent="0.25">
      <c r="A636" s="5">
        <v>2</v>
      </c>
      <c r="B636" s="5">
        <v>106</v>
      </c>
      <c r="C636" s="5">
        <v>56</v>
      </c>
      <c r="D636" s="5">
        <v>27</v>
      </c>
      <c r="E636" s="5">
        <v>165</v>
      </c>
      <c r="F636" s="5">
        <v>29</v>
      </c>
      <c r="G636" s="5">
        <v>0.42599999999999999</v>
      </c>
      <c r="H636" s="5">
        <v>22</v>
      </c>
      <c r="I636" s="5">
        <v>0</v>
      </c>
    </row>
    <row r="637" spans="1:9" x14ac:dyDescent="0.25">
      <c r="A637" s="5">
        <v>4</v>
      </c>
      <c r="B637" s="5">
        <v>131</v>
      </c>
      <c r="C637" s="5">
        <v>68</v>
      </c>
      <c r="D637" s="5">
        <v>21</v>
      </c>
      <c r="E637" s="5">
        <v>166</v>
      </c>
      <c r="F637" s="5">
        <v>33.1</v>
      </c>
      <c r="G637" s="5">
        <v>0.16</v>
      </c>
      <c r="H637" s="5">
        <v>28</v>
      </c>
      <c r="I637" s="5">
        <v>0</v>
      </c>
    </row>
    <row r="638" spans="1:9" x14ac:dyDescent="0.25">
      <c r="A638" s="5">
        <v>1</v>
      </c>
      <c r="B638" s="5">
        <v>125</v>
      </c>
      <c r="C638" s="5">
        <v>50</v>
      </c>
      <c r="D638" s="5">
        <v>40</v>
      </c>
      <c r="E638" s="5">
        <v>167</v>
      </c>
      <c r="F638" s="5">
        <v>33.299999999999997</v>
      </c>
      <c r="G638" s="5">
        <v>0.96199999999999997</v>
      </c>
      <c r="H638" s="5">
        <v>28</v>
      </c>
      <c r="I638" s="5">
        <v>1</v>
      </c>
    </row>
    <row r="639" spans="1:9" x14ac:dyDescent="0.25">
      <c r="A639" s="5">
        <v>0</v>
      </c>
      <c r="B639" s="5">
        <v>138</v>
      </c>
      <c r="C639" s="5">
        <v>60</v>
      </c>
      <c r="D639" s="5">
        <v>35</v>
      </c>
      <c r="E639" s="5">
        <v>167</v>
      </c>
      <c r="F639" s="5">
        <v>34.6</v>
      </c>
      <c r="G639" s="5">
        <v>0.53400000000000003</v>
      </c>
      <c r="H639" s="5">
        <v>21</v>
      </c>
      <c r="I639" s="5">
        <v>1</v>
      </c>
    </row>
    <row r="640" spans="1:9" x14ac:dyDescent="0.25">
      <c r="A640" s="5">
        <v>0</v>
      </c>
      <c r="B640" s="5">
        <v>137</v>
      </c>
      <c r="C640" s="5">
        <v>40</v>
      </c>
      <c r="D640" s="5">
        <v>35</v>
      </c>
      <c r="E640" s="5">
        <v>168</v>
      </c>
      <c r="F640" s="5">
        <v>43.1</v>
      </c>
      <c r="G640" s="5">
        <v>2.2879999999999998</v>
      </c>
      <c r="H640" s="5">
        <v>33</v>
      </c>
      <c r="I640" s="5">
        <v>1</v>
      </c>
    </row>
    <row r="641" spans="1:9" x14ac:dyDescent="0.25">
      <c r="A641" s="5">
        <v>4</v>
      </c>
      <c r="B641" s="5">
        <v>173</v>
      </c>
      <c r="C641" s="5">
        <v>70</v>
      </c>
      <c r="D641" s="5">
        <v>14</v>
      </c>
      <c r="E641" s="5">
        <v>168</v>
      </c>
      <c r="F641" s="5">
        <v>29.7</v>
      </c>
      <c r="G641" s="5">
        <v>0.36099999999999999</v>
      </c>
      <c r="H641" s="5">
        <v>33</v>
      </c>
      <c r="I641" s="5">
        <v>1</v>
      </c>
    </row>
    <row r="642" spans="1:9" x14ac:dyDescent="0.25">
      <c r="A642" s="5">
        <v>1</v>
      </c>
      <c r="B642" s="5">
        <v>157</v>
      </c>
      <c r="C642" s="5">
        <v>72</v>
      </c>
      <c r="D642" s="5">
        <v>21</v>
      </c>
      <c r="E642" s="5">
        <v>168</v>
      </c>
      <c r="F642" s="5">
        <v>25.6</v>
      </c>
      <c r="G642" s="5">
        <v>0.123</v>
      </c>
      <c r="H642" s="5">
        <v>24</v>
      </c>
      <c r="I642" s="5">
        <v>0</v>
      </c>
    </row>
    <row r="643" spans="1:9" x14ac:dyDescent="0.25">
      <c r="A643" s="5">
        <v>6</v>
      </c>
      <c r="B643" s="5">
        <v>165</v>
      </c>
      <c r="C643" s="5">
        <v>68</v>
      </c>
      <c r="D643" s="5">
        <v>26</v>
      </c>
      <c r="E643" s="5">
        <v>168</v>
      </c>
      <c r="F643" s="5">
        <v>33.6</v>
      </c>
      <c r="G643" s="5">
        <v>0.63100000000000001</v>
      </c>
      <c r="H643" s="5">
        <v>49</v>
      </c>
      <c r="I643" s="5">
        <v>0</v>
      </c>
    </row>
    <row r="644" spans="1:9" x14ac:dyDescent="0.25">
      <c r="A644" s="5">
        <v>1</v>
      </c>
      <c r="B644" s="5">
        <v>119</v>
      </c>
      <c r="C644" s="5">
        <v>88</v>
      </c>
      <c r="D644" s="5">
        <v>41</v>
      </c>
      <c r="E644" s="5">
        <v>170</v>
      </c>
      <c r="F644" s="5">
        <v>45.3</v>
      </c>
      <c r="G644" s="5">
        <v>0.50700000000000001</v>
      </c>
      <c r="H644" s="5">
        <v>26</v>
      </c>
      <c r="I644" s="5">
        <v>0</v>
      </c>
    </row>
    <row r="645" spans="1:9" x14ac:dyDescent="0.25">
      <c r="A645" s="5">
        <v>1</v>
      </c>
      <c r="B645" s="5">
        <v>130</v>
      </c>
      <c r="C645" s="5">
        <v>60</v>
      </c>
      <c r="D645" s="5">
        <v>23</v>
      </c>
      <c r="E645" s="5">
        <v>170</v>
      </c>
      <c r="F645" s="5">
        <v>28.6</v>
      </c>
      <c r="G645" s="5">
        <v>0.69199999999999995</v>
      </c>
      <c r="H645" s="5">
        <v>21</v>
      </c>
      <c r="I645" s="5">
        <v>0</v>
      </c>
    </row>
    <row r="646" spans="1:9" x14ac:dyDescent="0.25">
      <c r="A646" s="5">
        <v>9</v>
      </c>
      <c r="B646" s="5">
        <v>152</v>
      </c>
      <c r="C646" s="5">
        <v>78</v>
      </c>
      <c r="D646" s="5">
        <v>34</v>
      </c>
      <c r="E646" s="5">
        <v>171</v>
      </c>
      <c r="F646" s="5">
        <v>34.200000000000003</v>
      </c>
      <c r="G646" s="5">
        <v>0.89300000000000002</v>
      </c>
      <c r="H646" s="5">
        <v>33</v>
      </c>
      <c r="I646" s="5">
        <v>1</v>
      </c>
    </row>
    <row r="647" spans="1:9" x14ac:dyDescent="0.25">
      <c r="A647" s="5">
        <v>5</v>
      </c>
      <c r="B647" s="5">
        <v>166</v>
      </c>
      <c r="C647" s="5">
        <v>72</v>
      </c>
      <c r="D647" s="5">
        <v>19</v>
      </c>
      <c r="E647" s="5">
        <v>175</v>
      </c>
      <c r="F647" s="5">
        <v>25.8</v>
      </c>
      <c r="G647" s="5">
        <v>0.58699999999999997</v>
      </c>
      <c r="H647" s="5">
        <v>51</v>
      </c>
      <c r="I647" s="5">
        <v>1</v>
      </c>
    </row>
    <row r="648" spans="1:9" x14ac:dyDescent="0.25">
      <c r="A648" s="5">
        <v>7</v>
      </c>
      <c r="B648" s="5">
        <v>160</v>
      </c>
      <c r="C648" s="5">
        <v>54</v>
      </c>
      <c r="D648" s="5">
        <v>32</v>
      </c>
      <c r="E648" s="5">
        <v>175</v>
      </c>
      <c r="F648" s="5">
        <v>30.5</v>
      </c>
      <c r="G648" s="5">
        <v>0.58799999999999997</v>
      </c>
      <c r="H648" s="5">
        <v>39</v>
      </c>
      <c r="I648" s="5">
        <v>1</v>
      </c>
    </row>
    <row r="649" spans="1:9" x14ac:dyDescent="0.25">
      <c r="A649" s="5">
        <v>9</v>
      </c>
      <c r="B649" s="5">
        <v>112</v>
      </c>
      <c r="C649" s="5">
        <v>82</v>
      </c>
      <c r="D649" s="5">
        <v>32</v>
      </c>
      <c r="E649" s="5">
        <v>175</v>
      </c>
      <c r="F649" s="5">
        <v>34.200000000000003</v>
      </c>
      <c r="G649" s="5">
        <v>0.26</v>
      </c>
      <c r="H649" s="5">
        <v>36</v>
      </c>
      <c r="I649" s="5">
        <v>1</v>
      </c>
    </row>
    <row r="650" spans="1:9" x14ac:dyDescent="0.25">
      <c r="A650" s="5">
        <v>4</v>
      </c>
      <c r="B650" s="5">
        <v>123</v>
      </c>
      <c r="C650" s="5">
        <v>80</v>
      </c>
      <c r="D650" s="5">
        <v>15</v>
      </c>
      <c r="E650" s="5">
        <v>176</v>
      </c>
      <c r="F650" s="5">
        <v>32</v>
      </c>
      <c r="G650" s="5">
        <v>0.443</v>
      </c>
      <c r="H650" s="5">
        <v>34</v>
      </c>
      <c r="I650" s="5">
        <v>0</v>
      </c>
    </row>
    <row r="651" spans="1:9" x14ac:dyDescent="0.25">
      <c r="A651" s="5">
        <v>6</v>
      </c>
      <c r="B651" s="5">
        <v>119</v>
      </c>
      <c r="C651" s="5">
        <v>50</v>
      </c>
      <c r="D651" s="5">
        <v>22</v>
      </c>
      <c r="E651" s="5">
        <v>176</v>
      </c>
      <c r="F651" s="5">
        <v>27.1</v>
      </c>
      <c r="G651" s="5">
        <v>1.3180000000000001</v>
      </c>
      <c r="H651" s="5">
        <v>33</v>
      </c>
      <c r="I651" s="5">
        <v>1</v>
      </c>
    </row>
    <row r="652" spans="1:9" x14ac:dyDescent="0.25">
      <c r="A652" s="5">
        <v>1</v>
      </c>
      <c r="B652" s="5">
        <v>112</v>
      </c>
      <c r="C652" s="5">
        <v>72</v>
      </c>
      <c r="D652" s="5">
        <v>30</v>
      </c>
      <c r="E652" s="5">
        <v>176</v>
      </c>
      <c r="F652" s="5">
        <v>34.4</v>
      </c>
      <c r="G652" s="5">
        <v>0.52800000000000002</v>
      </c>
      <c r="H652" s="5">
        <v>25</v>
      </c>
      <c r="I652" s="5">
        <v>0</v>
      </c>
    </row>
    <row r="653" spans="1:9" x14ac:dyDescent="0.25">
      <c r="A653" s="5">
        <v>1</v>
      </c>
      <c r="B653" s="5">
        <v>108</v>
      </c>
      <c r="C653" s="5">
        <v>60</v>
      </c>
      <c r="D653" s="5">
        <v>46</v>
      </c>
      <c r="E653" s="5">
        <v>178</v>
      </c>
      <c r="F653" s="5">
        <v>35.5</v>
      </c>
      <c r="G653" s="5">
        <v>0.41499999999999998</v>
      </c>
      <c r="H653" s="5">
        <v>24</v>
      </c>
      <c r="I653" s="5">
        <v>0</v>
      </c>
    </row>
    <row r="654" spans="1:9" x14ac:dyDescent="0.25">
      <c r="A654" s="5">
        <v>0</v>
      </c>
      <c r="B654" s="5">
        <v>128</v>
      </c>
      <c r="C654" s="5">
        <v>68</v>
      </c>
      <c r="D654" s="5">
        <v>19</v>
      </c>
      <c r="E654" s="5">
        <v>180</v>
      </c>
      <c r="F654" s="5">
        <v>30.5</v>
      </c>
      <c r="G654" s="5">
        <v>1.391</v>
      </c>
      <c r="H654" s="5">
        <v>25</v>
      </c>
      <c r="I654" s="5">
        <v>1</v>
      </c>
    </row>
    <row r="655" spans="1:9" x14ac:dyDescent="0.25">
      <c r="A655" s="5">
        <v>1</v>
      </c>
      <c r="B655" s="5">
        <v>181</v>
      </c>
      <c r="C655" s="5">
        <v>64</v>
      </c>
      <c r="D655" s="5">
        <v>30</v>
      </c>
      <c r="E655" s="5">
        <v>180</v>
      </c>
      <c r="F655" s="5">
        <v>34.1</v>
      </c>
      <c r="G655" s="5">
        <v>0.32800000000000001</v>
      </c>
      <c r="H655" s="5">
        <v>38</v>
      </c>
      <c r="I655" s="5">
        <v>1</v>
      </c>
    </row>
    <row r="656" spans="1:9" x14ac:dyDescent="0.25">
      <c r="A656" s="5">
        <v>1</v>
      </c>
      <c r="B656" s="5">
        <v>95</v>
      </c>
      <c r="C656" s="5">
        <v>82</v>
      </c>
      <c r="D656" s="5">
        <v>25</v>
      </c>
      <c r="E656" s="5">
        <v>180</v>
      </c>
      <c r="F656" s="5">
        <v>35</v>
      </c>
      <c r="G656" s="5">
        <v>0.23300000000000001</v>
      </c>
      <c r="H656" s="5">
        <v>43</v>
      </c>
      <c r="I656" s="5">
        <v>1</v>
      </c>
    </row>
    <row r="657" spans="1:9" x14ac:dyDescent="0.25">
      <c r="A657" s="5">
        <v>1</v>
      </c>
      <c r="B657" s="5">
        <v>140</v>
      </c>
      <c r="C657" s="5">
        <v>74</v>
      </c>
      <c r="D657" s="5">
        <v>26</v>
      </c>
      <c r="E657" s="5">
        <v>180</v>
      </c>
      <c r="F657" s="5">
        <v>24.1</v>
      </c>
      <c r="G657" s="5">
        <v>0.82799999999999996</v>
      </c>
      <c r="H657" s="5">
        <v>23</v>
      </c>
      <c r="I657" s="5">
        <v>0</v>
      </c>
    </row>
    <row r="658" spans="1:9" x14ac:dyDescent="0.25">
      <c r="A658" s="5">
        <v>1</v>
      </c>
      <c r="B658" s="5">
        <v>144</v>
      </c>
      <c r="C658" s="5">
        <v>82</v>
      </c>
      <c r="D658" s="5">
        <v>46</v>
      </c>
      <c r="E658" s="5">
        <v>180</v>
      </c>
      <c r="F658" s="5">
        <v>46.1</v>
      </c>
      <c r="G658" s="5">
        <v>0.33500000000000002</v>
      </c>
      <c r="H658" s="5">
        <v>46</v>
      </c>
      <c r="I658" s="5">
        <v>1</v>
      </c>
    </row>
    <row r="659" spans="1:9" x14ac:dyDescent="0.25">
      <c r="A659" s="5">
        <v>1</v>
      </c>
      <c r="B659" s="5">
        <v>116</v>
      </c>
      <c r="C659" s="5">
        <v>78</v>
      </c>
      <c r="D659" s="5">
        <v>29</v>
      </c>
      <c r="E659" s="5">
        <v>180</v>
      </c>
      <c r="F659" s="5">
        <v>36.1</v>
      </c>
      <c r="G659" s="5">
        <v>0.496</v>
      </c>
      <c r="H659" s="5">
        <v>25</v>
      </c>
      <c r="I659" s="5">
        <v>0</v>
      </c>
    </row>
    <row r="660" spans="1:9" x14ac:dyDescent="0.25">
      <c r="A660" s="5">
        <v>10</v>
      </c>
      <c r="B660" s="5">
        <v>101</v>
      </c>
      <c r="C660" s="5">
        <v>76</v>
      </c>
      <c r="D660" s="5">
        <v>48</v>
      </c>
      <c r="E660" s="5">
        <v>180</v>
      </c>
      <c r="F660" s="5">
        <v>32.9</v>
      </c>
      <c r="G660" s="5">
        <v>0.17100000000000001</v>
      </c>
      <c r="H660" s="5">
        <v>63</v>
      </c>
      <c r="I660" s="5">
        <v>0</v>
      </c>
    </row>
    <row r="661" spans="1:9" x14ac:dyDescent="0.25">
      <c r="A661" s="5">
        <v>2</v>
      </c>
      <c r="B661" s="5">
        <v>128</v>
      </c>
      <c r="C661" s="5">
        <v>78</v>
      </c>
      <c r="D661" s="5">
        <v>37</v>
      </c>
      <c r="E661" s="5">
        <v>182</v>
      </c>
      <c r="F661" s="5">
        <v>43.3</v>
      </c>
      <c r="G661" s="5">
        <v>1.224</v>
      </c>
      <c r="H661" s="5">
        <v>31</v>
      </c>
      <c r="I661" s="5">
        <v>1</v>
      </c>
    </row>
    <row r="662" spans="1:9" x14ac:dyDescent="0.25">
      <c r="A662" s="5">
        <v>1</v>
      </c>
      <c r="B662" s="5">
        <v>109</v>
      </c>
      <c r="C662" s="5">
        <v>60</v>
      </c>
      <c r="D662" s="5">
        <v>8</v>
      </c>
      <c r="E662" s="5">
        <v>182</v>
      </c>
      <c r="F662" s="5">
        <v>25.4</v>
      </c>
      <c r="G662" s="5">
        <v>0.94699999999999995</v>
      </c>
      <c r="H662" s="5">
        <v>21</v>
      </c>
      <c r="I662" s="5">
        <v>0</v>
      </c>
    </row>
    <row r="663" spans="1:9" x14ac:dyDescent="0.25">
      <c r="A663" s="5">
        <v>1</v>
      </c>
      <c r="B663" s="5">
        <v>111</v>
      </c>
      <c r="C663" s="5">
        <v>62</v>
      </c>
      <c r="D663" s="5">
        <v>13</v>
      </c>
      <c r="E663" s="5">
        <v>182</v>
      </c>
      <c r="F663" s="5">
        <v>24</v>
      </c>
      <c r="G663" s="5">
        <v>0.13800000000000001</v>
      </c>
      <c r="H663" s="5">
        <v>23</v>
      </c>
      <c r="I663" s="5">
        <v>0</v>
      </c>
    </row>
    <row r="664" spans="1:9" x14ac:dyDescent="0.25">
      <c r="A664" s="5">
        <v>1</v>
      </c>
      <c r="B664" s="5">
        <v>128</v>
      </c>
      <c r="C664" s="5">
        <v>82</v>
      </c>
      <c r="D664" s="5">
        <v>17</v>
      </c>
      <c r="E664" s="5">
        <v>183</v>
      </c>
      <c r="F664" s="5">
        <v>27.5</v>
      </c>
      <c r="G664" s="5">
        <v>0.115</v>
      </c>
      <c r="H664" s="5">
        <v>22</v>
      </c>
      <c r="I664" s="5">
        <v>0</v>
      </c>
    </row>
    <row r="665" spans="1:9" x14ac:dyDescent="0.25">
      <c r="A665" s="5">
        <v>14</v>
      </c>
      <c r="B665" s="5">
        <v>100</v>
      </c>
      <c r="C665" s="5">
        <v>78</v>
      </c>
      <c r="D665" s="5">
        <v>25</v>
      </c>
      <c r="E665" s="5">
        <v>184</v>
      </c>
      <c r="F665" s="5">
        <v>36.6</v>
      </c>
      <c r="G665" s="5">
        <v>0.41199999999999998</v>
      </c>
      <c r="H665" s="5">
        <v>46</v>
      </c>
      <c r="I665" s="5">
        <v>1</v>
      </c>
    </row>
    <row r="666" spans="1:9" x14ac:dyDescent="0.25">
      <c r="A666" s="5">
        <v>0</v>
      </c>
      <c r="B666" s="5">
        <v>188</v>
      </c>
      <c r="C666" s="5">
        <v>82</v>
      </c>
      <c r="D666" s="5">
        <v>14</v>
      </c>
      <c r="E666" s="5">
        <v>185</v>
      </c>
      <c r="F666" s="5">
        <v>32</v>
      </c>
      <c r="G666" s="5">
        <v>0.68200000000000005</v>
      </c>
      <c r="H666" s="5">
        <v>22</v>
      </c>
      <c r="I666" s="5">
        <v>1</v>
      </c>
    </row>
    <row r="667" spans="1:9" x14ac:dyDescent="0.25">
      <c r="A667" s="5">
        <v>3</v>
      </c>
      <c r="B667" s="5">
        <v>173</v>
      </c>
      <c r="C667" s="5">
        <v>78</v>
      </c>
      <c r="D667" s="5">
        <v>39</v>
      </c>
      <c r="E667" s="5">
        <v>185</v>
      </c>
      <c r="F667" s="5">
        <v>33.799999999999997</v>
      </c>
      <c r="G667" s="5">
        <v>0.97</v>
      </c>
      <c r="H667" s="5">
        <v>31</v>
      </c>
      <c r="I667" s="5">
        <v>1</v>
      </c>
    </row>
    <row r="668" spans="1:9" x14ac:dyDescent="0.25">
      <c r="A668" s="5">
        <v>0</v>
      </c>
      <c r="B668" s="5">
        <v>117</v>
      </c>
      <c r="C668" s="5">
        <v>66</v>
      </c>
      <c r="D668" s="5">
        <v>31</v>
      </c>
      <c r="E668" s="5">
        <v>188</v>
      </c>
      <c r="F668" s="5">
        <v>30.8</v>
      </c>
      <c r="G668" s="5">
        <v>0.49299999999999999</v>
      </c>
      <c r="H668" s="5">
        <v>22</v>
      </c>
      <c r="I668" s="5">
        <v>0</v>
      </c>
    </row>
    <row r="669" spans="1:9" x14ac:dyDescent="0.25">
      <c r="A669" s="5">
        <v>6</v>
      </c>
      <c r="B669" s="5">
        <v>103</v>
      </c>
      <c r="C669" s="5">
        <v>72</v>
      </c>
      <c r="D669" s="5">
        <v>32</v>
      </c>
      <c r="E669" s="5">
        <v>190</v>
      </c>
      <c r="F669" s="5">
        <v>37.700000000000003</v>
      </c>
      <c r="G669" s="5">
        <v>0.32400000000000001</v>
      </c>
      <c r="H669" s="5">
        <v>55</v>
      </c>
      <c r="I669" s="5">
        <v>0</v>
      </c>
    </row>
    <row r="670" spans="1:9" x14ac:dyDescent="0.25">
      <c r="A670" s="5">
        <v>7</v>
      </c>
      <c r="B670" s="5">
        <v>142</v>
      </c>
      <c r="C670" s="5">
        <v>60</v>
      </c>
      <c r="D670" s="5">
        <v>33</v>
      </c>
      <c r="E670" s="5">
        <v>190</v>
      </c>
      <c r="F670" s="5">
        <v>28.8</v>
      </c>
      <c r="G670" s="5">
        <v>0.68700000000000006</v>
      </c>
      <c r="H670" s="5">
        <v>61</v>
      </c>
      <c r="I670" s="5">
        <v>0</v>
      </c>
    </row>
    <row r="671" spans="1:9" x14ac:dyDescent="0.25">
      <c r="A671" s="5">
        <v>3</v>
      </c>
      <c r="B671" s="5">
        <v>128</v>
      </c>
      <c r="C671" s="5">
        <v>72</v>
      </c>
      <c r="D671" s="5">
        <v>25</v>
      </c>
      <c r="E671" s="5">
        <v>190</v>
      </c>
      <c r="F671" s="5">
        <v>32.4</v>
      </c>
      <c r="G671" s="5">
        <v>0.54900000000000004</v>
      </c>
      <c r="H671" s="5">
        <v>27</v>
      </c>
      <c r="I671" s="5">
        <v>1</v>
      </c>
    </row>
    <row r="672" spans="1:9" x14ac:dyDescent="0.25">
      <c r="A672" s="5">
        <v>6</v>
      </c>
      <c r="B672" s="5">
        <v>98</v>
      </c>
      <c r="C672" s="5">
        <v>58</v>
      </c>
      <c r="D672" s="5">
        <v>33</v>
      </c>
      <c r="E672" s="5">
        <v>190</v>
      </c>
      <c r="F672" s="5">
        <v>34</v>
      </c>
      <c r="G672" s="5">
        <v>0.43</v>
      </c>
      <c r="H672" s="5">
        <v>43</v>
      </c>
      <c r="I672" s="5">
        <v>0</v>
      </c>
    </row>
    <row r="673" spans="1:9" x14ac:dyDescent="0.25">
      <c r="A673" s="5">
        <v>2</v>
      </c>
      <c r="B673" s="5">
        <v>105</v>
      </c>
      <c r="C673" s="5">
        <v>80</v>
      </c>
      <c r="D673" s="5">
        <v>45</v>
      </c>
      <c r="E673" s="5">
        <v>191</v>
      </c>
      <c r="F673" s="5">
        <v>33.700000000000003</v>
      </c>
      <c r="G673" s="5">
        <v>0.71099999999999997</v>
      </c>
      <c r="H673" s="5">
        <v>29</v>
      </c>
      <c r="I673" s="5">
        <v>1</v>
      </c>
    </row>
    <row r="674" spans="1:9" x14ac:dyDescent="0.25">
      <c r="A674" s="5">
        <v>4</v>
      </c>
      <c r="B674" s="5">
        <v>103</v>
      </c>
      <c r="C674" s="5">
        <v>60</v>
      </c>
      <c r="D674" s="5">
        <v>33</v>
      </c>
      <c r="E674" s="5">
        <v>192</v>
      </c>
      <c r="F674" s="5">
        <v>24</v>
      </c>
      <c r="G674" s="5">
        <v>0.96599999999999997</v>
      </c>
      <c r="H674" s="5">
        <v>33</v>
      </c>
      <c r="I674" s="5">
        <v>0</v>
      </c>
    </row>
    <row r="675" spans="1:9" x14ac:dyDescent="0.25">
      <c r="A675" s="5">
        <v>7</v>
      </c>
      <c r="B675" s="5">
        <v>181</v>
      </c>
      <c r="C675" s="5">
        <v>84</v>
      </c>
      <c r="D675" s="5">
        <v>21</v>
      </c>
      <c r="E675" s="5">
        <v>192</v>
      </c>
      <c r="F675" s="5">
        <v>35.9</v>
      </c>
      <c r="G675" s="5">
        <v>0.58599999999999997</v>
      </c>
      <c r="H675" s="5">
        <v>51</v>
      </c>
      <c r="I675" s="5">
        <v>1</v>
      </c>
    </row>
    <row r="676" spans="1:9" x14ac:dyDescent="0.25">
      <c r="A676" s="5">
        <v>6</v>
      </c>
      <c r="B676" s="5">
        <v>154</v>
      </c>
      <c r="C676" s="5">
        <v>74</v>
      </c>
      <c r="D676" s="5">
        <v>32</v>
      </c>
      <c r="E676" s="5">
        <v>193</v>
      </c>
      <c r="F676" s="5">
        <v>29.3</v>
      </c>
      <c r="G676" s="5">
        <v>0.83899999999999997</v>
      </c>
      <c r="H676" s="5">
        <v>39</v>
      </c>
      <c r="I676" s="5">
        <v>0</v>
      </c>
    </row>
    <row r="677" spans="1:9" x14ac:dyDescent="0.25">
      <c r="A677" s="5">
        <v>2</v>
      </c>
      <c r="B677" s="5">
        <v>146</v>
      </c>
      <c r="C677" s="5">
        <v>76</v>
      </c>
      <c r="D677" s="5">
        <v>35</v>
      </c>
      <c r="E677" s="5">
        <v>194</v>
      </c>
      <c r="F677" s="5">
        <v>38.200000000000003</v>
      </c>
      <c r="G677" s="5">
        <v>0.32900000000000001</v>
      </c>
      <c r="H677" s="5">
        <v>29</v>
      </c>
      <c r="I677" s="5">
        <v>0</v>
      </c>
    </row>
    <row r="678" spans="1:9" x14ac:dyDescent="0.25">
      <c r="A678" s="5">
        <v>1</v>
      </c>
      <c r="B678" s="5">
        <v>128</v>
      </c>
      <c r="C678" s="5">
        <v>48</v>
      </c>
      <c r="D678" s="5">
        <v>45</v>
      </c>
      <c r="E678" s="5">
        <v>194</v>
      </c>
      <c r="F678" s="5">
        <v>40.5</v>
      </c>
      <c r="G678" s="5">
        <v>0.61299999999999999</v>
      </c>
      <c r="H678" s="5">
        <v>24</v>
      </c>
      <c r="I678" s="5">
        <v>1</v>
      </c>
    </row>
    <row r="679" spans="1:9" x14ac:dyDescent="0.25">
      <c r="A679" s="5">
        <v>3</v>
      </c>
      <c r="B679" s="5">
        <v>174</v>
      </c>
      <c r="C679" s="5">
        <v>58</v>
      </c>
      <c r="D679" s="5">
        <v>22</v>
      </c>
      <c r="E679" s="5">
        <v>194</v>
      </c>
      <c r="F679" s="5">
        <v>32.9</v>
      </c>
      <c r="G679" s="5">
        <v>0.59299999999999997</v>
      </c>
      <c r="H679" s="5">
        <v>36</v>
      </c>
      <c r="I679" s="5">
        <v>1</v>
      </c>
    </row>
    <row r="680" spans="1:9" x14ac:dyDescent="0.25">
      <c r="A680" s="5">
        <v>1</v>
      </c>
      <c r="B680" s="5">
        <v>100</v>
      </c>
      <c r="C680" s="5">
        <v>66</v>
      </c>
      <c r="D680" s="5">
        <v>29</v>
      </c>
      <c r="E680" s="5">
        <v>196</v>
      </c>
      <c r="F680" s="5">
        <v>32</v>
      </c>
      <c r="G680" s="5">
        <v>0.44400000000000001</v>
      </c>
      <c r="H680" s="5">
        <v>42</v>
      </c>
      <c r="I680" s="5">
        <v>0</v>
      </c>
    </row>
    <row r="681" spans="1:9" x14ac:dyDescent="0.25">
      <c r="A681" s="5">
        <v>1</v>
      </c>
      <c r="B681" s="5">
        <v>120</v>
      </c>
      <c r="C681" s="5">
        <v>80</v>
      </c>
      <c r="D681" s="5">
        <v>48</v>
      </c>
      <c r="E681" s="5">
        <v>200</v>
      </c>
      <c r="F681" s="5">
        <v>38.9</v>
      </c>
      <c r="G681" s="5">
        <v>1.1619999999999999</v>
      </c>
      <c r="H681" s="5">
        <v>41</v>
      </c>
      <c r="I681" s="5">
        <v>0</v>
      </c>
    </row>
    <row r="682" spans="1:9" x14ac:dyDescent="0.25">
      <c r="A682" s="5">
        <v>2</v>
      </c>
      <c r="B682" s="5">
        <v>122</v>
      </c>
      <c r="C682" s="5">
        <v>76</v>
      </c>
      <c r="D682" s="5">
        <v>27</v>
      </c>
      <c r="E682" s="5">
        <v>200</v>
      </c>
      <c r="F682" s="5">
        <v>35.9</v>
      </c>
      <c r="G682" s="5">
        <v>0.48299999999999998</v>
      </c>
      <c r="H682" s="5">
        <v>26</v>
      </c>
      <c r="I682" s="5">
        <v>0</v>
      </c>
    </row>
    <row r="683" spans="1:9" x14ac:dyDescent="0.25">
      <c r="A683" s="5">
        <v>1</v>
      </c>
      <c r="B683" s="5">
        <v>114</v>
      </c>
      <c r="C683" s="5">
        <v>66</v>
      </c>
      <c r="D683" s="5">
        <v>36</v>
      </c>
      <c r="E683" s="5">
        <v>200</v>
      </c>
      <c r="F683" s="5">
        <v>38.1</v>
      </c>
      <c r="G683" s="5">
        <v>0.28899999999999998</v>
      </c>
      <c r="H683" s="5">
        <v>21</v>
      </c>
      <c r="I683" s="5">
        <v>0</v>
      </c>
    </row>
    <row r="684" spans="1:9" x14ac:dyDescent="0.25">
      <c r="A684" s="5">
        <v>3</v>
      </c>
      <c r="B684" s="5">
        <v>187</v>
      </c>
      <c r="C684" s="5">
        <v>70</v>
      </c>
      <c r="D684" s="5">
        <v>22</v>
      </c>
      <c r="E684" s="5">
        <v>200</v>
      </c>
      <c r="F684" s="5">
        <v>36.4</v>
      </c>
      <c r="G684" s="5">
        <v>0.40799999999999997</v>
      </c>
      <c r="H684" s="5">
        <v>36</v>
      </c>
      <c r="I684" s="5">
        <v>1</v>
      </c>
    </row>
    <row r="685" spans="1:9" x14ac:dyDescent="0.25">
      <c r="A685" s="5">
        <v>1</v>
      </c>
      <c r="B685" s="5">
        <v>136</v>
      </c>
      <c r="C685" s="5">
        <v>74</v>
      </c>
      <c r="D685" s="5">
        <v>50</v>
      </c>
      <c r="E685" s="5">
        <v>204</v>
      </c>
      <c r="F685" s="5">
        <v>37.4</v>
      </c>
      <c r="G685" s="5">
        <v>0.39900000000000002</v>
      </c>
      <c r="H685" s="5">
        <v>24</v>
      </c>
      <c r="I685" s="5">
        <v>0</v>
      </c>
    </row>
    <row r="686" spans="1:9" x14ac:dyDescent="0.25">
      <c r="A686" s="5">
        <v>2</v>
      </c>
      <c r="B686" s="5">
        <v>124</v>
      </c>
      <c r="C686" s="5">
        <v>68</v>
      </c>
      <c r="D686" s="5">
        <v>28</v>
      </c>
      <c r="E686" s="5">
        <v>205</v>
      </c>
      <c r="F686" s="5">
        <v>32.9</v>
      </c>
      <c r="G686" s="5">
        <v>0.875</v>
      </c>
      <c r="H686" s="5">
        <v>30</v>
      </c>
      <c r="I686" s="5">
        <v>1</v>
      </c>
    </row>
    <row r="687" spans="1:9" x14ac:dyDescent="0.25">
      <c r="A687" s="5">
        <v>2</v>
      </c>
      <c r="B687" s="5">
        <v>129</v>
      </c>
      <c r="C687" s="5">
        <v>74</v>
      </c>
      <c r="D687" s="5">
        <v>26</v>
      </c>
      <c r="E687" s="5">
        <v>205</v>
      </c>
      <c r="F687" s="5">
        <v>33.200000000000003</v>
      </c>
      <c r="G687" s="5">
        <v>0.59099999999999997</v>
      </c>
      <c r="H687" s="5">
        <v>25</v>
      </c>
      <c r="I687" s="5">
        <v>0</v>
      </c>
    </row>
    <row r="688" spans="1:9" x14ac:dyDescent="0.25">
      <c r="A688" s="5">
        <v>4</v>
      </c>
      <c r="B688" s="5">
        <v>111</v>
      </c>
      <c r="C688" s="5">
        <v>72</v>
      </c>
      <c r="D688" s="5">
        <v>47</v>
      </c>
      <c r="E688" s="5">
        <v>207</v>
      </c>
      <c r="F688" s="5">
        <v>37.1</v>
      </c>
      <c r="G688" s="5">
        <v>1.39</v>
      </c>
      <c r="H688" s="5">
        <v>56</v>
      </c>
      <c r="I688" s="5">
        <v>1</v>
      </c>
    </row>
    <row r="689" spans="1:9" x14ac:dyDescent="0.25">
      <c r="A689" s="5">
        <v>5</v>
      </c>
      <c r="B689" s="5">
        <v>187</v>
      </c>
      <c r="C689" s="5">
        <v>76</v>
      </c>
      <c r="D689" s="5">
        <v>27</v>
      </c>
      <c r="E689" s="5">
        <v>207</v>
      </c>
      <c r="F689" s="5">
        <v>43.6</v>
      </c>
      <c r="G689" s="5">
        <v>1.034</v>
      </c>
      <c r="H689" s="5">
        <v>53</v>
      </c>
      <c r="I689" s="5">
        <v>1</v>
      </c>
    </row>
    <row r="690" spans="1:9" x14ac:dyDescent="0.25">
      <c r="A690" s="5">
        <v>5</v>
      </c>
      <c r="B690" s="5">
        <v>158</v>
      </c>
      <c r="C690" s="5">
        <v>84</v>
      </c>
      <c r="D690" s="5">
        <v>41</v>
      </c>
      <c r="E690" s="5">
        <v>210</v>
      </c>
      <c r="F690" s="5">
        <v>39.4</v>
      </c>
      <c r="G690" s="5">
        <v>0.39500000000000002</v>
      </c>
      <c r="H690" s="5">
        <v>29</v>
      </c>
      <c r="I690" s="5">
        <v>1</v>
      </c>
    </row>
    <row r="691" spans="1:9" x14ac:dyDescent="0.25">
      <c r="A691" s="5">
        <v>8</v>
      </c>
      <c r="B691" s="5">
        <v>151</v>
      </c>
      <c r="C691" s="5">
        <v>78</v>
      </c>
      <c r="D691" s="5">
        <v>32</v>
      </c>
      <c r="E691" s="5">
        <v>210</v>
      </c>
      <c r="F691" s="5">
        <v>42.9</v>
      </c>
      <c r="G691" s="5">
        <v>0.51600000000000001</v>
      </c>
      <c r="H691" s="5">
        <v>36</v>
      </c>
      <c r="I691" s="5">
        <v>1</v>
      </c>
    </row>
    <row r="692" spans="1:9" x14ac:dyDescent="0.25">
      <c r="A692" s="5">
        <v>0</v>
      </c>
      <c r="B692" s="5">
        <v>91</v>
      </c>
      <c r="C692" s="5">
        <v>68</v>
      </c>
      <c r="D692" s="5">
        <v>32</v>
      </c>
      <c r="E692" s="5">
        <v>210</v>
      </c>
      <c r="F692" s="5">
        <v>39.9</v>
      </c>
      <c r="G692" s="5">
        <v>0.38100000000000001</v>
      </c>
      <c r="H692" s="5">
        <v>25</v>
      </c>
      <c r="I692" s="5">
        <v>0</v>
      </c>
    </row>
    <row r="693" spans="1:9" x14ac:dyDescent="0.25">
      <c r="A693" s="5">
        <v>0</v>
      </c>
      <c r="B693" s="5">
        <v>139</v>
      </c>
      <c r="C693" s="5">
        <v>62</v>
      </c>
      <c r="D693" s="5">
        <v>17</v>
      </c>
      <c r="E693" s="5">
        <v>210</v>
      </c>
      <c r="F693" s="5">
        <v>22.1</v>
      </c>
      <c r="G693" s="5">
        <v>0.20699999999999999</v>
      </c>
      <c r="H693" s="5">
        <v>21</v>
      </c>
      <c r="I693" s="5">
        <v>0</v>
      </c>
    </row>
    <row r="694" spans="1:9" x14ac:dyDescent="0.25">
      <c r="A694" s="5">
        <v>0</v>
      </c>
      <c r="B694" s="5">
        <v>127</v>
      </c>
      <c r="C694" s="5">
        <v>80</v>
      </c>
      <c r="D694" s="5">
        <v>37</v>
      </c>
      <c r="E694" s="5">
        <v>210</v>
      </c>
      <c r="F694" s="5">
        <v>36.299999999999997</v>
      </c>
      <c r="G694" s="5">
        <v>0.80400000000000005</v>
      </c>
      <c r="H694" s="5">
        <v>23</v>
      </c>
      <c r="I694" s="5">
        <v>0</v>
      </c>
    </row>
    <row r="695" spans="1:9" x14ac:dyDescent="0.25">
      <c r="A695" s="5">
        <v>0</v>
      </c>
      <c r="B695" s="5">
        <v>126</v>
      </c>
      <c r="C695" s="5">
        <v>84</v>
      </c>
      <c r="D695" s="5">
        <v>29</v>
      </c>
      <c r="E695" s="5">
        <v>215</v>
      </c>
      <c r="F695" s="5">
        <v>30.7</v>
      </c>
      <c r="G695" s="5">
        <v>0.52</v>
      </c>
      <c r="H695" s="5">
        <v>24</v>
      </c>
      <c r="I695" s="5">
        <v>0</v>
      </c>
    </row>
    <row r="696" spans="1:9" x14ac:dyDescent="0.25">
      <c r="A696" s="5">
        <v>8</v>
      </c>
      <c r="B696" s="5">
        <v>100</v>
      </c>
      <c r="C696" s="5">
        <v>74</v>
      </c>
      <c r="D696" s="5">
        <v>40</v>
      </c>
      <c r="E696" s="5">
        <v>215</v>
      </c>
      <c r="F696" s="5">
        <v>39.4</v>
      </c>
      <c r="G696" s="5">
        <v>0.66100000000000003</v>
      </c>
      <c r="H696" s="5">
        <v>43</v>
      </c>
      <c r="I696" s="5">
        <v>1</v>
      </c>
    </row>
    <row r="697" spans="1:9" x14ac:dyDescent="0.25">
      <c r="A697" s="5">
        <v>7</v>
      </c>
      <c r="B697" s="5">
        <v>124</v>
      </c>
      <c r="C697" s="5">
        <v>70</v>
      </c>
      <c r="D697" s="5">
        <v>33</v>
      </c>
      <c r="E697" s="5">
        <v>215</v>
      </c>
      <c r="F697" s="5">
        <v>25.5</v>
      </c>
      <c r="G697" s="5">
        <v>0.161</v>
      </c>
      <c r="H697" s="5">
        <v>37</v>
      </c>
      <c r="I697" s="5">
        <v>0</v>
      </c>
    </row>
    <row r="698" spans="1:9" x14ac:dyDescent="0.25">
      <c r="A698" s="5">
        <v>1</v>
      </c>
      <c r="B698" s="5">
        <v>122</v>
      </c>
      <c r="C698" s="5">
        <v>90</v>
      </c>
      <c r="D698" s="5">
        <v>51</v>
      </c>
      <c r="E698" s="5">
        <v>220</v>
      </c>
      <c r="F698" s="5">
        <v>49.7</v>
      </c>
      <c r="G698" s="5">
        <v>0.32500000000000001</v>
      </c>
      <c r="H698" s="5">
        <v>31</v>
      </c>
      <c r="I698" s="5">
        <v>1</v>
      </c>
    </row>
    <row r="699" spans="1:9" x14ac:dyDescent="0.25">
      <c r="A699" s="5">
        <v>1</v>
      </c>
      <c r="B699" s="5">
        <v>119</v>
      </c>
      <c r="C699" s="5">
        <v>86</v>
      </c>
      <c r="D699" s="5">
        <v>39</v>
      </c>
      <c r="E699" s="5">
        <v>220</v>
      </c>
      <c r="F699" s="5">
        <v>45.6</v>
      </c>
      <c r="G699" s="5">
        <v>0.80800000000000005</v>
      </c>
      <c r="H699" s="5">
        <v>29</v>
      </c>
      <c r="I699" s="5">
        <v>1</v>
      </c>
    </row>
    <row r="700" spans="1:9" x14ac:dyDescent="0.25">
      <c r="A700" s="5">
        <v>3</v>
      </c>
      <c r="B700" s="5">
        <v>170</v>
      </c>
      <c r="C700" s="5">
        <v>64</v>
      </c>
      <c r="D700" s="5">
        <v>37</v>
      </c>
      <c r="E700" s="5">
        <v>225</v>
      </c>
      <c r="F700" s="5">
        <v>34.5</v>
      </c>
      <c r="G700" s="5">
        <v>0.35599999999999998</v>
      </c>
      <c r="H700" s="5">
        <v>30</v>
      </c>
      <c r="I700" s="5">
        <v>1</v>
      </c>
    </row>
    <row r="701" spans="1:9" x14ac:dyDescent="0.25">
      <c r="A701" s="5">
        <v>8</v>
      </c>
      <c r="B701" s="5">
        <v>186</v>
      </c>
      <c r="C701" s="5">
        <v>90</v>
      </c>
      <c r="D701" s="5">
        <v>35</v>
      </c>
      <c r="E701" s="5">
        <v>225</v>
      </c>
      <c r="F701" s="5">
        <v>34.5</v>
      </c>
      <c r="G701" s="5">
        <v>0.42299999999999999</v>
      </c>
      <c r="H701" s="5">
        <v>37</v>
      </c>
      <c r="I701" s="5">
        <v>1</v>
      </c>
    </row>
    <row r="702" spans="1:9" x14ac:dyDescent="0.25">
      <c r="A702" s="5">
        <v>6</v>
      </c>
      <c r="B702" s="5">
        <v>144</v>
      </c>
      <c r="C702" s="5">
        <v>72</v>
      </c>
      <c r="D702" s="5">
        <v>27</v>
      </c>
      <c r="E702" s="5">
        <v>228</v>
      </c>
      <c r="F702" s="5">
        <v>33.9</v>
      </c>
      <c r="G702" s="5">
        <v>0.255</v>
      </c>
      <c r="H702" s="5">
        <v>40</v>
      </c>
      <c r="I702" s="5">
        <v>0</v>
      </c>
    </row>
    <row r="703" spans="1:9" x14ac:dyDescent="0.25">
      <c r="A703" s="5">
        <v>0</v>
      </c>
      <c r="B703" s="5">
        <v>118</v>
      </c>
      <c r="C703" s="5">
        <v>84</v>
      </c>
      <c r="D703" s="5">
        <v>47</v>
      </c>
      <c r="E703" s="5">
        <v>230</v>
      </c>
      <c r="F703" s="5">
        <v>45.8</v>
      </c>
      <c r="G703" s="5">
        <v>0.55100000000000005</v>
      </c>
      <c r="H703" s="5">
        <v>31</v>
      </c>
      <c r="I703" s="5">
        <v>1</v>
      </c>
    </row>
    <row r="704" spans="1:9" x14ac:dyDescent="0.25">
      <c r="A704" s="5">
        <v>6</v>
      </c>
      <c r="B704" s="5">
        <v>123</v>
      </c>
      <c r="C704" s="5">
        <v>72</v>
      </c>
      <c r="D704" s="5">
        <v>45</v>
      </c>
      <c r="E704" s="5">
        <v>230</v>
      </c>
      <c r="F704" s="5">
        <v>33.6</v>
      </c>
      <c r="G704" s="5">
        <v>0.73299999999999998</v>
      </c>
      <c r="H704" s="5">
        <v>34</v>
      </c>
      <c r="I704" s="5">
        <v>0</v>
      </c>
    </row>
    <row r="705" spans="1:9" x14ac:dyDescent="0.25">
      <c r="A705" s="5">
        <v>4</v>
      </c>
      <c r="B705" s="5">
        <v>129</v>
      </c>
      <c r="C705" s="5">
        <v>60</v>
      </c>
      <c r="D705" s="5">
        <v>12</v>
      </c>
      <c r="E705" s="5">
        <v>231</v>
      </c>
      <c r="F705" s="5">
        <v>27.5</v>
      </c>
      <c r="G705" s="5">
        <v>0.52700000000000002</v>
      </c>
      <c r="H705" s="5">
        <v>31</v>
      </c>
      <c r="I705" s="5">
        <v>0</v>
      </c>
    </row>
    <row r="706" spans="1:9" x14ac:dyDescent="0.25">
      <c r="A706" s="5">
        <v>8</v>
      </c>
      <c r="B706" s="5">
        <v>167</v>
      </c>
      <c r="C706" s="5">
        <v>106</v>
      </c>
      <c r="D706" s="5">
        <v>46</v>
      </c>
      <c r="E706" s="5">
        <v>231</v>
      </c>
      <c r="F706" s="5">
        <v>37.6</v>
      </c>
      <c r="G706" s="5">
        <v>0.16500000000000001</v>
      </c>
      <c r="H706" s="5">
        <v>43</v>
      </c>
      <c r="I706" s="5">
        <v>1</v>
      </c>
    </row>
    <row r="707" spans="1:9" x14ac:dyDescent="0.25">
      <c r="A707" s="5">
        <v>3</v>
      </c>
      <c r="B707" s="5">
        <v>126</v>
      </c>
      <c r="C707" s="5">
        <v>88</v>
      </c>
      <c r="D707" s="5">
        <v>41</v>
      </c>
      <c r="E707" s="5">
        <v>235</v>
      </c>
      <c r="F707" s="5">
        <v>39.299999999999997</v>
      </c>
      <c r="G707" s="5">
        <v>0.70399999999999996</v>
      </c>
      <c r="H707" s="5">
        <v>27</v>
      </c>
      <c r="I707" s="5">
        <v>0</v>
      </c>
    </row>
    <row r="708" spans="1:9" x14ac:dyDescent="0.25">
      <c r="A708" s="5">
        <v>10</v>
      </c>
      <c r="B708" s="5">
        <v>148</v>
      </c>
      <c r="C708" s="5">
        <v>84</v>
      </c>
      <c r="D708" s="5">
        <v>48</v>
      </c>
      <c r="E708" s="5">
        <v>237</v>
      </c>
      <c r="F708" s="5">
        <v>37.6</v>
      </c>
      <c r="G708" s="5">
        <v>1.0009999999999999</v>
      </c>
      <c r="H708" s="5">
        <v>51</v>
      </c>
      <c r="I708" s="5">
        <v>1</v>
      </c>
    </row>
    <row r="709" spans="1:9" x14ac:dyDescent="0.25">
      <c r="A709" s="5">
        <v>9</v>
      </c>
      <c r="B709" s="5">
        <v>171</v>
      </c>
      <c r="C709" s="5">
        <v>110</v>
      </c>
      <c r="D709" s="5">
        <v>24</v>
      </c>
      <c r="E709" s="5">
        <v>240</v>
      </c>
      <c r="F709" s="5">
        <v>45.4</v>
      </c>
      <c r="G709" s="5">
        <v>0.72099999999999997</v>
      </c>
      <c r="H709" s="5">
        <v>54</v>
      </c>
      <c r="I709" s="5">
        <v>1</v>
      </c>
    </row>
    <row r="710" spans="1:9" x14ac:dyDescent="0.25">
      <c r="A710" s="5">
        <v>3</v>
      </c>
      <c r="B710" s="5">
        <v>123</v>
      </c>
      <c r="C710" s="5">
        <v>100</v>
      </c>
      <c r="D710" s="5">
        <v>35</v>
      </c>
      <c r="E710" s="5">
        <v>240</v>
      </c>
      <c r="F710" s="5">
        <v>57.3</v>
      </c>
      <c r="G710" s="5">
        <v>0.88</v>
      </c>
      <c r="H710" s="5">
        <v>22</v>
      </c>
      <c r="I710" s="5">
        <v>0</v>
      </c>
    </row>
    <row r="711" spans="1:9" x14ac:dyDescent="0.25">
      <c r="A711" s="5">
        <v>3</v>
      </c>
      <c r="B711" s="5">
        <v>158</v>
      </c>
      <c r="C711" s="5">
        <v>76</v>
      </c>
      <c r="D711" s="5">
        <v>36</v>
      </c>
      <c r="E711" s="5">
        <v>245</v>
      </c>
      <c r="F711" s="5">
        <v>31.6</v>
      </c>
      <c r="G711" s="5">
        <v>0.85099999999999998</v>
      </c>
      <c r="H711" s="5">
        <v>28</v>
      </c>
      <c r="I711" s="5">
        <v>1</v>
      </c>
    </row>
    <row r="712" spans="1:9" x14ac:dyDescent="0.25">
      <c r="A712" s="5">
        <v>1</v>
      </c>
      <c r="B712" s="5">
        <v>196</v>
      </c>
      <c r="C712" s="5">
        <v>76</v>
      </c>
      <c r="D712" s="5">
        <v>36</v>
      </c>
      <c r="E712" s="5">
        <v>249</v>
      </c>
      <c r="F712" s="5">
        <v>36.5</v>
      </c>
      <c r="G712" s="5">
        <v>0.875</v>
      </c>
      <c r="H712" s="5">
        <v>29</v>
      </c>
      <c r="I712" s="5">
        <v>1</v>
      </c>
    </row>
    <row r="713" spans="1:9" x14ac:dyDescent="0.25">
      <c r="A713" s="5">
        <v>0</v>
      </c>
      <c r="B713" s="5">
        <v>135</v>
      </c>
      <c r="C713" s="5">
        <v>68</v>
      </c>
      <c r="D713" s="5">
        <v>42</v>
      </c>
      <c r="E713" s="5">
        <v>250</v>
      </c>
      <c r="F713" s="5">
        <v>42.3</v>
      </c>
      <c r="G713" s="5">
        <v>0.36499999999999999</v>
      </c>
      <c r="H713" s="5">
        <v>24</v>
      </c>
      <c r="I713" s="5">
        <v>1</v>
      </c>
    </row>
    <row r="714" spans="1:9" x14ac:dyDescent="0.25">
      <c r="A714" s="5">
        <v>0</v>
      </c>
      <c r="B714" s="5">
        <v>165</v>
      </c>
      <c r="C714" s="5">
        <v>76</v>
      </c>
      <c r="D714" s="5">
        <v>43</v>
      </c>
      <c r="E714" s="5">
        <v>255</v>
      </c>
      <c r="F714" s="5">
        <v>47.9</v>
      </c>
      <c r="G714" s="5">
        <v>0.25900000000000001</v>
      </c>
      <c r="H714" s="5">
        <v>26</v>
      </c>
      <c r="I714" s="5">
        <v>0</v>
      </c>
    </row>
    <row r="715" spans="1:9" x14ac:dyDescent="0.25">
      <c r="A715" s="5">
        <v>12</v>
      </c>
      <c r="B715" s="5">
        <v>92</v>
      </c>
      <c r="C715" s="5">
        <v>62</v>
      </c>
      <c r="D715" s="5">
        <v>7</v>
      </c>
      <c r="E715" s="5">
        <v>258</v>
      </c>
      <c r="F715" s="5">
        <v>27.6</v>
      </c>
      <c r="G715" s="5">
        <v>0.92600000000000005</v>
      </c>
      <c r="H715" s="5">
        <v>44</v>
      </c>
      <c r="I715" s="5">
        <v>1</v>
      </c>
    </row>
    <row r="716" spans="1:9" x14ac:dyDescent="0.25">
      <c r="A716" s="5">
        <v>0</v>
      </c>
      <c r="B716" s="5">
        <v>173</v>
      </c>
      <c r="C716" s="5">
        <v>78</v>
      </c>
      <c r="D716" s="5">
        <v>32</v>
      </c>
      <c r="E716" s="5">
        <v>265</v>
      </c>
      <c r="F716" s="5">
        <v>46.5</v>
      </c>
      <c r="G716" s="5">
        <v>1.159</v>
      </c>
      <c r="H716" s="5">
        <v>58</v>
      </c>
      <c r="I716" s="5">
        <v>0</v>
      </c>
    </row>
    <row r="717" spans="1:9" x14ac:dyDescent="0.25">
      <c r="A717" s="5">
        <v>2</v>
      </c>
      <c r="B717" s="5">
        <v>101</v>
      </c>
      <c r="C717" s="5">
        <v>58</v>
      </c>
      <c r="D717" s="5">
        <v>17</v>
      </c>
      <c r="E717" s="5">
        <v>265</v>
      </c>
      <c r="F717" s="5">
        <v>24.2</v>
      </c>
      <c r="G717" s="5">
        <v>0.61399999999999999</v>
      </c>
      <c r="H717" s="5">
        <v>23</v>
      </c>
      <c r="I717" s="5">
        <v>0</v>
      </c>
    </row>
    <row r="718" spans="1:9" x14ac:dyDescent="0.25">
      <c r="A718" s="5">
        <v>4</v>
      </c>
      <c r="B718" s="5">
        <v>129</v>
      </c>
      <c r="C718" s="5">
        <v>86</v>
      </c>
      <c r="D718" s="5">
        <v>20</v>
      </c>
      <c r="E718" s="5">
        <v>270</v>
      </c>
      <c r="F718" s="5">
        <v>35.1</v>
      </c>
      <c r="G718" s="5">
        <v>0.23100000000000001</v>
      </c>
      <c r="H718" s="5">
        <v>23</v>
      </c>
      <c r="I718" s="5">
        <v>0</v>
      </c>
    </row>
    <row r="719" spans="1:9" x14ac:dyDescent="0.25">
      <c r="A719" s="5">
        <v>12</v>
      </c>
      <c r="B719" s="5">
        <v>151</v>
      </c>
      <c r="C719" s="5">
        <v>70</v>
      </c>
      <c r="D719" s="5">
        <v>40</v>
      </c>
      <c r="E719" s="5">
        <v>271</v>
      </c>
      <c r="F719" s="5">
        <v>41.8</v>
      </c>
      <c r="G719" s="5">
        <v>0.74199999999999999</v>
      </c>
      <c r="H719" s="5">
        <v>38</v>
      </c>
      <c r="I719" s="5">
        <v>1</v>
      </c>
    </row>
    <row r="720" spans="1:9" x14ac:dyDescent="0.25">
      <c r="A720" s="5">
        <v>0</v>
      </c>
      <c r="B720" s="5">
        <v>152</v>
      </c>
      <c r="C720" s="5">
        <v>82</v>
      </c>
      <c r="D720" s="5">
        <v>39</v>
      </c>
      <c r="E720" s="5">
        <v>272</v>
      </c>
      <c r="F720" s="5">
        <v>41.5</v>
      </c>
      <c r="G720" s="5">
        <v>0.27</v>
      </c>
      <c r="H720" s="5">
        <v>27</v>
      </c>
      <c r="I720" s="5">
        <v>0</v>
      </c>
    </row>
    <row r="721" spans="1:9" x14ac:dyDescent="0.25">
      <c r="A721" s="5">
        <v>0</v>
      </c>
      <c r="B721" s="5">
        <v>198</v>
      </c>
      <c r="C721" s="5">
        <v>66</v>
      </c>
      <c r="D721" s="5">
        <v>32</v>
      </c>
      <c r="E721" s="5">
        <v>274</v>
      </c>
      <c r="F721" s="5">
        <v>41.3</v>
      </c>
      <c r="G721" s="5">
        <v>0.502</v>
      </c>
      <c r="H721" s="5">
        <v>28</v>
      </c>
      <c r="I721" s="5">
        <v>1</v>
      </c>
    </row>
    <row r="722" spans="1:9" x14ac:dyDescent="0.25">
      <c r="A722" s="5">
        <v>2</v>
      </c>
      <c r="B722" s="5">
        <v>127</v>
      </c>
      <c r="C722" s="5">
        <v>58</v>
      </c>
      <c r="D722" s="5">
        <v>24</v>
      </c>
      <c r="E722" s="5">
        <v>275</v>
      </c>
      <c r="F722" s="5">
        <v>27.7</v>
      </c>
      <c r="G722" s="5">
        <v>1.6</v>
      </c>
      <c r="H722" s="5">
        <v>25</v>
      </c>
      <c r="I722" s="5">
        <v>0</v>
      </c>
    </row>
    <row r="723" spans="1:9" x14ac:dyDescent="0.25">
      <c r="A723" s="5">
        <v>4</v>
      </c>
      <c r="B723" s="5">
        <v>184</v>
      </c>
      <c r="C723" s="5">
        <v>78</v>
      </c>
      <c r="D723" s="5">
        <v>39</v>
      </c>
      <c r="E723" s="5">
        <v>277</v>
      </c>
      <c r="F723" s="5">
        <v>37</v>
      </c>
      <c r="G723" s="5">
        <v>0.26400000000000001</v>
      </c>
      <c r="H723" s="5">
        <v>31</v>
      </c>
      <c r="I723" s="5">
        <v>1</v>
      </c>
    </row>
    <row r="724" spans="1:9" x14ac:dyDescent="0.25">
      <c r="A724" s="5">
        <v>2</v>
      </c>
      <c r="B724" s="5">
        <v>108</v>
      </c>
      <c r="C724" s="5">
        <v>62</v>
      </c>
      <c r="D724" s="5">
        <v>10</v>
      </c>
      <c r="E724" s="5">
        <v>278</v>
      </c>
      <c r="F724" s="5">
        <v>25.3</v>
      </c>
      <c r="G724" s="5">
        <v>0.88100000000000001</v>
      </c>
      <c r="H724" s="5">
        <v>22</v>
      </c>
      <c r="I724" s="5">
        <v>0</v>
      </c>
    </row>
    <row r="725" spans="1:9" x14ac:dyDescent="0.25">
      <c r="A725" s="5">
        <v>8</v>
      </c>
      <c r="B725" s="5">
        <v>196</v>
      </c>
      <c r="C725" s="5">
        <v>76</v>
      </c>
      <c r="D725" s="5">
        <v>29</v>
      </c>
      <c r="E725" s="5">
        <v>280</v>
      </c>
      <c r="F725" s="5">
        <v>37.5</v>
      </c>
      <c r="G725" s="5">
        <v>0.60499999999999998</v>
      </c>
      <c r="H725" s="5">
        <v>57</v>
      </c>
      <c r="I725" s="5">
        <v>1</v>
      </c>
    </row>
    <row r="726" spans="1:9" x14ac:dyDescent="0.25">
      <c r="A726" s="5">
        <v>4</v>
      </c>
      <c r="B726" s="5">
        <v>154</v>
      </c>
      <c r="C726" s="5">
        <v>62</v>
      </c>
      <c r="D726" s="5">
        <v>31</v>
      </c>
      <c r="E726" s="5">
        <v>284</v>
      </c>
      <c r="F726" s="5">
        <v>32.799999999999997</v>
      </c>
      <c r="G726" s="5">
        <v>0.23699999999999999</v>
      </c>
      <c r="H726" s="5">
        <v>23</v>
      </c>
      <c r="I726" s="5">
        <v>0</v>
      </c>
    </row>
    <row r="727" spans="1:9" x14ac:dyDescent="0.25">
      <c r="A727" s="5">
        <v>0</v>
      </c>
      <c r="B727" s="5">
        <v>114</v>
      </c>
      <c r="C727" s="5">
        <v>80</v>
      </c>
      <c r="D727" s="5">
        <v>34</v>
      </c>
      <c r="E727" s="5">
        <v>285</v>
      </c>
      <c r="F727" s="5">
        <v>44.2</v>
      </c>
      <c r="G727" s="5">
        <v>0.16700000000000001</v>
      </c>
      <c r="H727" s="5">
        <v>27</v>
      </c>
      <c r="I727" s="5">
        <v>0</v>
      </c>
    </row>
    <row r="728" spans="1:9" x14ac:dyDescent="0.25">
      <c r="A728" s="5">
        <v>5</v>
      </c>
      <c r="B728" s="5">
        <v>144</v>
      </c>
      <c r="C728" s="5">
        <v>82</v>
      </c>
      <c r="D728" s="5">
        <v>26</v>
      </c>
      <c r="E728" s="5">
        <v>285</v>
      </c>
      <c r="F728" s="5">
        <v>32</v>
      </c>
      <c r="G728" s="5">
        <v>0.45200000000000001</v>
      </c>
      <c r="H728" s="5">
        <v>58</v>
      </c>
      <c r="I728" s="5">
        <v>1</v>
      </c>
    </row>
    <row r="729" spans="1:9" x14ac:dyDescent="0.25">
      <c r="A729" s="5">
        <v>0</v>
      </c>
      <c r="B729" s="5">
        <v>134</v>
      </c>
      <c r="C729" s="5">
        <v>58</v>
      </c>
      <c r="D729" s="5">
        <v>20</v>
      </c>
      <c r="E729" s="5">
        <v>291</v>
      </c>
      <c r="F729" s="5">
        <v>26.4</v>
      </c>
      <c r="G729" s="5">
        <v>0.35199999999999998</v>
      </c>
      <c r="H729" s="5">
        <v>21</v>
      </c>
      <c r="I729" s="5">
        <v>0</v>
      </c>
    </row>
    <row r="730" spans="1:9" x14ac:dyDescent="0.25">
      <c r="A730" s="5">
        <v>4</v>
      </c>
      <c r="B730" s="5">
        <v>147</v>
      </c>
      <c r="C730" s="5">
        <v>74</v>
      </c>
      <c r="D730" s="5">
        <v>25</v>
      </c>
      <c r="E730" s="5">
        <v>293</v>
      </c>
      <c r="F730" s="5">
        <v>34.9</v>
      </c>
      <c r="G730" s="5">
        <v>0.38500000000000001</v>
      </c>
      <c r="H730" s="5">
        <v>30</v>
      </c>
      <c r="I730" s="5">
        <v>0</v>
      </c>
    </row>
    <row r="731" spans="1:9" x14ac:dyDescent="0.25">
      <c r="A731" s="5">
        <v>1</v>
      </c>
      <c r="B731" s="5">
        <v>181</v>
      </c>
      <c r="C731" s="5">
        <v>78</v>
      </c>
      <c r="D731" s="5">
        <v>42</v>
      </c>
      <c r="E731" s="5">
        <v>293</v>
      </c>
      <c r="F731" s="5">
        <v>40</v>
      </c>
      <c r="G731" s="5">
        <v>1.258</v>
      </c>
      <c r="H731" s="5">
        <v>22</v>
      </c>
      <c r="I731" s="5">
        <v>1</v>
      </c>
    </row>
    <row r="732" spans="1:9" x14ac:dyDescent="0.25">
      <c r="A732" s="5">
        <v>8</v>
      </c>
      <c r="B732" s="5">
        <v>176</v>
      </c>
      <c r="C732" s="5">
        <v>90</v>
      </c>
      <c r="D732" s="5">
        <v>34</v>
      </c>
      <c r="E732" s="5">
        <v>300</v>
      </c>
      <c r="F732" s="5">
        <v>33.700000000000003</v>
      </c>
      <c r="G732" s="5">
        <v>0.46700000000000003</v>
      </c>
      <c r="H732" s="5">
        <v>58</v>
      </c>
      <c r="I732" s="5">
        <v>1</v>
      </c>
    </row>
    <row r="733" spans="1:9" x14ac:dyDescent="0.25">
      <c r="A733" s="5">
        <v>7</v>
      </c>
      <c r="B733" s="5">
        <v>187</v>
      </c>
      <c r="C733" s="5">
        <v>68</v>
      </c>
      <c r="D733" s="5">
        <v>39</v>
      </c>
      <c r="E733" s="5">
        <v>304</v>
      </c>
      <c r="F733" s="5">
        <v>37.700000000000003</v>
      </c>
      <c r="G733" s="5">
        <v>0.254</v>
      </c>
      <c r="H733" s="5">
        <v>41</v>
      </c>
      <c r="I733" s="5">
        <v>1</v>
      </c>
    </row>
    <row r="734" spans="1:9" x14ac:dyDescent="0.25">
      <c r="A734" s="5">
        <v>1</v>
      </c>
      <c r="B734" s="5">
        <v>143</v>
      </c>
      <c r="C734" s="5">
        <v>84</v>
      </c>
      <c r="D734" s="5">
        <v>23</v>
      </c>
      <c r="E734" s="5">
        <v>310</v>
      </c>
      <c r="F734" s="5">
        <v>42.4</v>
      </c>
      <c r="G734" s="5">
        <v>1.0760000000000001</v>
      </c>
      <c r="H734" s="5">
        <v>22</v>
      </c>
      <c r="I734" s="5">
        <v>0</v>
      </c>
    </row>
    <row r="735" spans="1:9" x14ac:dyDescent="0.25">
      <c r="A735" s="5">
        <v>4</v>
      </c>
      <c r="B735" s="5">
        <v>148</v>
      </c>
      <c r="C735" s="5">
        <v>60</v>
      </c>
      <c r="D735" s="5">
        <v>27</v>
      </c>
      <c r="E735" s="5">
        <v>318</v>
      </c>
      <c r="F735" s="5">
        <v>30.9</v>
      </c>
      <c r="G735" s="5">
        <v>0.15</v>
      </c>
      <c r="H735" s="5">
        <v>29</v>
      </c>
      <c r="I735" s="5">
        <v>1</v>
      </c>
    </row>
    <row r="736" spans="1:9" x14ac:dyDescent="0.25">
      <c r="A736" s="5">
        <v>7</v>
      </c>
      <c r="B736" s="5">
        <v>168</v>
      </c>
      <c r="C736" s="5">
        <v>88</v>
      </c>
      <c r="D736" s="5">
        <v>42</v>
      </c>
      <c r="E736" s="5">
        <v>321</v>
      </c>
      <c r="F736" s="5">
        <v>38.200000000000003</v>
      </c>
      <c r="G736" s="5">
        <v>0.78700000000000003</v>
      </c>
      <c r="H736" s="5">
        <v>40</v>
      </c>
      <c r="I736" s="5">
        <v>1</v>
      </c>
    </row>
    <row r="737" spans="1:9" x14ac:dyDescent="0.25">
      <c r="A737" s="5">
        <v>5</v>
      </c>
      <c r="B737" s="5">
        <v>105</v>
      </c>
      <c r="C737" s="5">
        <v>72</v>
      </c>
      <c r="D737" s="5">
        <v>29</v>
      </c>
      <c r="E737" s="5">
        <v>325</v>
      </c>
      <c r="F737" s="5">
        <v>36.9</v>
      </c>
      <c r="G737" s="5">
        <v>0.159</v>
      </c>
      <c r="H737" s="5">
        <v>28</v>
      </c>
      <c r="I737" s="5">
        <v>0</v>
      </c>
    </row>
    <row r="738" spans="1:9" x14ac:dyDescent="0.25">
      <c r="A738" s="5">
        <v>5</v>
      </c>
      <c r="B738" s="5">
        <v>189</v>
      </c>
      <c r="C738" s="5">
        <v>64</v>
      </c>
      <c r="D738" s="5">
        <v>33</v>
      </c>
      <c r="E738" s="5">
        <v>325</v>
      </c>
      <c r="F738" s="5">
        <v>31.2</v>
      </c>
      <c r="G738" s="5">
        <v>0.58299999999999996</v>
      </c>
      <c r="H738" s="5">
        <v>29</v>
      </c>
      <c r="I738" s="5">
        <v>1</v>
      </c>
    </row>
    <row r="739" spans="1:9" x14ac:dyDescent="0.25">
      <c r="A739" s="5">
        <v>12</v>
      </c>
      <c r="B739" s="5">
        <v>140</v>
      </c>
      <c r="C739" s="5">
        <v>82</v>
      </c>
      <c r="D739" s="5">
        <v>43</v>
      </c>
      <c r="E739" s="5">
        <v>325</v>
      </c>
      <c r="F739" s="5">
        <v>39.200000000000003</v>
      </c>
      <c r="G739" s="5">
        <v>0.52800000000000002</v>
      </c>
      <c r="H739" s="5">
        <v>58</v>
      </c>
      <c r="I739" s="5">
        <v>1</v>
      </c>
    </row>
    <row r="740" spans="1:9" x14ac:dyDescent="0.25">
      <c r="A740" s="5">
        <v>6</v>
      </c>
      <c r="B740" s="5">
        <v>129</v>
      </c>
      <c r="C740" s="5">
        <v>90</v>
      </c>
      <c r="D740" s="5">
        <v>7</v>
      </c>
      <c r="E740" s="5">
        <v>326</v>
      </c>
      <c r="F740" s="5">
        <v>19.600000000000001</v>
      </c>
      <c r="G740" s="5">
        <v>0.58199999999999996</v>
      </c>
      <c r="H740" s="5">
        <v>60</v>
      </c>
      <c r="I740" s="5">
        <v>0</v>
      </c>
    </row>
    <row r="741" spans="1:9" x14ac:dyDescent="0.25">
      <c r="A741" s="5">
        <v>3</v>
      </c>
      <c r="B741" s="5">
        <v>158</v>
      </c>
      <c r="C741" s="5">
        <v>70</v>
      </c>
      <c r="D741" s="5">
        <v>30</v>
      </c>
      <c r="E741" s="5">
        <v>328</v>
      </c>
      <c r="F741" s="5">
        <v>35.5</v>
      </c>
      <c r="G741" s="5">
        <v>0.34399999999999997</v>
      </c>
      <c r="H741" s="5">
        <v>35</v>
      </c>
      <c r="I741" s="5">
        <v>1</v>
      </c>
    </row>
    <row r="742" spans="1:9" x14ac:dyDescent="0.25">
      <c r="A742" s="5">
        <v>1</v>
      </c>
      <c r="B742" s="5">
        <v>143</v>
      </c>
      <c r="C742" s="5">
        <v>86</v>
      </c>
      <c r="D742" s="5">
        <v>30</v>
      </c>
      <c r="E742" s="5">
        <v>330</v>
      </c>
      <c r="F742" s="5">
        <v>30.1</v>
      </c>
      <c r="G742" s="5">
        <v>0.89200000000000002</v>
      </c>
      <c r="H742" s="5">
        <v>23</v>
      </c>
      <c r="I742" s="5">
        <v>0</v>
      </c>
    </row>
    <row r="743" spans="1:9" x14ac:dyDescent="0.25">
      <c r="A743" s="5">
        <v>2</v>
      </c>
      <c r="B743" s="5">
        <v>127</v>
      </c>
      <c r="C743" s="5">
        <v>46</v>
      </c>
      <c r="D743" s="5">
        <v>21</v>
      </c>
      <c r="E743" s="5">
        <v>335</v>
      </c>
      <c r="F743" s="5">
        <v>34.4</v>
      </c>
      <c r="G743" s="5">
        <v>0.17599999999999999</v>
      </c>
      <c r="H743" s="5">
        <v>22</v>
      </c>
      <c r="I743" s="5">
        <v>0</v>
      </c>
    </row>
    <row r="744" spans="1:9" x14ac:dyDescent="0.25">
      <c r="A744" s="5">
        <v>7</v>
      </c>
      <c r="B744" s="5">
        <v>150</v>
      </c>
      <c r="C744" s="5">
        <v>66</v>
      </c>
      <c r="D744" s="5">
        <v>42</v>
      </c>
      <c r="E744" s="5">
        <v>342</v>
      </c>
      <c r="F744" s="5">
        <v>34.700000000000003</v>
      </c>
      <c r="G744" s="5">
        <v>0.71799999999999997</v>
      </c>
      <c r="H744" s="5">
        <v>42</v>
      </c>
      <c r="I744" s="5">
        <v>0</v>
      </c>
    </row>
    <row r="745" spans="1:9" x14ac:dyDescent="0.25">
      <c r="A745" s="5">
        <v>2</v>
      </c>
      <c r="B745" s="5">
        <v>146</v>
      </c>
      <c r="C745" s="5">
        <v>70</v>
      </c>
      <c r="D745" s="5">
        <v>38</v>
      </c>
      <c r="E745" s="5">
        <v>360</v>
      </c>
      <c r="F745" s="5">
        <v>28</v>
      </c>
      <c r="G745" s="5">
        <v>0.33700000000000002</v>
      </c>
      <c r="H745" s="5">
        <v>29</v>
      </c>
      <c r="I745" s="5">
        <v>1</v>
      </c>
    </row>
    <row r="746" spans="1:9" x14ac:dyDescent="0.25">
      <c r="A746" s="5">
        <v>6</v>
      </c>
      <c r="B746" s="5">
        <v>134</v>
      </c>
      <c r="C746" s="5">
        <v>80</v>
      </c>
      <c r="D746" s="5">
        <v>37</v>
      </c>
      <c r="E746" s="5">
        <v>370</v>
      </c>
      <c r="F746" s="5">
        <v>46.2</v>
      </c>
      <c r="G746" s="5">
        <v>0.23799999999999999</v>
      </c>
      <c r="H746" s="5">
        <v>46</v>
      </c>
      <c r="I746" s="5">
        <v>1</v>
      </c>
    </row>
    <row r="747" spans="1:9" x14ac:dyDescent="0.25">
      <c r="A747" s="5">
        <v>1</v>
      </c>
      <c r="B747" s="5">
        <v>193</v>
      </c>
      <c r="C747" s="5">
        <v>50</v>
      </c>
      <c r="D747" s="5">
        <v>16</v>
      </c>
      <c r="E747" s="5">
        <v>375</v>
      </c>
      <c r="F747" s="5">
        <v>25.9</v>
      </c>
      <c r="G747" s="5">
        <v>0.65500000000000003</v>
      </c>
      <c r="H747" s="5">
        <v>24</v>
      </c>
      <c r="I747" s="5">
        <v>0</v>
      </c>
    </row>
    <row r="748" spans="1:9" x14ac:dyDescent="0.25">
      <c r="A748" s="5">
        <v>3</v>
      </c>
      <c r="B748" s="5">
        <v>158</v>
      </c>
      <c r="C748" s="5">
        <v>64</v>
      </c>
      <c r="D748" s="5">
        <v>13</v>
      </c>
      <c r="E748" s="5">
        <v>387</v>
      </c>
      <c r="F748" s="5">
        <v>31.2</v>
      </c>
      <c r="G748" s="5">
        <v>0.29499999999999998</v>
      </c>
      <c r="H748" s="5">
        <v>24</v>
      </c>
      <c r="I748" s="5">
        <v>0</v>
      </c>
    </row>
    <row r="749" spans="1:9" x14ac:dyDescent="0.25">
      <c r="A749" s="5">
        <v>7</v>
      </c>
      <c r="B749" s="5">
        <v>187</v>
      </c>
      <c r="C749" s="5">
        <v>50</v>
      </c>
      <c r="D749" s="5">
        <v>33</v>
      </c>
      <c r="E749" s="5">
        <v>392</v>
      </c>
      <c r="F749" s="5">
        <v>33.9</v>
      </c>
      <c r="G749" s="5">
        <v>0.82599999999999996</v>
      </c>
      <c r="H749" s="5">
        <v>34</v>
      </c>
      <c r="I749" s="5">
        <v>1</v>
      </c>
    </row>
    <row r="750" spans="1:9" x14ac:dyDescent="0.25">
      <c r="A750" s="5">
        <v>9</v>
      </c>
      <c r="B750" s="5">
        <v>124</v>
      </c>
      <c r="C750" s="5">
        <v>70</v>
      </c>
      <c r="D750" s="5">
        <v>33</v>
      </c>
      <c r="E750" s="5">
        <v>402</v>
      </c>
      <c r="F750" s="5">
        <v>35.4</v>
      </c>
      <c r="G750" s="5">
        <v>0.28199999999999997</v>
      </c>
      <c r="H750" s="5">
        <v>34</v>
      </c>
      <c r="I750" s="5">
        <v>0</v>
      </c>
    </row>
    <row r="751" spans="1:9" x14ac:dyDescent="0.25">
      <c r="A751" s="5">
        <v>1</v>
      </c>
      <c r="B751" s="5">
        <v>131</v>
      </c>
      <c r="C751" s="5">
        <v>64</v>
      </c>
      <c r="D751" s="5">
        <v>14</v>
      </c>
      <c r="E751" s="5">
        <v>415</v>
      </c>
      <c r="F751" s="5">
        <v>23.7</v>
      </c>
      <c r="G751" s="5">
        <v>0.38900000000000001</v>
      </c>
      <c r="H751" s="5">
        <v>21</v>
      </c>
      <c r="I751" s="5">
        <v>0</v>
      </c>
    </row>
    <row r="752" spans="1:9" x14ac:dyDescent="0.25">
      <c r="A752" s="5">
        <v>2</v>
      </c>
      <c r="B752" s="5">
        <v>157</v>
      </c>
      <c r="C752" s="5">
        <v>74</v>
      </c>
      <c r="D752" s="5">
        <v>35</v>
      </c>
      <c r="E752" s="5">
        <v>440</v>
      </c>
      <c r="F752" s="5">
        <v>39.4</v>
      </c>
      <c r="G752" s="5">
        <v>0.13400000000000001</v>
      </c>
      <c r="H752" s="5">
        <v>30</v>
      </c>
      <c r="I752" s="5">
        <v>0</v>
      </c>
    </row>
    <row r="753" spans="1:9" x14ac:dyDescent="0.25">
      <c r="A753" s="5">
        <v>3</v>
      </c>
      <c r="B753" s="5">
        <v>173</v>
      </c>
      <c r="C753" s="5">
        <v>82</v>
      </c>
      <c r="D753" s="5">
        <v>48</v>
      </c>
      <c r="E753" s="5">
        <v>465</v>
      </c>
      <c r="F753" s="5">
        <v>38.4</v>
      </c>
      <c r="G753" s="5">
        <v>2.137</v>
      </c>
      <c r="H753" s="5">
        <v>25</v>
      </c>
      <c r="I753" s="5">
        <v>1</v>
      </c>
    </row>
    <row r="754" spans="1:9" x14ac:dyDescent="0.25">
      <c r="A754" s="5">
        <v>3</v>
      </c>
      <c r="B754" s="5">
        <v>173</v>
      </c>
      <c r="C754" s="5">
        <v>84</v>
      </c>
      <c r="D754" s="5">
        <v>33</v>
      </c>
      <c r="E754" s="5">
        <v>474</v>
      </c>
      <c r="F754" s="5">
        <v>35.700000000000003</v>
      </c>
      <c r="G754" s="5">
        <v>0.25800000000000001</v>
      </c>
      <c r="H754" s="5">
        <v>22</v>
      </c>
      <c r="I754" s="5">
        <v>1</v>
      </c>
    </row>
    <row r="755" spans="1:9" x14ac:dyDescent="0.25">
      <c r="A755" s="5">
        <v>0</v>
      </c>
      <c r="B755" s="5">
        <v>177</v>
      </c>
      <c r="C755" s="5">
        <v>60</v>
      </c>
      <c r="D755" s="5">
        <v>29</v>
      </c>
      <c r="E755" s="5">
        <v>478</v>
      </c>
      <c r="F755" s="5">
        <v>34.6</v>
      </c>
      <c r="G755" s="5">
        <v>1.0720000000000001</v>
      </c>
      <c r="H755" s="5">
        <v>21</v>
      </c>
      <c r="I755" s="5">
        <v>1</v>
      </c>
    </row>
    <row r="756" spans="1:9" x14ac:dyDescent="0.25">
      <c r="A756" s="5">
        <v>1</v>
      </c>
      <c r="B756" s="5">
        <v>139</v>
      </c>
      <c r="C756" s="5">
        <v>62</v>
      </c>
      <c r="D756" s="5">
        <v>41</v>
      </c>
      <c r="E756" s="5">
        <v>480</v>
      </c>
      <c r="F756" s="5">
        <v>40.700000000000003</v>
      </c>
      <c r="G756" s="5">
        <v>0.53600000000000003</v>
      </c>
      <c r="H756" s="5">
        <v>21</v>
      </c>
      <c r="I756" s="5">
        <v>0</v>
      </c>
    </row>
    <row r="757" spans="1:9" x14ac:dyDescent="0.25">
      <c r="A757" s="5">
        <v>7</v>
      </c>
      <c r="B757" s="5">
        <v>142</v>
      </c>
      <c r="C757" s="5">
        <v>90</v>
      </c>
      <c r="D757" s="5">
        <v>24</v>
      </c>
      <c r="E757" s="5">
        <v>480</v>
      </c>
      <c r="F757" s="5">
        <v>30.4</v>
      </c>
      <c r="G757" s="5">
        <v>0.128</v>
      </c>
      <c r="H757" s="5">
        <v>43</v>
      </c>
      <c r="I757" s="5">
        <v>1</v>
      </c>
    </row>
    <row r="758" spans="1:9" x14ac:dyDescent="0.25">
      <c r="A758" s="5">
        <v>1</v>
      </c>
      <c r="B758" s="5">
        <v>153</v>
      </c>
      <c r="C758" s="5">
        <v>82</v>
      </c>
      <c r="D758" s="5">
        <v>42</v>
      </c>
      <c r="E758" s="5">
        <v>485</v>
      </c>
      <c r="F758" s="5">
        <v>40.6</v>
      </c>
      <c r="G758" s="5">
        <v>0.68700000000000006</v>
      </c>
      <c r="H758" s="5">
        <v>23</v>
      </c>
      <c r="I758" s="5">
        <v>0</v>
      </c>
    </row>
    <row r="759" spans="1:9" x14ac:dyDescent="0.25">
      <c r="A759" s="5">
        <v>8</v>
      </c>
      <c r="B759" s="5">
        <v>155</v>
      </c>
      <c r="C759" s="5">
        <v>62</v>
      </c>
      <c r="D759" s="5">
        <v>26</v>
      </c>
      <c r="E759" s="5">
        <v>495</v>
      </c>
      <c r="F759" s="5">
        <v>34</v>
      </c>
      <c r="G759" s="5">
        <v>0.54300000000000004</v>
      </c>
      <c r="H759" s="5">
        <v>46</v>
      </c>
      <c r="I759" s="5">
        <v>1</v>
      </c>
    </row>
    <row r="760" spans="1:9" x14ac:dyDescent="0.25">
      <c r="A760" s="5">
        <v>8</v>
      </c>
      <c r="B760" s="5">
        <v>181</v>
      </c>
      <c r="C760" s="5">
        <v>68</v>
      </c>
      <c r="D760" s="5">
        <v>36</v>
      </c>
      <c r="E760" s="5">
        <v>495</v>
      </c>
      <c r="F760" s="5">
        <v>30.1</v>
      </c>
      <c r="G760" s="5">
        <v>0.61499999999999999</v>
      </c>
      <c r="H760" s="5">
        <v>60</v>
      </c>
      <c r="I760" s="5">
        <v>1</v>
      </c>
    </row>
    <row r="761" spans="1:9" x14ac:dyDescent="0.25">
      <c r="A761" s="5">
        <v>0</v>
      </c>
      <c r="B761" s="5">
        <v>181</v>
      </c>
      <c r="C761" s="5">
        <v>88</v>
      </c>
      <c r="D761" s="5">
        <v>44</v>
      </c>
      <c r="E761" s="5">
        <v>510</v>
      </c>
      <c r="F761" s="5">
        <v>43.3</v>
      </c>
      <c r="G761" s="5">
        <v>0.222</v>
      </c>
      <c r="H761" s="5">
        <v>26</v>
      </c>
      <c r="I761" s="5">
        <v>1</v>
      </c>
    </row>
    <row r="762" spans="1:9" x14ac:dyDescent="0.25">
      <c r="A762" s="5">
        <v>2</v>
      </c>
      <c r="B762" s="5">
        <v>155</v>
      </c>
      <c r="C762" s="5">
        <v>52</v>
      </c>
      <c r="D762" s="5">
        <v>27</v>
      </c>
      <c r="E762" s="5">
        <v>540</v>
      </c>
      <c r="F762" s="5">
        <v>38.700000000000003</v>
      </c>
      <c r="G762" s="5">
        <v>0.24</v>
      </c>
      <c r="H762" s="5">
        <v>25</v>
      </c>
      <c r="I762" s="5">
        <v>1</v>
      </c>
    </row>
    <row r="763" spans="1:9" x14ac:dyDescent="0.25">
      <c r="A763" s="5">
        <v>2</v>
      </c>
      <c r="B763" s="5">
        <v>197</v>
      </c>
      <c r="C763" s="5">
        <v>70</v>
      </c>
      <c r="D763" s="5">
        <v>45</v>
      </c>
      <c r="E763" s="5">
        <v>543</v>
      </c>
      <c r="F763" s="5">
        <v>30.5</v>
      </c>
      <c r="G763" s="5">
        <v>0.158</v>
      </c>
      <c r="H763" s="5">
        <v>53</v>
      </c>
      <c r="I763" s="5">
        <v>1</v>
      </c>
    </row>
    <row r="764" spans="1:9" x14ac:dyDescent="0.25">
      <c r="A764" s="5">
        <v>5</v>
      </c>
      <c r="B764" s="5">
        <v>155</v>
      </c>
      <c r="C764" s="5">
        <v>84</v>
      </c>
      <c r="D764" s="5">
        <v>44</v>
      </c>
      <c r="E764" s="5">
        <v>545</v>
      </c>
      <c r="F764" s="5">
        <v>38.700000000000003</v>
      </c>
      <c r="G764" s="5">
        <v>0.61899999999999999</v>
      </c>
      <c r="H764" s="5">
        <v>34</v>
      </c>
      <c r="I764" s="5">
        <v>0</v>
      </c>
    </row>
    <row r="765" spans="1:9" x14ac:dyDescent="0.25">
      <c r="A765" s="5">
        <v>1</v>
      </c>
      <c r="B765" s="5">
        <v>172</v>
      </c>
      <c r="C765" s="5">
        <v>68</v>
      </c>
      <c r="D765" s="5">
        <v>49</v>
      </c>
      <c r="E765" s="5">
        <v>579</v>
      </c>
      <c r="F765" s="5">
        <v>42.4</v>
      </c>
      <c r="G765" s="5">
        <v>0.70199999999999996</v>
      </c>
      <c r="H765" s="5">
        <v>28</v>
      </c>
      <c r="I765" s="5">
        <v>1</v>
      </c>
    </row>
    <row r="766" spans="1:9" x14ac:dyDescent="0.25">
      <c r="A766" s="5">
        <v>8</v>
      </c>
      <c r="B766" s="5">
        <v>124</v>
      </c>
      <c r="C766" s="5">
        <v>76</v>
      </c>
      <c r="D766" s="5">
        <v>24</v>
      </c>
      <c r="E766" s="5">
        <v>600</v>
      </c>
      <c r="F766" s="5">
        <v>28.7</v>
      </c>
      <c r="G766" s="5">
        <v>0.68700000000000006</v>
      </c>
      <c r="H766" s="5">
        <v>52</v>
      </c>
      <c r="I766" s="5">
        <v>1</v>
      </c>
    </row>
    <row r="767" spans="1:9" x14ac:dyDescent="0.25">
      <c r="A767" s="5">
        <v>0</v>
      </c>
      <c r="B767" s="5">
        <v>165</v>
      </c>
      <c r="C767" s="5">
        <v>90</v>
      </c>
      <c r="D767" s="5">
        <v>33</v>
      </c>
      <c r="E767" s="5">
        <v>680</v>
      </c>
      <c r="F767" s="5">
        <v>52.3</v>
      </c>
      <c r="G767" s="5">
        <v>0.42699999999999999</v>
      </c>
      <c r="H767" s="5">
        <v>23</v>
      </c>
      <c r="I767" s="5">
        <v>0</v>
      </c>
    </row>
    <row r="768" spans="1:9" x14ac:dyDescent="0.25">
      <c r="A768" s="5">
        <v>4</v>
      </c>
      <c r="B768" s="5">
        <v>197</v>
      </c>
      <c r="C768" s="5">
        <v>70</v>
      </c>
      <c r="D768" s="5">
        <v>39</v>
      </c>
      <c r="E768" s="5">
        <v>744</v>
      </c>
      <c r="F768" s="5">
        <v>36.700000000000003</v>
      </c>
      <c r="G768" s="5">
        <v>2.3290000000000002</v>
      </c>
      <c r="H768" s="5">
        <v>31</v>
      </c>
      <c r="I768" s="5">
        <v>0</v>
      </c>
    </row>
    <row r="769" spans="1:9" x14ac:dyDescent="0.25">
      <c r="A769" s="5">
        <v>1</v>
      </c>
      <c r="B769" s="5">
        <v>189</v>
      </c>
      <c r="C769" s="5">
        <v>60</v>
      </c>
      <c r="D769" s="5">
        <v>23</v>
      </c>
      <c r="E769" s="5">
        <v>846</v>
      </c>
      <c r="F769" s="5">
        <v>30.1</v>
      </c>
      <c r="G769" s="5">
        <v>0.39800000000000002</v>
      </c>
      <c r="H769" s="5">
        <v>59</v>
      </c>
      <c r="I769" s="5">
        <v>1</v>
      </c>
    </row>
  </sheetData>
  <autoFilter ref="A1:I769" xr:uid="{00000000-0009-0000-0000-000001000000}">
    <sortState xmlns:xlrd2="http://schemas.microsoft.com/office/spreadsheetml/2017/richdata2" ref="A2:I769">
      <sortCondition ref="E1:E769"/>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34CC7-F1EB-448E-9996-D72E8FC0E705}">
  <sheetPr codeName="Sheet12"/>
  <dimension ref="A1:V769"/>
  <sheetViews>
    <sheetView topLeftCell="A7" zoomScale="85" zoomScaleNormal="85" workbookViewId="0">
      <selection activeCell="I15" sqref="I15"/>
    </sheetView>
  </sheetViews>
  <sheetFormatPr defaultRowHeight="13.8" x14ac:dyDescent="0.25"/>
  <cols>
    <col min="1" max="1" width="14.69921875" style="5" bestFit="1" customWidth="1"/>
    <col min="2" max="2" width="10.796875" style="5" bestFit="1" customWidth="1"/>
    <col min="3" max="3" width="17.5" style="5" bestFit="1" customWidth="1"/>
    <col min="4" max="4" width="26.5" style="5" bestFit="1" customWidth="1"/>
    <col min="5" max="5" width="17.296875" style="5" bestFit="1" customWidth="1"/>
    <col min="6" max="6" width="9.3984375" style="5" bestFit="1" customWidth="1"/>
    <col min="7" max="7" width="6.796875" style="5" bestFit="1" customWidth="1"/>
    <col min="8" max="8" width="15.5" style="5" bestFit="1" customWidth="1"/>
    <col min="9" max="9" width="28.59765625" style="5" bestFit="1" customWidth="1"/>
    <col min="10" max="10" width="6.8984375" style="5" bestFit="1" customWidth="1"/>
    <col min="11" max="11" width="13" style="5" bestFit="1" customWidth="1"/>
    <col min="12" max="12" width="11.296875" style="5" bestFit="1" customWidth="1"/>
    <col min="13" max="13" width="18.8984375" style="5" hidden="1" customWidth="1"/>
    <col min="14" max="14" width="25" style="5" hidden="1" customWidth="1"/>
    <col min="15" max="15" width="17.8984375" style="5" hidden="1" customWidth="1"/>
    <col min="16" max="17" width="9.5" style="5" customWidth="1"/>
    <col min="18" max="18" width="17.8984375" style="5" customWidth="1"/>
    <col min="19" max="19" width="10.796875" style="5" customWidth="1"/>
    <col min="20" max="20" width="13.5" style="5" customWidth="1"/>
    <col min="21" max="21" width="17.8984375" style="5" customWidth="1"/>
    <col min="22" max="22" width="10.796875" style="5" customWidth="1"/>
    <col min="23" max="23" width="8.796875" style="5"/>
    <col min="24" max="25" width="8" style="5"/>
    <col min="26" max="27" width="13.796875" style="5" bestFit="1" customWidth="1"/>
    <col min="28" max="538" width="14" style="5" bestFit="1" customWidth="1"/>
    <col min="539" max="540" width="9.69921875" style="5" bestFit="1" customWidth="1"/>
    <col min="541" max="541" width="7.796875" style="5" bestFit="1" customWidth="1"/>
    <col min="542" max="555" width="5.3984375" style="5" bestFit="1" customWidth="1"/>
    <col min="556" max="556" width="7.796875" style="5" bestFit="1" customWidth="1"/>
    <col min="557" max="564" width="5.3984375" style="5" bestFit="1" customWidth="1"/>
    <col min="565" max="565" width="7.796875" style="5" bestFit="1" customWidth="1"/>
    <col min="566" max="570" width="5.3984375" style="5" bestFit="1" customWidth="1"/>
    <col min="571" max="571" width="7.796875" style="5" bestFit="1" customWidth="1"/>
    <col min="572" max="582" width="5.3984375" style="5" bestFit="1" customWidth="1"/>
    <col min="583" max="583" width="7.796875" style="5" bestFit="1" customWidth="1"/>
    <col min="584" max="597" width="5.3984375" style="5" bestFit="1" customWidth="1"/>
    <col min="598" max="598" width="7.796875" style="5" bestFit="1" customWidth="1"/>
    <col min="599" max="605" width="5.3984375" style="5" bestFit="1" customWidth="1"/>
    <col min="606" max="606" width="7.796875" style="5" bestFit="1" customWidth="1"/>
    <col min="607" max="611" width="5.3984375" style="5" bestFit="1" customWidth="1"/>
    <col min="612" max="612" width="7.796875" style="5" bestFit="1" customWidth="1"/>
    <col min="613" max="617" width="5.3984375" style="5" bestFit="1" customWidth="1"/>
    <col min="618" max="618" width="7.796875" style="5" bestFit="1" customWidth="1"/>
    <col min="619" max="623" width="5.3984375" style="5" bestFit="1" customWidth="1"/>
    <col min="624" max="624" width="7.796875" style="5" bestFit="1" customWidth="1"/>
    <col min="625" max="629" width="5.3984375" style="5" bestFit="1" customWidth="1"/>
    <col min="630" max="630" width="7.796875" style="5" bestFit="1" customWidth="1"/>
    <col min="631" max="634" width="5.3984375" style="5" bestFit="1" customWidth="1"/>
    <col min="635" max="635" width="7.796875" style="5" bestFit="1" customWidth="1"/>
    <col min="636" max="643" width="5.3984375" style="5" bestFit="1" customWidth="1"/>
    <col min="644" max="644" width="7.796875" style="5" bestFit="1" customWidth="1"/>
    <col min="645" max="652" width="5.3984375" style="5" bestFit="1" customWidth="1"/>
    <col min="653" max="653" width="7.796875" style="5" bestFit="1" customWidth="1"/>
    <col min="654" max="658" width="5.3984375" style="5" bestFit="1" customWidth="1"/>
    <col min="659" max="659" width="7.796875" style="5" bestFit="1" customWidth="1"/>
    <col min="660" max="667" width="5.3984375" style="5" bestFit="1" customWidth="1"/>
    <col min="668" max="668" width="7.796875" style="5" bestFit="1" customWidth="1"/>
    <col min="669" max="673" width="5.3984375" style="5" bestFit="1" customWidth="1"/>
    <col min="674" max="674" width="7.796875" style="5" bestFit="1" customWidth="1"/>
    <col min="675" max="679" width="5.3984375" style="5" bestFit="1" customWidth="1"/>
    <col min="680" max="680" width="7.796875" style="5" bestFit="1" customWidth="1"/>
    <col min="681" max="685" width="5.3984375" style="5" bestFit="1" customWidth="1"/>
    <col min="686" max="686" width="7.796875" style="5" bestFit="1" customWidth="1"/>
    <col min="687" max="692" width="5.3984375" style="5" bestFit="1" customWidth="1"/>
    <col min="693" max="693" width="7.796875" style="5" bestFit="1" customWidth="1"/>
    <col min="694" max="700" width="5.3984375" style="5" bestFit="1" customWidth="1"/>
    <col min="701" max="701" width="7.796875" style="5" bestFit="1" customWidth="1"/>
    <col min="702" max="706" width="5.3984375" style="5" bestFit="1" customWidth="1"/>
    <col min="707" max="707" width="7.796875" style="5" bestFit="1" customWidth="1"/>
    <col min="708" max="716" width="5.3984375" style="5" bestFit="1" customWidth="1"/>
    <col min="717" max="717" width="7.796875" style="5" bestFit="1" customWidth="1"/>
    <col min="718" max="724" width="5.3984375" style="5" bestFit="1" customWidth="1"/>
    <col min="725" max="725" width="7.796875" style="5" bestFit="1" customWidth="1"/>
    <col min="726" max="729" width="5.3984375" style="5" bestFit="1" customWidth="1"/>
    <col min="730" max="730" width="7.796875" style="5" bestFit="1" customWidth="1"/>
    <col min="731" max="731" width="5.3984375" style="5" bestFit="1" customWidth="1"/>
    <col min="732" max="732" width="7.796875" style="5" bestFit="1" customWidth="1"/>
    <col min="733" max="735" width="5.3984375" style="5" bestFit="1" customWidth="1"/>
    <col min="736" max="736" width="7.796875" style="5" bestFit="1" customWidth="1"/>
    <col min="737" max="742" width="5.3984375" style="5" bestFit="1" customWidth="1"/>
    <col min="743" max="743" width="7.796875" style="5" bestFit="1" customWidth="1"/>
    <col min="744" max="747" width="5.3984375" style="5" bestFit="1" customWidth="1"/>
    <col min="748" max="748" width="7.796875" style="5" bestFit="1" customWidth="1"/>
    <col min="749" max="750" width="5.3984375" style="5" bestFit="1" customWidth="1"/>
    <col min="751" max="751" width="7.796875" style="5" bestFit="1" customWidth="1"/>
    <col min="752" max="757" width="5.3984375" style="5" bestFit="1" customWidth="1"/>
    <col min="758" max="758" width="7.796875" style="5" bestFit="1" customWidth="1"/>
    <col min="759" max="763" width="5.3984375" style="5" bestFit="1" customWidth="1"/>
    <col min="764" max="764" width="7.796875" style="5" bestFit="1" customWidth="1"/>
    <col min="765" max="767" width="5.3984375" style="5" bestFit="1" customWidth="1"/>
    <col min="768" max="768" width="7.796875" style="5" bestFit="1" customWidth="1"/>
    <col min="769" max="770" width="5.3984375" style="5" bestFit="1" customWidth="1"/>
    <col min="771" max="771" width="7.796875" style="5" bestFit="1" customWidth="1"/>
    <col min="772" max="779" width="5.3984375" style="5" bestFit="1" customWidth="1"/>
    <col min="780" max="780" width="7.796875" style="5" bestFit="1" customWidth="1"/>
    <col min="781" max="782" width="5.3984375" style="5" bestFit="1" customWidth="1"/>
    <col min="783" max="783" width="7.796875" style="5" bestFit="1" customWidth="1"/>
    <col min="784" max="784" width="5.3984375" style="5" bestFit="1" customWidth="1"/>
    <col min="785" max="785" width="7.796875" style="5" bestFit="1" customWidth="1"/>
    <col min="786" max="788" width="5.3984375" style="5" bestFit="1" customWidth="1"/>
    <col min="789" max="789" width="7.796875" style="5" bestFit="1" customWidth="1"/>
    <col min="790" max="795" width="5.3984375" style="5" bestFit="1" customWidth="1"/>
    <col min="796" max="796" width="7.796875" style="5" bestFit="1" customWidth="1"/>
    <col min="797" max="799" width="5.3984375" style="5" bestFit="1" customWidth="1"/>
    <col min="800" max="800" width="7.796875" style="5" bestFit="1" customWidth="1"/>
    <col min="801" max="803" width="5.3984375" style="5" bestFit="1" customWidth="1"/>
    <col min="804" max="804" width="7.796875" style="5" bestFit="1" customWidth="1"/>
    <col min="805" max="808" width="5.3984375" style="5" bestFit="1" customWidth="1"/>
    <col min="809" max="809" width="7.796875" style="5" bestFit="1" customWidth="1"/>
    <col min="810" max="812" width="5.3984375" style="5" bestFit="1" customWidth="1"/>
    <col min="813" max="813" width="7.796875" style="5" bestFit="1" customWidth="1"/>
    <col min="814" max="816" width="5.3984375" style="5" bestFit="1" customWidth="1"/>
    <col min="817" max="817" width="7.796875" style="5" bestFit="1" customWidth="1"/>
    <col min="818" max="821" width="5.3984375" style="5" bestFit="1" customWidth="1"/>
    <col min="822" max="822" width="7.796875" style="5" bestFit="1" customWidth="1"/>
    <col min="823" max="823" width="5.3984375" style="5" bestFit="1" customWidth="1"/>
    <col min="824" max="824" width="7.796875" style="5" bestFit="1" customWidth="1"/>
    <col min="825" max="826" width="5.3984375" style="5" bestFit="1" customWidth="1"/>
    <col min="827" max="827" width="7.796875" style="5" bestFit="1" customWidth="1"/>
    <col min="828" max="830" width="5.3984375" style="5" bestFit="1" customWidth="1"/>
    <col min="831" max="831" width="7.796875" style="5" bestFit="1" customWidth="1"/>
    <col min="832" max="832" width="5.3984375" style="5" bestFit="1" customWidth="1"/>
    <col min="833" max="833" width="7.796875" style="5" bestFit="1" customWidth="1"/>
    <col min="834" max="839" width="5.3984375" style="5" bestFit="1" customWidth="1"/>
    <col min="840" max="840" width="7.796875" style="5" bestFit="1" customWidth="1"/>
    <col min="841" max="842" width="5.3984375" style="5" bestFit="1" customWidth="1"/>
    <col min="843" max="843" width="7.796875" style="5" bestFit="1" customWidth="1"/>
    <col min="844" max="845" width="5.3984375" style="5" bestFit="1" customWidth="1"/>
    <col min="846" max="846" width="7.796875" style="5" bestFit="1" customWidth="1"/>
    <col min="847" max="848" width="5.3984375" style="5" bestFit="1" customWidth="1"/>
    <col min="849" max="849" width="7.796875" style="5" bestFit="1" customWidth="1"/>
    <col min="850" max="850" width="5.3984375" style="5" bestFit="1" customWidth="1"/>
    <col min="851" max="851" width="7.796875" style="5" bestFit="1" customWidth="1"/>
    <col min="852" max="852" width="5.3984375" style="5" bestFit="1" customWidth="1"/>
    <col min="853" max="853" width="7.796875" style="5" bestFit="1" customWidth="1"/>
    <col min="854" max="858" width="5.3984375" style="5" bestFit="1" customWidth="1"/>
    <col min="859" max="859" width="7.796875" style="5" bestFit="1" customWidth="1"/>
    <col min="860" max="864" width="5.3984375" style="5" bestFit="1" customWidth="1"/>
    <col min="865" max="865" width="7.796875" style="5" bestFit="1" customWidth="1"/>
    <col min="866" max="870" width="5.3984375" style="5" bestFit="1" customWidth="1"/>
    <col min="871" max="871" width="7.796875" style="5" bestFit="1" customWidth="1"/>
    <col min="872" max="872" width="5.3984375" style="5" bestFit="1" customWidth="1"/>
    <col min="873" max="873" width="7.796875" style="5" bestFit="1" customWidth="1"/>
    <col min="874" max="876" width="5.3984375" style="5" bestFit="1" customWidth="1"/>
    <col min="877" max="877" width="7.796875" style="5" bestFit="1" customWidth="1"/>
    <col min="878" max="880" width="5.3984375" style="5" bestFit="1" customWidth="1"/>
    <col min="881" max="881" width="7.796875" style="5" bestFit="1" customWidth="1"/>
    <col min="882" max="882" width="5.3984375" style="5" bestFit="1" customWidth="1"/>
    <col min="883" max="883" width="7.796875" style="5" bestFit="1" customWidth="1"/>
    <col min="884" max="887" width="5.3984375" style="5" bestFit="1" customWidth="1"/>
    <col min="888" max="888" width="7.796875" style="5" bestFit="1" customWidth="1"/>
    <col min="889" max="890" width="5.3984375" style="5" bestFit="1" customWidth="1"/>
    <col min="891" max="891" width="7.796875" style="5" bestFit="1" customWidth="1"/>
    <col min="892" max="895" width="5.3984375" style="5" bestFit="1" customWidth="1"/>
    <col min="896" max="896" width="7.796875" style="5" bestFit="1" customWidth="1"/>
    <col min="897" max="897" width="5.3984375" style="5" bestFit="1" customWidth="1"/>
    <col min="898" max="898" width="7.796875" style="5" bestFit="1" customWidth="1"/>
    <col min="899" max="899" width="5.3984375" style="5" bestFit="1" customWidth="1"/>
    <col min="900" max="900" width="7.796875" style="5" bestFit="1" customWidth="1"/>
    <col min="901" max="902" width="5.3984375" style="5" bestFit="1" customWidth="1"/>
    <col min="903" max="903" width="7.796875" style="5" bestFit="1" customWidth="1"/>
    <col min="904" max="906" width="5.3984375" style="5" bestFit="1" customWidth="1"/>
    <col min="907" max="907" width="7.796875" style="5" bestFit="1" customWidth="1"/>
    <col min="908" max="909" width="5.3984375" style="5" bestFit="1" customWidth="1"/>
    <col min="910" max="910" width="7.796875" style="5" bestFit="1" customWidth="1"/>
    <col min="911" max="913" width="5.3984375" style="5" bestFit="1" customWidth="1"/>
    <col min="914" max="914" width="7.796875" style="5" bestFit="1" customWidth="1"/>
    <col min="915" max="918" width="5.3984375" style="5" bestFit="1" customWidth="1"/>
    <col min="919" max="919" width="7.796875" style="5" bestFit="1" customWidth="1"/>
    <col min="920" max="920" width="5.3984375" style="5" bestFit="1" customWidth="1"/>
    <col min="921" max="921" width="7.796875" style="5" bestFit="1" customWidth="1"/>
    <col min="922" max="922" width="5.3984375" style="5" bestFit="1" customWidth="1"/>
    <col min="923" max="923" width="7.796875" style="5" bestFit="1" customWidth="1"/>
    <col min="924" max="924" width="9.69921875" style="5" bestFit="1" customWidth="1"/>
    <col min="925" max="932" width="8" style="5"/>
    <col min="933" max="16384" width="8.796875" style="5"/>
  </cols>
  <sheetData>
    <row r="1" spans="1:22" x14ac:dyDescent="0.25">
      <c r="A1" s="5" t="s">
        <v>0</v>
      </c>
      <c r="B1" s="5" t="s">
        <v>1</v>
      </c>
      <c r="C1" s="5" t="s">
        <v>13</v>
      </c>
      <c r="D1" s="5" t="s">
        <v>21</v>
      </c>
      <c r="E1" s="5" t="s">
        <v>14</v>
      </c>
      <c r="F1" s="5" t="s">
        <v>4</v>
      </c>
      <c r="G1" s="5" t="s">
        <v>5</v>
      </c>
      <c r="H1" s="5" t="s">
        <v>27</v>
      </c>
      <c r="I1" s="5" t="s">
        <v>15</v>
      </c>
      <c r="J1" s="5" t="s">
        <v>7</v>
      </c>
      <c r="K1" s="5" t="s">
        <v>19</v>
      </c>
      <c r="L1" s="5" t="s">
        <v>12</v>
      </c>
      <c r="M1" s="5" t="s">
        <v>20</v>
      </c>
      <c r="N1" s="5" t="s">
        <v>28</v>
      </c>
      <c r="O1" s="5" t="s">
        <v>34</v>
      </c>
      <c r="R1" s="6">
        <v>0</v>
      </c>
      <c r="S1" s="6">
        <v>1</v>
      </c>
      <c r="U1" s="6">
        <v>0</v>
      </c>
      <c r="V1" s="6">
        <v>1</v>
      </c>
    </row>
    <row r="2" spans="1:22" x14ac:dyDescent="0.25">
      <c r="A2" s="5">
        <v>6</v>
      </c>
      <c r="B2" s="5">
        <v>148</v>
      </c>
      <c r="C2" s="5">
        <v>72</v>
      </c>
      <c r="D2" s="5" t="s">
        <v>23</v>
      </c>
      <c r="E2" s="5">
        <v>35</v>
      </c>
      <c r="F2" s="5">
        <v>125</v>
      </c>
      <c r="G2" s="5">
        <v>33.6</v>
      </c>
      <c r="H2" s="5" t="s">
        <v>29</v>
      </c>
      <c r="I2" s="5">
        <v>0.627</v>
      </c>
      <c r="J2" s="5">
        <v>50</v>
      </c>
      <c r="K2" s="5" t="s">
        <v>38</v>
      </c>
      <c r="L2" s="15">
        <v>1</v>
      </c>
      <c r="M2" s="5" t="s">
        <v>22</v>
      </c>
      <c r="N2" s="5" t="s">
        <v>56</v>
      </c>
      <c r="O2" s="5" t="s">
        <v>31</v>
      </c>
      <c r="R2" s="5" t="e">
        <f>IF(diabetesoriginal[[#This Row],[Diabetes]]=$R$1,diabetesoriginal[[#This Row],[Skin Thickness]],NA())</f>
        <v>#N/A</v>
      </c>
      <c r="S2" s="5">
        <f>IF(diabetesoriginal[[#This Row],[Diabetes]]=$S$1,diabetesoriginal[[#This Row],[Skin Thickness]],NA())</f>
        <v>35</v>
      </c>
      <c r="U2" s="5" t="e">
        <f>IF(diabetesoriginal[[#This Row],[Diabetes]]=$U$1,diabetesoriginal[[#This Row],[Insulin]],NA())</f>
        <v>#N/A</v>
      </c>
      <c r="V2" s="5">
        <f>IF(diabetesoriginal[[#This Row],[Diabetes]]=$S$1,diabetesoriginal[[#This Row],[Insulin]],NA())</f>
        <v>125</v>
      </c>
    </row>
    <row r="3" spans="1:22" x14ac:dyDescent="0.25">
      <c r="A3" s="5">
        <v>1</v>
      </c>
      <c r="B3" s="5">
        <v>85</v>
      </c>
      <c r="C3" s="5">
        <v>66</v>
      </c>
      <c r="D3" s="5" t="s">
        <v>23</v>
      </c>
      <c r="E3" s="5">
        <v>29</v>
      </c>
      <c r="F3" s="5">
        <v>125</v>
      </c>
      <c r="G3" s="5">
        <v>26.6</v>
      </c>
      <c r="H3" s="5" t="s">
        <v>30</v>
      </c>
      <c r="I3" s="5">
        <v>0.35099999999999998</v>
      </c>
      <c r="J3" s="5">
        <v>31</v>
      </c>
      <c r="K3" s="5" t="s">
        <v>36</v>
      </c>
      <c r="L3" s="15">
        <v>0</v>
      </c>
      <c r="M3" s="5" t="s">
        <v>57</v>
      </c>
      <c r="N3" s="5" t="s">
        <v>56</v>
      </c>
      <c r="O3" s="5" t="s">
        <v>31</v>
      </c>
      <c r="R3" s="5">
        <f>IF(diabetesoriginal[[#This Row],[Diabetes]]=$R$1,diabetesoriginal[[#This Row],[Skin Thickness]],NA())</f>
        <v>29</v>
      </c>
      <c r="S3" s="5" t="e">
        <f>IF(diabetesoriginal[[#This Row],[Diabetes]]=$S$1,diabetesoriginal[[#This Row],[Skin Thickness]],NA())</f>
        <v>#N/A</v>
      </c>
      <c r="U3" s="5">
        <f>IF(diabetesoriginal[[#This Row],[Diabetes]]=$U$1,diabetesoriginal[[#This Row],[Insulin]],NA())</f>
        <v>125</v>
      </c>
      <c r="V3" s="5" t="e">
        <f>IF(diabetesoriginal[[#This Row],[Diabetes]]=$S$1,diabetesoriginal[[#This Row],[Insulin]],NA())</f>
        <v>#N/A</v>
      </c>
    </row>
    <row r="4" spans="1:22" x14ac:dyDescent="0.25">
      <c r="A4" s="5">
        <v>8</v>
      </c>
      <c r="B4" s="5">
        <v>183</v>
      </c>
      <c r="C4" s="5">
        <v>64</v>
      </c>
      <c r="D4" s="5" t="s">
        <v>23</v>
      </c>
      <c r="E4" s="5">
        <v>29</v>
      </c>
      <c r="F4" s="5">
        <v>125</v>
      </c>
      <c r="G4" s="5">
        <v>23.3</v>
      </c>
      <c r="H4" s="5" t="s">
        <v>31</v>
      </c>
      <c r="I4" s="5">
        <v>0.67200000000000004</v>
      </c>
      <c r="J4" s="5">
        <v>32</v>
      </c>
      <c r="K4" s="5" t="s">
        <v>36</v>
      </c>
      <c r="L4" s="15">
        <v>1</v>
      </c>
      <c r="M4" s="5" t="s">
        <v>22</v>
      </c>
      <c r="N4" s="5" t="s">
        <v>56</v>
      </c>
      <c r="O4" s="5" t="s">
        <v>31</v>
      </c>
      <c r="R4" s="5" t="e">
        <f>IF(diabetesoriginal[[#This Row],[Diabetes]]=$R$1,diabetesoriginal[[#This Row],[Skin Thickness]],NA())</f>
        <v>#N/A</v>
      </c>
      <c r="S4" s="5">
        <f>IF(diabetesoriginal[[#This Row],[Diabetes]]=$S$1,diabetesoriginal[[#This Row],[Skin Thickness]],NA())</f>
        <v>29</v>
      </c>
      <c r="U4" s="5" t="e">
        <f>IF(diabetesoriginal[[#This Row],[Diabetes]]=$U$1,diabetesoriginal[[#This Row],[Insulin]],NA())</f>
        <v>#N/A</v>
      </c>
      <c r="V4" s="5">
        <f>IF(diabetesoriginal[[#This Row],[Diabetes]]=$S$1,diabetesoriginal[[#This Row],[Insulin]],NA())</f>
        <v>125</v>
      </c>
    </row>
    <row r="5" spans="1:22" x14ac:dyDescent="0.25">
      <c r="A5" s="5">
        <v>1</v>
      </c>
      <c r="B5" s="5">
        <v>89</v>
      </c>
      <c r="C5" s="5">
        <v>66</v>
      </c>
      <c r="D5" s="5" t="s">
        <v>23</v>
      </c>
      <c r="E5" s="5">
        <v>23</v>
      </c>
      <c r="F5" s="5">
        <v>94</v>
      </c>
      <c r="G5" s="5">
        <v>28.1</v>
      </c>
      <c r="H5" s="5" t="s">
        <v>30</v>
      </c>
      <c r="I5" s="5">
        <v>0.16700000000000001</v>
      </c>
      <c r="J5" s="5">
        <v>21</v>
      </c>
      <c r="K5" s="5" t="s">
        <v>35</v>
      </c>
      <c r="L5" s="15">
        <v>0</v>
      </c>
      <c r="M5" s="5" t="s">
        <v>57</v>
      </c>
      <c r="N5" s="5" t="s">
        <v>58</v>
      </c>
      <c r="O5" s="5" t="s">
        <v>31</v>
      </c>
      <c r="R5" s="5">
        <f>IF(diabetesoriginal[[#This Row],[Diabetes]]=$R$1,diabetesoriginal[[#This Row],[Skin Thickness]],NA())</f>
        <v>23</v>
      </c>
      <c r="S5" s="5" t="e">
        <f>IF(diabetesoriginal[[#This Row],[Diabetes]]=$S$1,diabetesoriginal[[#This Row],[Skin Thickness]],NA())</f>
        <v>#N/A</v>
      </c>
      <c r="U5" s="5">
        <f>IF(diabetesoriginal[[#This Row],[Diabetes]]=$U$1,diabetesoriginal[[#This Row],[Insulin]],NA())</f>
        <v>94</v>
      </c>
      <c r="V5" s="5" t="e">
        <f>IF(diabetesoriginal[[#This Row],[Diabetes]]=$S$1,diabetesoriginal[[#This Row],[Insulin]],NA())</f>
        <v>#N/A</v>
      </c>
    </row>
    <row r="6" spans="1:22" x14ac:dyDescent="0.25">
      <c r="A6" s="5">
        <v>0</v>
      </c>
      <c r="B6" s="5">
        <v>137</v>
      </c>
      <c r="C6" s="5">
        <v>40</v>
      </c>
      <c r="D6" s="5" t="s">
        <v>23</v>
      </c>
      <c r="E6" s="5">
        <v>35</v>
      </c>
      <c r="F6" s="5">
        <v>168</v>
      </c>
      <c r="G6" s="5">
        <v>43.1</v>
      </c>
      <c r="H6" s="5" t="s">
        <v>32</v>
      </c>
      <c r="I6" s="5">
        <v>2.2879999999999998</v>
      </c>
      <c r="J6" s="5">
        <v>33</v>
      </c>
      <c r="K6" s="5" t="s">
        <v>36</v>
      </c>
      <c r="L6" s="15">
        <v>1</v>
      </c>
      <c r="M6" s="5" t="s">
        <v>57</v>
      </c>
      <c r="N6" s="5" t="s">
        <v>56</v>
      </c>
      <c r="O6" s="5" t="s">
        <v>59</v>
      </c>
      <c r="R6" s="5" t="e">
        <f>IF(diabetesoriginal[[#This Row],[Diabetes]]=$R$1,diabetesoriginal[[#This Row],[Skin Thickness]],NA())</f>
        <v>#N/A</v>
      </c>
      <c r="S6" s="5">
        <f>IF(diabetesoriginal[[#This Row],[Diabetes]]=$S$1,diabetesoriginal[[#This Row],[Skin Thickness]],NA())</f>
        <v>35</v>
      </c>
      <c r="U6" s="5" t="e">
        <f>IF(diabetesoriginal[[#This Row],[Diabetes]]=$U$1,diabetesoriginal[[#This Row],[Insulin]],NA())</f>
        <v>#N/A</v>
      </c>
      <c r="V6" s="5">
        <f>IF(diabetesoriginal[[#This Row],[Diabetes]]=$S$1,diabetesoriginal[[#This Row],[Insulin]],NA())</f>
        <v>168</v>
      </c>
    </row>
    <row r="7" spans="1:22" x14ac:dyDescent="0.25">
      <c r="A7" s="5">
        <v>5</v>
      </c>
      <c r="B7" s="5">
        <v>116</v>
      </c>
      <c r="C7" s="5">
        <v>74</v>
      </c>
      <c r="D7" s="5" t="s">
        <v>23</v>
      </c>
      <c r="E7" s="5">
        <v>29</v>
      </c>
      <c r="F7" s="5">
        <v>125</v>
      </c>
      <c r="G7" s="5">
        <v>25.6</v>
      </c>
      <c r="H7" s="5" t="s">
        <v>30</v>
      </c>
      <c r="I7" s="5">
        <v>0.20100000000000001</v>
      </c>
      <c r="J7" s="5">
        <v>30</v>
      </c>
      <c r="K7" s="5" t="s">
        <v>36</v>
      </c>
      <c r="L7" s="15">
        <v>0</v>
      </c>
      <c r="M7" s="5" t="s">
        <v>57</v>
      </c>
      <c r="N7" s="5" t="s">
        <v>56</v>
      </c>
      <c r="O7" s="5" t="s">
        <v>31</v>
      </c>
      <c r="R7" s="5">
        <f>IF(diabetesoriginal[[#This Row],[Diabetes]]=$R$1,diabetesoriginal[[#This Row],[Skin Thickness]],NA())</f>
        <v>29</v>
      </c>
      <c r="S7" s="5" t="e">
        <f>IF(diabetesoriginal[[#This Row],[Diabetes]]=$S$1,diabetesoriginal[[#This Row],[Skin Thickness]],NA())</f>
        <v>#N/A</v>
      </c>
      <c r="U7" s="5">
        <f>IF(diabetesoriginal[[#This Row],[Diabetes]]=$U$1,diabetesoriginal[[#This Row],[Insulin]],NA())</f>
        <v>125</v>
      </c>
      <c r="V7" s="5" t="e">
        <f>IF(diabetesoriginal[[#This Row],[Diabetes]]=$S$1,diabetesoriginal[[#This Row],[Insulin]],NA())</f>
        <v>#N/A</v>
      </c>
    </row>
    <row r="8" spans="1:22" x14ac:dyDescent="0.25">
      <c r="A8" s="5">
        <v>3</v>
      </c>
      <c r="B8" s="5">
        <v>78</v>
      </c>
      <c r="C8" s="5">
        <v>50</v>
      </c>
      <c r="D8" s="5" t="s">
        <v>23</v>
      </c>
      <c r="E8" s="5">
        <v>32</v>
      </c>
      <c r="F8" s="5">
        <v>88</v>
      </c>
      <c r="G8" s="5">
        <v>31</v>
      </c>
      <c r="H8" s="5" t="s">
        <v>29</v>
      </c>
      <c r="I8" s="5">
        <v>0.248</v>
      </c>
      <c r="J8" s="5">
        <v>26</v>
      </c>
      <c r="K8" s="5" t="s">
        <v>35</v>
      </c>
      <c r="L8" s="15">
        <v>1</v>
      </c>
      <c r="M8" s="5" t="s">
        <v>57</v>
      </c>
      <c r="N8" s="5" t="s">
        <v>56</v>
      </c>
      <c r="O8" s="5" t="s">
        <v>31</v>
      </c>
      <c r="R8" s="5" t="e">
        <f>IF(diabetesoriginal[[#This Row],[Diabetes]]=$R$1,diabetesoriginal[[#This Row],[Skin Thickness]],NA())</f>
        <v>#N/A</v>
      </c>
      <c r="S8" s="5">
        <f>IF(diabetesoriginal[[#This Row],[Diabetes]]=$S$1,diabetesoriginal[[#This Row],[Skin Thickness]],NA())</f>
        <v>32</v>
      </c>
      <c r="U8" s="5" t="e">
        <f>IF(diabetesoriginal[[#This Row],[Diabetes]]=$U$1,diabetesoriginal[[#This Row],[Insulin]],NA())</f>
        <v>#N/A</v>
      </c>
      <c r="V8" s="5">
        <f>IF(diabetesoriginal[[#This Row],[Diabetes]]=$S$1,diabetesoriginal[[#This Row],[Insulin]],NA())</f>
        <v>88</v>
      </c>
    </row>
    <row r="9" spans="1:22" x14ac:dyDescent="0.25">
      <c r="A9" s="5">
        <v>10</v>
      </c>
      <c r="B9" s="5">
        <v>115</v>
      </c>
      <c r="C9" s="5">
        <v>72</v>
      </c>
      <c r="D9" s="5" t="s">
        <v>23</v>
      </c>
      <c r="E9" s="5">
        <v>29</v>
      </c>
      <c r="F9" s="5">
        <v>125</v>
      </c>
      <c r="G9" s="5">
        <v>35.299999999999997</v>
      </c>
      <c r="H9" s="5" t="s">
        <v>29</v>
      </c>
      <c r="I9" s="5">
        <v>0.13400000000000001</v>
      </c>
      <c r="J9" s="5">
        <v>29</v>
      </c>
      <c r="K9" s="5" t="s">
        <v>35</v>
      </c>
      <c r="L9" s="15">
        <v>0</v>
      </c>
      <c r="M9" s="5" t="s">
        <v>57</v>
      </c>
      <c r="N9" s="5" t="s">
        <v>56</v>
      </c>
      <c r="O9" s="5" t="s">
        <v>31</v>
      </c>
      <c r="R9" s="5">
        <f>IF(diabetesoriginal[[#This Row],[Diabetes]]=$R$1,diabetesoriginal[[#This Row],[Skin Thickness]],NA())</f>
        <v>29</v>
      </c>
      <c r="S9" s="5" t="e">
        <f>IF(diabetesoriginal[[#This Row],[Diabetes]]=$S$1,diabetesoriginal[[#This Row],[Skin Thickness]],NA())</f>
        <v>#N/A</v>
      </c>
      <c r="U9" s="5">
        <f>IF(diabetesoriginal[[#This Row],[Diabetes]]=$U$1,diabetesoriginal[[#This Row],[Insulin]],NA())</f>
        <v>125</v>
      </c>
      <c r="V9" s="5" t="e">
        <f>IF(diabetesoriginal[[#This Row],[Diabetes]]=$S$1,diabetesoriginal[[#This Row],[Insulin]],NA())</f>
        <v>#N/A</v>
      </c>
    </row>
    <row r="10" spans="1:22" x14ac:dyDescent="0.25">
      <c r="A10" s="5">
        <v>2</v>
      </c>
      <c r="B10" s="5">
        <v>197</v>
      </c>
      <c r="C10" s="5">
        <v>70</v>
      </c>
      <c r="D10" s="5" t="s">
        <v>23</v>
      </c>
      <c r="E10" s="5">
        <v>45</v>
      </c>
      <c r="F10" s="5">
        <v>543</v>
      </c>
      <c r="G10" s="5">
        <v>30.5</v>
      </c>
      <c r="H10" s="5" t="s">
        <v>29</v>
      </c>
      <c r="I10" s="5">
        <v>0.158</v>
      </c>
      <c r="J10" s="5">
        <v>53</v>
      </c>
      <c r="K10" s="5" t="s">
        <v>38</v>
      </c>
      <c r="L10" s="15">
        <v>1</v>
      </c>
      <c r="M10" s="5" t="s">
        <v>22</v>
      </c>
      <c r="N10" s="5" t="s">
        <v>56</v>
      </c>
      <c r="O10" s="5" t="s">
        <v>59</v>
      </c>
      <c r="R10" s="5" t="e">
        <f>IF(diabetesoriginal[[#This Row],[Diabetes]]=$R$1,diabetesoriginal[[#This Row],[Skin Thickness]],NA())</f>
        <v>#N/A</v>
      </c>
      <c r="S10" s="5">
        <f>IF(diabetesoriginal[[#This Row],[Diabetes]]=$S$1,diabetesoriginal[[#This Row],[Skin Thickness]],NA())</f>
        <v>45</v>
      </c>
      <c r="U10" s="5" t="e">
        <f>IF(diabetesoriginal[[#This Row],[Diabetes]]=$U$1,diabetesoriginal[[#This Row],[Insulin]],NA())</f>
        <v>#N/A</v>
      </c>
      <c r="V10" s="5">
        <f>IF(diabetesoriginal[[#This Row],[Diabetes]]=$S$1,diabetesoriginal[[#This Row],[Insulin]],NA())</f>
        <v>543</v>
      </c>
    </row>
    <row r="11" spans="1:22" x14ac:dyDescent="0.25">
      <c r="A11" s="5">
        <v>8</v>
      </c>
      <c r="B11" s="5">
        <v>125</v>
      </c>
      <c r="C11" s="5">
        <v>96</v>
      </c>
      <c r="D11" s="5" t="s">
        <v>24</v>
      </c>
      <c r="E11" s="5">
        <v>29</v>
      </c>
      <c r="F11" s="5">
        <v>125</v>
      </c>
      <c r="G11" s="5">
        <v>32.299999999999997</v>
      </c>
      <c r="H11" s="5" t="s">
        <v>29</v>
      </c>
      <c r="I11" s="5">
        <v>0.23200000000000001</v>
      </c>
      <c r="J11" s="5">
        <v>54</v>
      </c>
      <c r="K11" s="5" t="s">
        <v>38</v>
      </c>
      <c r="L11" s="15">
        <v>1</v>
      </c>
      <c r="M11" s="5" t="s">
        <v>57</v>
      </c>
      <c r="N11" s="5" t="s">
        <v>56</v>
      </c>
      <c r="O11" s="5" t="s">
        <v>31</v>
      </c>
      <c r="R11" s="5" t="e">
        <f>IF(diabetesoriginal[[#This Row],[Diabetes]]=$R$1,diabetesoriginal[[#This Row],[Skin Thickness]],NA())</f>
        <v>#N/A</v>
      </c>
      <c r="S11" s="5">
        <f>IF(diabetesoriginal[[#This Row],[Diabetes]]=$S$1,diabetesoriginal[[#This Row],[Skin Thickness]],NA())</f>
        <v>29</v>
      </c>
      <c r="U11" s="5" t="e">
        <f>IF(diabetesoriginal[[#This Row],[Diabetes]]=$U$1,diabetesoriginal[[#This Row],[Insulin]],NA())</f>
        <v>#N/A</v>
      </c>
      <c r="V11" s="5">
        <f>IF(diabetesoriginal[[#This Row],[Diabetes]]=$S$1,diabetesoriginal[[#This Row],[Insulin]],NA())</f>
        <v>125</v>
      </c>
    </row>
    <row r="12" spans="1:22" x14ac:dyDescent="0.25">
      <c r="A12" s="5">
        <v>4</v>
      </c>
      <c r="B12" s="5">
        <v>110</v>
      </c>
      <c r="C12" s="5">
        <v>92</v>
      </c>
      <c r="D12" s="5" t="s">
        <v>24</v>
      </c>
      <c r="E12" s="5">
        <v>29</v>
      </c>
      <c r="F12" s="5">
        <v>125</v>
      </c>
      <c r="G12" s="5">
        <v>37.6</v>
      </c>
      <c r="H12" s="5" t="s">
        <v>29</v>
      </c>
      <c r="I12" s="5">
        <v>0.191</v>
      </c>
      <c r="J12" s="5">
        <v>30</v>
      </c>
      <c r="K12" s="5" t="s">
        <v>36</v>
      </c>
      <c r="L12" s="15">
        <v>0</v>
      </c>
      <c r="M12" s="5" t="s">
        <v>57</v>
      </c>
      <c r="N12" s="5" t="s">
        <v>56</v>
      </c>
      <c r="O12" s="5" t="s">
        <v>31</v>
      </c>
      <c r="R12" s="5">
        <f>IF(diabetesoriginal[[#This Row],[Diabetes]]=$R$1,diabetesoriginal[[#This Row],[Skin Thickness]],NA())</f>
        <v>29</v>
      </c>
      <c r="S12" s="5" t="e">
        <f>IF(diabetesoriginal[[#This Row],[Diabetes]]=$S$1,diabetesoriginal[[#This Row],[Skin Thickness]],NA())</f>
        <v>#N/A</v>
      </c>
      <c r="U12" s="5">
        <f>IF(diabetesoriginal[[#This Row],[Diabetes]]=$U$1,diabetesoriginal[[#This Row],[Insulin]],NA())</f>
        <v>125</v>
      </c>
      <c r="V12" s="5" t="e">
        <f>IF(diabetesoriginal[[#This Row],[Diabetes]]=$S$1,diabetesoriginal[[#This Row],[Insulin]],NA())</f>
        <v>#N/A</v>
      </c>
    </row>
    <row r="13" spans="1:22" x14ac:dyDescent="0.25">
      <c r="A13" s="5">
        <v>10</v>
      </c>
      <c r="B13" s="5">
        <v>168</v>
      </c>
      <c r="C13" s="5">
        <v>74</v>
      </c>
      <c r="D13" s="5" t="s">
        <v>23</v>
      </c>
      <c r="E13" s="5">
        <v>29</v>
      </c>
      <c r="F13" s="5">
        <v>125</v>
      </c>
      <c r="G13" s="5">
        <v>38</v>
      </c>
      <c r="H13" s="5" t="s">
        <v>29</v>
      </c>
      <c r="I13" s="5">
        <v>0.53700000000000003</v>
      </c>
      <c r="J13" s="5">
        <v>34</v>
      </c>
      <c r="K13" s="5" t="s">
        <v>36</v>
      </c>
      <c r="L13" s="15">
        <v>1</v>
      </c>
      <c r="M13" s="5" t="s">
        <v>22</v>
      </c>
      <c r="N13" s="5" t="s">
        <v>56</v>
      </c>
      <c r="O13" s="5" t="s">
        <v>31</v>
      </c>
      <c r="R13" s="5" t="e">
        <f>IF(diabetesoriginal[[#This Row],[Diabetes]]=$R$1,diabetesoriginal[[#This Row],[Skin Thickness]],NA())</f>
        <v>#N/A</v>
      </c>
      <c r="S13" s="5">
        <f>IF(diabetesoriginal[[#This Row],[Diabetes]]=$S$1,diabetesoriginal[[#This Row],[Skin Thickness]],NA())</f>
        <v>29</v>
      </c>
      <c r="U13" s="5" t="e">
        <f>IF(diabetesoriginal[[#This Row],[Diabetes]]=$U$1,diabetesoriginal[[#This Row],[Insulin]],NA())</f>
        <v>#N/A</v>
      </c>
      <c r="V13" s="5">
        <f>IF(diabetesoriginal[[#This Row],[Diabetes]]=$S$1,diabetesoriginal[[#This Row],[Insulin]],NA())</f>
        <v>125</v>
      </c>
    </row>
    <row r="14" spans="1:22" x14ac:dyDescent="0.25">
      <c r="A14" s="5">
        <v>10</v>
      </c>
      <c r="B14" s="5">
        <v>139</v>
      </c>
      <c r="C14" s="5">
        <v>80</v>
      </c>
      <c r="D14" s="5" t="s">
        <v>25</v>
      </c>
      <c r="E14" s="5">
        <v>29</v>
      </c>
      <c r="F14" s="5">
        <v>125</v>
      </c>
      <c r="G14" s="5">
        <v>27.1</v>
      </c>
      <c r="H14" s="5" t="s">
        <v>30</v>
      </c>
      <c r="I14" s="5">
        <v>1.4410000000000001</v>
      </c>
      <c r="J14" s="5">
        <v>57</v>
      </c>
      <c r="K14" s="5" t="s">
        <v>38</v>
      </c>
      <c r="L14" s="15">
        <v>0</v>
      </c>
      <c r="M14" s="5" t="s">
        <v>57</v>
      </c>
      <c r="N14" s="5" t="s">
        <v>56</v>
      </c>
      <c r="O14" s="5" t="s">
        <v>31</v>
      </c>
      <c r="R14" s="5">
        <f>IF(diabetesoriginal[[#This Row],[Diabetes]]=$R$1,diabetesoriginal[[#This Row],[Skin Thickness]],NA())</f>
        <v>29</v>
      </c>
      <c r="S14" s="5" t="e">
        <f>IF(diabetesoriginal[[#This Row],[Diabetes]]=$S$1,diabetesoriginal[[#This Row],[Skin Thickness]],NA())</f>
        <v>#N/A</v>
      </c>
      <c r="U14" s="5">
        <f>IF(diabetesoriginal[[#This Row],[Diabetes]]=$U$1,diabetesoriginal[[#This Row],[Insulin]],NA())</f>
        <v>125</v>
      </c>
      <c r="V14" s="5" t="e">
        <f>IF(diabetesoriginal[[#This Row],[Diabetes]]=$S$1,diabetesoriginal[[#This Row],[Insulin]],NA())</f>
        <v>#N/A</v>
      </c>
    </row>
    <row r="15" spans="1:22" x14ac:dyDescent="0.25">
      <c r="A15" s="5">
        <v>1</v>
      </c>
      <c r="B15" s="5">
        <v>189</v>
      </c>
      <c r="C15" s="5">
        <v>60</v>
      </c>
      <c r="D15" s="5" t="s">
        <v>23</v>
      </c>
      <c r="E15" s="5">
        <v>23</v>
      </c>
      <c r="F15" s="5">
        <v>846</v>
      </c>
      <c r="G15" s="5">
        <v>30.1</v>
      </c>
      <c r="H15" s="5" t="s">
        <v>29</v>
      </c>
      <c r="I15" s="5">
        <v>0.39800000000000002</v>
      </c>
      <c r="J15" s="5">
        <v>59</v>
      </c>
      <c r="K15" s="5" t="s">
        <v>38</v>
      </c>
      <c r="L15" s="15">
        <v>1</v>
      </c>
      <c r="M15" s="5" t="s">
        <v>22</v>
      </c>
      <c r="N15" s="5" t="s">
        <v>58</v>
      </c>
      <c r="O15" s="5" t="s">
        <v>59</v>
      </c>
      <c r="R15" s="5" t="e">
        <f>IF(diabetesoriginal[[#This Row],[Diabetes]]=$R$1,diabetesoriginal[[#This Row],[Skin Thickness]],NA())</f>
        <v>#N/A</v>
      </c>
      <c r="S15" s="5">
        <f>IF(diabetesoriginal[[#This Row],[Diabetes]]=$S$1,diabetesoriginal[[#This Row],[Skin Thickness]],NA())</f>
        <v>23</v>
      </c>
      <c r="U15" s="5" t="e">
        <f>IF(diabetesoriginal[[#This Row],[Diabetes]]=$U$1,diabetesoriginal[[#This Row],[Insulin]],NA())</f>
        <v>#N/A</v>
      </c>
      <c r="V15" s="5">
        <f>IF(diabetesoriginal[[#This Row],[Diabetes]]=$S$1,diabetesoriginal[[#This Row],[Insulin]],NA())</f>
        <v>846</v>
      </c>
    </row>
    <row r="16" spans="1:22" x14ac:dyDescent="0.25">
      <c r="A16" s="5">
        <v>5</v>
      </c>
      <c r="B16" s="5">
        <v>166</v>
      </c>
      <c r="C16" s="5">
        <v>72</v>
      </c>
      <c r="D16" s="5" t="s">
        <v>23</v>
      </c>
      <c r="E16" s="5">
        <v>19</v>
      </c>
      <c r="F16" s="5">
        <v>175</v>
      </c>
      <c r="G16" s="5">
        <v>25.8</v>
      </c>
      <c r="H16" s="5" t="s">
        <v>30</v>
      </c>
      <c r="I16" s="5">
        <v>0.58699999999999997</v>
      </c>
      <c r="J16" s="5">
        <v>51</v>
      </c>
      <c r="K16" s="5" t="s">
        <v>38</v>
      </c>
      <c r="L16" s="15">
        <v>1</v>
      </c>
      <c r="M16" s="5" t="s">
        <v>22</v>
      </c>
      <c r="N16" s="5" t="s">
        <v>58</v>
      </c>
      <c r="O16" s="5" t="s">
        <v>59</v>
      </c>
      <c r="R16" s="5" t="e">
        <f>IF(diabetesoriginal[[#This Row],[Diabetes]]=$R$1,diabetesoriginal[[#This Row],[Skin Thickness]],NA())</f>
        <v>#N/A</v>
      </c>
      <c r="S16" s="5">
        <f>IF(diabetesoriginal[[#This Row],[Diabetes]]=$S$1,diabetesoriginal[[#This Row],[Skin Thickness]],NA())</f>
        <v>19</v>
      </c>
      <c r="U16" s="5" t="e">
        <f>IF(diabetesoriginal[[#This Row],[Diabetes]]=$U$1,diabetesoriginal[[#This Row],[Insulin]],NA())</f>
        <v>#N/A</v>
      </c>
      <c r="V16" s="5">
        <f>IF(diabetesoriginal[[#This Row],[Diabetes]]=$S$1,diabetesoriginal[[#This Row],[Insulin]],NA())</f>
        <v>175</v>
      </c>
    </row>
    <row r="17" spans="1:22" x14ac:dyDescent="0.25">
      <c r="A17" s="5">
        <v>7</v>
      </c>
      <c r="B17" s="5">
        <v>100</v>
      </c>
      <c r="C17" s="5">
        <v>72</v>
      </c>
      <c r="D17" s="5" t="s">
        <v>23</v>
      </c>
      <c r="E17" s="5">
        <v>29</v>
      </c>
      <c r="F17" s="5">
        <v>125</v>
      </c>
      <c r="G17" s="5">
        <v>30</v>
      </c>
      <c r="H17" s="5" t="s">
        <v>29</v>
      </c>
      <c r="I17" s="5">
        <v>0.48399999999999999</v>
      </c>
      <c r="J17" s="5">
        <v>32</v>
      </c>
      <c r="K17" s="5" t="s">
        <v>36</v>
      </c>
      <c r="L17" s="15">
        <v>1</v>
      </c>
      <c r="M17" s="5" t="s">
        <v>57</v>
      </c>
      <c r="N17" s="5" t="s">
        <v>56</v>
      </c>
      <c r="O17" s="5" t="s">
        <v>31</v>
      </c>
      <c r="R17" s="5" t="e">
        <f>IF(diabetesoriginal[[#This Row],[Diabetes]]=$R$1,diabetesoriginal[[#This Row],[Skin Thickness]],NA())</f>
        <v>#N/A</v>
      </c>
      <c r="S17" s="5">
        <f>IF(diabetesoriginal[[#This Row],[Diabetes]]=$S$1,diabetesoriginal[[#This Row],[Skin Thickness]],NA())</f>
        <v>29</v>
      </c>
      <c r="U17" s="5" t="e">
        <f>IF(diabetesoriginal[[#This Row],[Diabetes]]=$U$1,diabetesoriginal[[#This Row],[Insulin]],NA())</f>
        <v>#N/A</v>
      </c>
      <c r="V17" s="5">
        <f>IF(diabetesoriginal[[#This Row],[Diabetes]]=$S$1,diabetesoriginal[[#This Row],[Insulin]],NA())</f>
        <v>125</v>
      </c>
    </row>
    <row r="18" spans="1:22" x14ac:dyDescent="0.25">
      <c r="A18" s="5">
        <v>0</v>
      </c>
      <c r="B18" s="5">
        <v>118</v>
      </c>
      <c r="C18" s="5">
        <v>84</v>
      </c>
      <c r="D18" s="5" t="s">
        <v>25</v>
      </c>
      <c r="E18" s="5">
        <v>47</v>
      </c>
      <c r="F18" s="5">
        <v>230</v>
      </c>
      <c r="G18" s="5">
        <v>45.8</v>
      </c>
      <c r="H18" s="5" t="s">
        <v>32</v>
      </c>
      <c r="I18" s="5">
        <v>0.55100000000000005</v>
      </c>
      <c r="J18" s="5">
        <v>31</v>
      </c>
      <c r="K18" s="5" t="s">
        <v>36</v>
      </c>
      <c r="L18" s="15">
        <v>1</v>
      </c>
      <c r="M18" s="5" t="s">
        <v>57</v>
      </c>
      <c r="N18" s="5" t="s">
        <v>56</v>
      </c>
      <c r="O18" s="5" t="s">
        <v>59</v>
      </c>
      <c r="R18" s="5" t="e">
        <f>IF(diabetesoriginal[[#This Row],[Diabetes]]=$R$1,diabetesoriginal[[#This Row],[Skin Thickness]],NA())</f>
        <v>#N/A</v>
      </c>
      <c r="S18" s="5">
        <f>IF(diabetesoriginal[[#This Row],[Diabetes]]=$S$1,diabetesoriginal[[#This Row],[Skin Thickness]],NA())</f>
        <v>47</v>
      </c>
      <c r="U18" s="5" t="e">
        <f>IF(diabetesoriginal[[#This Row],[Diabetes]]=$U$1,diabetesoriginal[[#This Row],[Insulin]],NA())</f>
        <v>#N/A</v>
      </c>
      <c r="V18" s="5">
        <f>IF(diabetesoriginal[[#This Row],[Diabetes]]=$S$1,diabetesoriginal[[#This Row],[Insulin]],NA())</f>
        <v>230</v>
      </c>
    </row>
    <row r="19" spans="1:22" x14ac:dyDescent="0.25">
      <c r="A19" s="5">
        <v>7</v>
      </c>
      <c r="B19" s="5">
        <v>107</v>
      </c>
      <c r="C19" s="5">
        <v>74</v>
      </c>
      <c r="D19" s="5" t="s">
        <v>23</v>
      </c>
      <c r="E19" s="5">
        <v>29</v>
      </c>
      <c r="F19" s="5">
        <v>125</v>
      </c>
      <c r="G19" s="5">
        <v>29.6</v>
      </c>
      <c r="H19" s="5" t="s">
        <v>30</v>
      </c>
      <c r="I19" s="5">
        <v>0.254</v>
      </c>
      <c r="J19" s="5">
        <v>31</v>
      </c>
      <c r="K19" s="5" t="s">
        <v>36</v>
      </c>
      <c r="L19" s="15">
        <v>1</v>
      </c>
      <c r="M19" s="5" t="s">
        <v>57</v>
      </c>
      <c r="N19" s="5" t="s">
        <v>56</v>
      </c>
      <c r="O19" s="5" t="s">
        <v>31</v>
      </c>
      <c r="R19" s="5" t="e">
        <f>IF(diabetesoriginal[[#This Row],[Diabetes]]=$R$1,diabetesoriginal[[#This Row],[Skin Thickness]],NA())</f>
        <v>#N/A</v>
      </c>
      <c r="S19" s="5">
        <f>IF(diabetesoriginal[[#This Row],[Diabetes]]=$S$1,diabetesoriginal[[#This Row],[Skin Thickness]],NA())</f>
        <v>29</v>
      </c>
      <c r="U19" s="5" t="e">
        <f>IF(diabetesoriginal[[#This Row],[Diabetes]]=$U$1,diabetesoriginal[[#This Row],[Insulin]],NA())</f>
        <v>#N/A</v>
      </c>
      <c r="V19" s="5">
        <f>IF(diabetesoriginal[[#This Row],[Diabetes]]=$S$1,diabetesoriginal[[#This Row],[Insulin]],NA())</f>
        <v>125</v>
      </c>
    </row>
    <row r="20" spans="1:22" x14ac:dyDescent="0.25">
      <c r="A20" s="5">
        <v>1</v>
      </c>
      <c r="B20" s="5">
        <v>103</v>
      </c>
      <c r="C20" s="5">
        <v>30</v>
      </c>
      <c r="D20" s="5" t="s">
        <v>23</v>
      </c>
      <c r="E20" s="5">
        <v>38</v>
      </c>
      <c r="F20" s="5">
        <v>83</v>
      </c>
      <c r="G20" s="5">
        <v>43.3</v>
      </c>
      <c r="H20" s="5" t="s">
        <v>32</v>
      </c>
      <c r="I20" s="5">
        <v>0.183</v>
      </c>
      <c r="J20" s="5">
        <v>33</v>
      </c>
      <c r="K20" s="5" t="s">
        <v>36</v>
      </c>
      <c r="L20" s="15">
        <v>0</v>
      </c>
      <c r="M20" s="5" t="s">
        <v>57</v>
      </c>
      <c r="N20" s="5" t="s">
        <v>56</v>
      </c>
      <c r="O20" s="5" t="s">
        <v>31</v>
      </c>
      <c r="R20" s="5">
        <f>IF(diabetesoriginal[[#This Row],[Diabetes]]=$R$1,diabetesoriginal[[#This Row],[Skin Thickness]],NA())</f>
        <v>38</v>
      </c>
      <c r="S20" s="5" t="e">
        <f>IF(diabetesoriginal[[#This Row],[Diabetes]]=$S$1,diabetesoriginal[[#This Row],[Skin Thickness]],NA())</f>
        <v>#N/A</v>
      </c>
      <c r="U20" s="5">
        <f>IF(diabetesoriginal[[#This Row],[Diabetes]]=$U$1,diabetesoriginal[[#This Row],[Insulin]],NA())</f>
        <v>83</v>
      </c>
      <c r="V20" s="5" t="e">
        <f>IF(diabetesoriginal[[#This Row],[Diabetes]]=$S$1,diabetesoriginal[[#This Row],[Insulin]],NA())</f>
        <v>#N/A</v>
      </c>
    </row>
    <row r="21" spans="1:22" x14ac:dyDescent="0.25">
      <c r="A21" s="5">
        <v>1</v>
      </c>
      <c r="B21" s="5">
        <v>115</v>
      </c>
      <c r="C21" s="5">
        <v>70</v>
      </c>
      <c r="D21" s="5" t="s">
        <v>23</v>
      </c>
      <c r="E21" s="5">
        <v>30</v>
      </c>
      <c r="F21" s="5">
        <v>96</v>
      </c>
      <c r="G21" s="5">
        <v>34.6</v>
      </c>
      <c r="H21" s="5" t="s">
        <v>29</v>
      </c>
      <c r="I21" s="5">
        <v>0.52900000000000003</v>
      </c>
      <c r="J21" s="5">
        <v>32</v>
      </c>
      <c r="K21" s="5" t="s">
        <v>36</v>
      </c>
      <c r="L21" s="15">
        <v>1</v>
      </c>
      <c r="M21" s="5" t="s">
        <v>57</v>
      </c>
      <c r="N21" s="5" t="s">
        <v>56</v>
      </c>
      <c r="O21" s="5" t="s">
        <v>31</v>
      </c>
      <c r="R21" s="5" t="e">
        <f>IF(diabetesoriginal[[#This Row],[Diabetes]]=$R$1,diabetesoriginal[[#This Row],[Skin Thickness]],NA())</f>
        <v>#N/A</v>
      </c>
      <c r="S21" s="5">
        <f>IF(diabetesoriginal[[#This Row],[Diabetes]]=$S$1,diabetesoriginal[[#This Row],[Skin Thickness]],NA())</f>
        <v>30</v>
      </c>
      <c r="U21" s="5" t="e">
        <f>IF(diabetesoriginal[[#This Row],[Diabetes]]=$U$1,diabetesoriginal[[#This Row],[Insulin]],NA())</f>
        <v>#N/A</v>
      </c>
      <c r="V21" s="5">
        <f>IF(diabetesoriginal[[#This Row],[Diabetes]]=$S$1,diabetesoriginal[[#This Row],[Insulin]],NA())</f>
        <v>96</v>
      </c>
    </row>
    <row r="22" spans="1:22" x14ac:dyDescent="0.25">
      <c r="A22" s="5">
        <v>3</v>
      </c>
      <c r="B22" s="5">
        <v>126</v>
      </c>
      <c r="C22" s="5">
        <v>88</v>
      </c>
      <c r="D22" s="5" t="s">
        <v>25</v>
      </c>
      <c r="E22" s="5">
        <v>41</v>
      </c>
      <c r="F22" s="5">
        <v>235</v>
      </c>
      <c r="G22" s="5">
        <v>39.299999999999997</v>
      </c>
      <c r="H22" s="5" t="s">
        <v>29</v>
      </c>
      <c r="I22" s="5">
        <v>0.70399999999999996</v>
      </c>
      <c r="J22" s="5">
        <v>27</v>
      </c>
      <c r="K22" s="5" t="s">
        <v>35</v>
      </c>
      <c r="L22" s="15">
        <v>0</v>
      </c>
      <c r="M22" s="5" t="s">
        <v>57</v>
      </c>
      <c r="N22" s="5" t="s">
        <v>56</v>
      </c>
      <c r="O22" s="5" t="s">
        <v>59</v>
      </c>
      <c r="R22" s="5">
        <f>IF(diabetesoriginal[[#This Row],[Diabetes]]=$R$1,diabetesoriginal[[#This Row],[Skin Thickness]],NA())</f>
        <v>41</v>
      </c>
      <c r="S22" s="5" t="e">
        <f>IF(diabetesoriginal[[#This Row],[Diabetes]]=$S$1,diabetesoriginal[[#This Row],[Skin Thickness]],NA())</f>
        <v>#N/A</v>
      </c>
      <c r="U22" s="5">
        <f>IF(diabetesoriginal[[#This Row],[Diabetes]]=$U$1,diabetesoriginal[[#This Row],[Insulin]],NA())</f>
        <v>235</v>
      </c>
      <c r="V22" s="5" t="e">
        <f>IF(diabetesoriginal[[#This Row],[Diabetes]]=$S$1,diabetesoriginal[[#This Row],[Insulin]],NA())</f>
        <v>#N/A</v>
      </c>
    </row>
    <row r="23" spans="1:22" x14ac:dyDescent="0.25">
      <c r="A23" s="5">
        <v>8</v>
      </c>
      <c r="B23" s="5">
        <v>99</v>
      </c>
      <c r="C23" s="5">
        <v>84</v>
      </c>
      <c r="D23" s="5" t="s">
        <v>25</v>
      </c>
      <c r="E23" s="5">
        <v>29</v>
      </c>
      <c r="F23" s="5">
        <v>125</v>
      </c>
      <c r="G23" s="5">
        <v>35.4</v>
      </c>
      <c r="H23" s="5" t="s">
        <v>29</v>
      </c>
      <c r="I23" s="5">
        <v>0.38800000000000001</v>
      </c>
      <c r="J23" s="5">
        <v>50</v>
      </c>
      <c r="K23" s="5" t="s">
        <v>38</v>
      </c>
      <c r="L23" s="15">
        <v>0</v>
      </c>
      <c r="M23" s="5" t="s">
        <v>57</v>
      </c>
      <c r="N23" s="5" t="s">
        <v>56</v>
      </c>
      <c r="O23" s="5" t="s">
        <v>31</v>
      </c>
      <c r="R23" s="5">
        <f>IF(diabetesoriginal[[#This Row],[Diabetes]]=$R$1,diabetesoriginal[[#This Row],[Skin Thickness]],NA())</f>
        <v>29</v>
      </c>
      <c r="S23" s="5" t="e">
        <f>IF(diabetesoriginal[[#This Row],[Diabetes]]=$S$1,diabetesoriginal[[#This Row],[Skin Thickness]],NA())</f>
        <v>#N/A</v>
      </c>
      <c r="U23" s="5">
        <f>IF(diabetesoriginal[[#This Row],[Diabetes]]=$U$1,diabetesoriginal[[#This Row],[Insulin]],NA())</f>
        <v>125</v>
      </c>
      <c r="V23" s="5" t="e">
        <f>IF(diabetesoriginal[[#This Row],[Diabetes]]=$S$1,diabetesoriginal[[#This Row],[Insulin]],NA())</f>
        <v>#N/A</v>
      </c>
    </row>
    <row r="24" spans="1:22" x14ac:dyDescent="0.25">
      <c r="A24" s="5">
        <v>7</v>
      </c>
      <c r="B24" s="5">
        <v>196</v>
      </c>
      <c r="C24" s="5">
        <v>90</v>
      </c>
      <c r="D24" s="5" t="s">
        <v>24</v>
      </c>
      <c r="E24" s="5">
        <v>29</v>
      </c>
      <c r="F24" s="5">
        <v>125</v>
      </c>
      <c r="G24" s="5">
        <v>39.799999999999997</v>
      </c>
      <c r="H24" s="5" t="s">
        <v>29</v>
      </c>
      <c r="I24" s="5">
        <v>0.45100000000000001</v>
      </c>
      <c r="J24" s="5">
        <v>41</v>
      </c>
      <c r="K24" s="5" t="s">
        <v>37</v>
      </c>
      <c r="L24" s="15">
        <v>1</v>
      </c>
      <c r="M24" s="5" t="s">
        <v>22</v>
      </c>
      <c r="N24" s="5" t="s">
        <v>56</v>
      </c>
      <c r="O24" s="5" t="s">
        <v>31</v>
      </c>
      <c r="R24" s="5" t="e">
        <f>IF(diabetesoriginal[[#This Row],[Diabetes]]=$R$1,diabetesoriginal[[#This Row],[Skin Thickness]],NA())</f>
        <v>#N/A</v>
      </c>
      <c r="S24" s="5">
        <f>IF(diabetesoriginal[[#This Row],[Diabetes]]=$S$1,diabetesoriginal[[#This Row],[Skin Thickness]],NA())</f>
        <v>29</v>
      </c>
      <c r="U24" s="5" t="e">
        <f>IF(diabetesoriginal[[#This Row],[Diabetes]]=$U$1,diabetesoriginal[[#This Row],[Insulin]],NA())</f>
        <v>#N/A</v>
      </c>
      <c r="V24" s="5">
        <f>IF(diabetesoriginal[[#This Row],[Diabetes]]=$S$1,diabetesoriginal[[#This Row],[Insulin]],NA())</f>
        <v>125</v>
      </c>
    </row>
    <row r="25" spans="1:22" x14ac:dyDescent="0.25">
      <c r="A25" s="5">
        <v>9</v>
      </c>
      <c r="B25" s="5">
        <v>119</v>
      </c>
      <c r="C25" s="5">
        <v>80</v>
      </c>
      <c r="D25" s="5" t="s">
        <v>25</v>
      </c>
      <c r="E25" s="5">
        <v>35</v>
      </c>
      <c r="F25" s="5">
        <v>125</v>
      </c>
      <c r="G25" s="5">
        <v>29</v>
      </c>
      <c r="H25" s="5" t="s">
        <v>30</v>
      </c>
      <c r="I25" s="5">
        <v>0.26300000000000001</v>
      </c>
      <c r="J25" s="5">
        <v>29</v>
      </c>
      <c r="K25" s="5" t="s">
        <v>35</v>
      </c>
      <c r="L25" s="15">
        <v>1</v>
      </c>
      <c r="M25" s="5" t="s">
        <v>57</v>
      </c>
      <c r="N25" s="5" t="s">
        <v>56</v>
      </c>
      <c r="O25" s="5" t="s">
        <v>31</v>
      </c>
      <c r="R25" s="5" t="e">
        <f>IF(diabetesoriginal[[#This Row],[Diabetes]]=$R$1,diabetesoriginal[[#This Row],[Skin Thickness]],NA())</f>
        <v>#N/A</v>
      </c>
      <c r="S25" s="5">
        <f>IF(diabetesoriginal[[#This Row],[Diabetes]]=$S$1,diabetesoriginal[[#This Row],[Skin Thickness]],NA())</f>
        <v>35</v>
      </c>
      <c r="U25" s="5" t="e">
        <f>IF(diabetesoriginal[[#This Row],[Diabetes]]=$U$1,diabetesoriginal[[#This Row],[Insulin]],NA())</f>
        <v>#N/A</v>
      </c>
      <c r="V25" s="5">
        <f>IF(diabetesoriginal[[#This Row],[Diabetes]]=$S$1,diabetesoriginal[[#This Row],[Insulin]],NA())</f>
        <v>125</v>
      </c>
    </row>
    <row r="26" spans="1:22" x14ac:dyDescent="0.25">
      <c r="A26" s="5">
        <v>11</v>
      </c>
      <c r="B26" s="5">
        <v>143</v>
      </c>
      <c r="C26" s="5">
        <v>94</v>
      </c>
      <c r="D26" s="5" t="s">
        <v>24</v>
      </c>
      <c r="E26" s="5">
        <v>33</v>
      </c>
      <c r="F26" s="5">
        <v>146</v>
      </c>
      <c r="G26" s="5">
        <v>36.6</v>
      </c>
      <c r="H26" s="5" t="s">
        <v>29</v>
      </c>
      <c r="I26" s="5">
        <v>0.254</v>
      </c>
      <c r="J26" s="5">
        <v>51</v>
      </c>
      <c r="K26" s="5" t="s">
        <v>38</v>
      </c>
      <c r="L26" s="15">
        <v>1</v>
      </c>
      <c r="M26" s="5" t="s">
        <v>22</v>
      </c>
      <c r="N26" s="5" t="s">
        <v>56</v>
      </c>
      <c r="O26" s="5" t="s">
        <v>31</v>
      </c>
      <c r="R26" s="5" t="e">
        <f>IF(diabetesoriginal[[#This Row],[Diabetes]]=$R$1,diabetesoriginal[[#This Row],[Skin Thickness]],NA())</f>
        <v>#N/A</v>
      </c>
      <c r="S26" s="5">
        <f>IF(diabetesoriginal[[#This Row],[Diabetes]]=$S$1,diabetesoriginal[[#This Row],[Skin Thickness]],NA())</f>
        <v>33</v>
      </c>
      <c r="U26" s="5" t="e">
        <f>IF(diabetesoriginal[[#This Row],[Diabetes]]=$U$1,diabetesoriginal[[#This Row],[Insulin]],NA())</f>
        <v>#N/A</v>
      </c>
      <c r="V26" s="5">
        <f>IF(diabetesoriginal[[#This Row],[Diabetes]]=$S$1,diabetesoriginal[[#This Row],[Insulin]],NA())</f>
        <v>146</v>
      </c>
    </row>
    <row r="27" spans="1:22" x14ac:dyDescent="0.25">
      <c r="A27" s="5">
        <v>10</v>
      </c>
      <c r="B27" s="5">
        <v>125</v>
      </c>
      <c r="C27" s="5">
        <v>70</v>
      </c>
      <c r="D27" s="5" t="s">
        <v>23</v>
      </c>
      <c r="E27" s="5">
        <v>26</v>
      </c>
      <c r="F27" s="5">
        <v>115</v>
      </c>
      <c r="G27" s="5">
        <v>31.1</v>
      </c>
      <c r="H27" s="5" t="s">
        <v>29</v>
      </c>
      <c r="I27" s="5">
        <v>0.20499999999999999</v>
      </c>
      <c r="J27" s="5">
        <v>41</v>
      </c>
      <c r="K27" s="5" t="s">
        <v>37</v>
      </c>
      <c r="L27" s="15">
        <v>1</v>
      </c>
      <c r="M27" s="5" t="s">
        <v>57</v>
      </c>
      <c r="N27" s="5" t="s">
        <v>56</v>
      </c>
      <c r="O27" s="5" t="s">
        <v>31</v>
      </c>
      <c r="R27" s="5" t="e">
        <f>IF(diabetesoriginal[[#This Row],[Diabetes]]=$R$1,diabetesoriginal[[#This Row],[Skin Thickness]],NA())</f>
        <v>#N/A</v>
      </c>
      <c r="S27" s="5">
        <f>IF(diabetesoriginal[[#This Row],[Diabetes]]=$S$1,diabetesoriginal[[#This Row],[Skin Thickness]],NA())</f>
        <v>26</v>
      </c>
      <c r="U27" s="5" t="e">
        <f>IF(diabetesoriginal[[#This Row],[Diabetes]]=$U$1,diabetesoriginal[[#This Row],[Insulin]],NA())</f>
        <v>#N/A</v>
      </c>
      <c r="V27" s="5">
        <f>IF(diabetesoriginal[[#This Row],[Diabetes]]=$S$1,diabetesoriginal[[#This Row],[Insulin]],NA())</f>
        <v>115</v>
      </c>
    </row>
    <row r="28" spans="1:22" x14ac:dyDescent="0.25">
      <c r="A28" s="5">
        <v>7</v>
      </c>
      <c r="B28" s="5">
        <v>147</v>
      </c>
      <c r="C28" s="5">
        <v>76</v>
      </c>
      <c r="D28" s="5" t="s">
        <v>23</v>
      </c>
      <c r="E28" s="5">
        <v>29</v>
      </c>
      <c r="F28" s="5">
        <v>125</v>
      </c>
      <c r="G28" s="5">
        <v>39.4</v>
      </c>
      <c r="H28" s="5" t="s">
        <v>29</v>
      </c>
      <c r="I28" s="5">
        <v>0.25700000000000001</v>
      </c>
      <c r="J28" s="5">
        <v>43</v>
      </c>
      <c r="K28" s="5" t="s">
        <v>37</v>
      </c>
      <c r="L28" s="15">
        <v>1</v>
      </c>
      <c r="M28" s="5" t="s">
        <v>22</v>
      </c>
      <c r="N28" s="5" t="s">
        <v>56</v>
      </c>
      <c r="O28" s="5" t="s">
        <v>31</v>
      </c>
      <c r="R28" s="5" t="e">
        <f>IF(diabetesoriginal[[#This Row],[Diabetes]]=$R$1,diabetesoriginal[[#This Row],[Skin Thickness]],NA())</f>
        <v>#N/A</v>
      </c>
      <c r="S28" s="5">
        <f>IF(diabetesoriginal[[#This Row],[Diabetes]]=$S$1,diabetesoriginal[[#This Row],[Skin Thickness]],NA())</f>
        <v>29</v>
      </c>
      <c r="U28" s="5" t="e">
        <f>IF(diabetesoriginal[[#This Row],[Diabetes]]=$U$1,diabetesoriginal[[#This Row],[Insulin]],NA())</f>
        <v>#N/A</v>
      </c>
      <c r="V28" s="5">
        <f>IF(diabetesoriginal[[#This Row],[Diabetes]]=$S$1,diabetesoriginal[[#This Row],[Insulin]],NA())</f>
        <v>125</v>
      </c>
    </row>
    <row r="29" spans="1:22" x14ac:dyDescent="0.25">
      <c r="A29" s="5">
        <v>1</v>
      </c>
      <c r="B29" s="5">
        <v>97</v>
      </c>
      <c r="C29" s="5">
        <v>66</v>
      </c>
      <c r="D29" s="5" t="s">
        <v>23</v>
      </c>
      <c r="E29" s="5">
        <v>15</v>
      </c>
      <c r="F29" s="5">
        <v>140</v>
      </c>
      <c r="G29" s="5">
        <v>23.2</v>
      </c>
      <c r="H29" s="5" t="s">
        <v>31</v>
      </c>
      <c r="I29" s="5">
        <v>0.48699999999999999</v>
      </c>
      <c r="J29" s="5">
        <v>22</v>
      </c>
      <c r="K29" s="5" t="s">
        <v>35</v>
      </c>
      <c r="L29" s="15">
        <v>0</v>
      </c>
      <c r="M29" s="5" t="s">
        <v>57</v>
      </c>
      <c r="N29" s="5" t="s">
        <v>58</v>
      </c>
      <c r="O29" s="5" t="s">
        <v>31</v>
      </c>
      <c r="R29" s="5">
        <f>IF(diabetesoriginal[[#This Row],[Diabetes]]=$R$1,diabetesoriginal[[#This Row],[Skin Thickness]],NA())</f>
        <v>15</v>
      </c>
      <c r="S29" s="5" t="e">
        <f>IF(diabetesoriginal[[#This Row],[Diabetes]]=$S$1,diabetesoriginal[[#This Row],[Skin Thickness]],NA())</f>
        <v>#N/A</v>
      </c>
      <c r="U29" s="5">
        <f>IF(diabetesoriginal[[#This Row],[Diabetes]]=$U$1,diabetesoriginal[[#This Row],[Insulin]],NA())</f>
        <v>140</v>
      </c>
      <c r="V29" s="5" t="e">
        <f>IF(diabetesoriginal[[#This Row],[Diabetes]]=$S$1,diabetesoriginal[[#This Row],[Insulin]],NA())</f>
        <v>#N/A</v>
      </c>
    </row>
    <row r="30" spans="1:22" x14ac:dyDescent="0.25">
      <c r="A30" s="5">
        <v>13</v>
      </c>
      <c r="B30" s="5">
        <v>145</v>
      </c>
      <c r="C30" s="5">
        <v>82</v>
      </c>
      <c r="D30" s="5" t="s">
        <v>25</v>
      </c>
      <c r="E30" s="5">
        <v>19</v>
      </c>
      <c r="F30" s="5">
        <v>110</v>
      </c>
      <c r="G30" s="5">
        <v>22.2</v>
      </c>
      <c r="H30" s="5" t="s">
        <v>31</v>
      </c>
      <c r="I30" s="5">
        <v>0.245</v>
      </c>
      <c r="J30" s="5">
        <v>57</v>
      </c>
      <c r="K30" s="5" t="s">
        <v>38</v>
      </c>
      <c r="L30" s="15">
        <v>0</v>
      </c>
      <c r="M30" s="5" t="s">
        <v>22</v>
      </c>
      <c r="N30" s="5" t="s">
        <v>58</v>
      </c>
      <c r="O30" s="5" t="s">
        <v>31</v>
      </c>
      <c r="R30" s="5">
        <f>IF(diabetesoriginal[[#This Row],[Diabetes]]=$R$1,diabetesoriginal[[#This Row],[Skin Thickness]],NA())</f>
        <v>19</v>
      </c>
      <c r="S30" s="5" t="e">
        <f>IF(diabetesoriginal[[#This Row],[Diabetes]]=$S$1,diabetesoriginal[[#This Row],[Skin Thickness]],NA())</f>
        <v>#N/A</v>
      </c>
      <c r="U30" s="5">
        <f>IF(diabetesoriginal[[#This Row],[Diabetes]]=$U$1,diabetesoriginal[[#This Row],[Insulin]],NA())</f>
        <v>110</v>
      </c>
      <c r="V30" s="5" t="e">
        <f>IF(diabetesoriginal[[#This Row],[Diabetes]]=$S$1,diabetesoriginal[[#This Row],[Insulin]],NA())</f>
        <v>#N/A</v>
      </c>
    </row>
    <row r="31" spans="1:22" x14ac:dyDescent="0.25">
      <c r="A31" s="5">
        <v>5</v>
      </c>
      <c r="B31" s="5">
        <v>117</v>
      </c>
      <c r="C31" s="5">
        <v>92</v>
      </c>
      <c r="D31" s="5" t="s">
        <v>24</v>
      </c>
      <c r="E31" s="5">
        <v>29</v>
      </c>
      <c r="F31" s="5">
        <v>125</v>
      </c>
      <c r="G31" s="5">
        <v>34.1</v>
      </c>
      <c r="H31" s="5" t="s">
        <v>29</v>
      </c>
      <c r="I31" s="5">
        <v>0.33700000000000002</v>
      </c>
      <c r="J31" s="5">
        <v>38</v>
      </c>
      <c r="K31" s="5" t="s">
        <v>36</v>
      </c>
      <c r="L31" s="15">
        <v>0</v>
      </c>
      <c r="M31" s="5" t="s">
        <v>57</v>
      </c>
      <c r="N31" s="5" t="s">
        <v>56</v>
      </c>
      <c r="O31" s="5" t="s">
        <v>31</v>
      </c>
      <c r="R31" s="5">
        <f>IF(diabetesoriginal[[#This Row],[Diabetes]]=$R$1,diabetesoriginal[[#This Row],[Skin Thickness]],NA())</f>
        <v>29</v>
      </c>
      <c r="S31" s="5" t="e">
        <f>IF(diabetesoriginal[[#This Row],[Diabetes]]=$S$1,diabetesoriginal[[#This Row],[Skin Thickness]],NA())</f>
        <v>#N/A</v>
      </c>
      <c r="U31" s="5">
        <f>IF(diabetesoriginal[[#This Row],[Diabetes]]=$U$1,diabetesoriginal[[#This Row],[Insulin]],NA())</f>
        <v>125</v>
      </c>
      <c r="V31" s="5" t="e">
        <f>IF(diabetesoriginal[[#This Row],[Diabetes]]=$S$1,diabetesoriginal[[#This Row],[Insulin]],NA())</f>
        <v>#N/A</v>
      </c>
    </row>
    <row r="32" spans="1:22" x14ac:dyDescent="0.25">
      <c r="A32" s="5">
        <v>5</v>
      </c>
      <c r="B32" s="5">
        <v>109</v>
      </c>
      <c r="C32" s="5">
        <v>75</v>
      </c>
      <c r="D32" s="5" t="s">
        <v>23</v>
      </c>
      <c r="E32" s="5">
        <v>26</v>
      </c>
      <c r="F32" s="5">
        <v>125</v>
      </c>
      <c r="G32" s="5">
        <v>36</v>
      </c>
      <c r="H32" s="5" t="s">
        <v>29</v>
      </c>
      <c r="I32" s="5">
        <v>0.54600000000000004</v>
      </c>
      <c r="J32" s="5">
        <v>60</v>
      </c>
      <c r="K32" s="5" t="s">
        <v>39</v>
      </c>
      <c r="L32" s="15">
        <v>0</v>
      </c>
      <c r="M32" s="5" t="s">
        <v>57</v>
      </c>
      <c r="N32" s="5" t="s">
        <v>56</v>
      </c>
      <c r="O32" s="5" t="s">
        <v>31</v>
      </c>
      <c r="R32" s="5">
        <f>IF(diabetesoriginal[[#This Row],[Diabetes]]=$R$1,diabetesoriginal[[#This Row],[Skin Thickness]],NA())</f>
        <v>26</v>
      </c>
      <c r="S32" s="5" t="e">
        <f>IF(diabetesoriginal[[#This Row],[Diabetes]]=$S$1,diabetesoriginal[[#This Row],[Skin Thickness]],NA())</f>
        <v>#N/A</v>
      </c>
      <c r="U32" s="5">
        <f>IF(diabetesoriginal[[#This Row],[Diabetes]]=$U$1,diabetesoriginal[[#This Row],[Insulin]],NA())</f>
        <v>125</v>
      </c>
      <c r="V32" s="5" t="e">
        <f>IF(diabetesoriginal[[#This Row],[Diabetes]]=$S$1,diabetesoriginal[[#This Row],[Insulin]],NA())</f>
        <v>#N/A</v>
      </c>
    </row>
    <row r="33" spans="1:22" x14ac:dyDescent="0.25">
      <c r="A33" s="5">
        <v>3</v>
      </c>
      <c r="B33" s="5">
        <v>158</v>
      </c>
      <c r="C33" s="5">
        <v>76</v>
      </c>
      <c r="D33" s="5" t="s">
        <v>23</v>
      </c>
      <c r="E33" s="5">
        <v>36</v>
      </c>
      <c r="F33" s="5">
        <v>245</v>
      </c>
      <c r="G33" s="5">
        <v>31.6</v>
      </c>
      <c r="H33" s="5" t="s">
        <v>29</v>
      </c>
      <c r="I33" s="5">
        <v>0.85099999999999998</v>
      </c>
      <c r="J33" s="5">
        <v>28</v>
      </c>
      <c r="K33" s="5" t="s">
        <v>35</v>
      </c>
      <c r="L33" s="15">
        <v>1</v>
      </c>
      <c r="M33" s="5" t="s">
        <v>22</v>
      </c>
      <c r="N33" s="5" t="s">
        <v>56</v>
      </c>
      <c r="O33" s="5" t="s">
        <v>59</v>
      </c>
      <c r="R33" s="5" t="e">
        <f>IF(diabetesoriginal[[#This Row],[Diabetes]]=$R$1,diabetesoriginal[[#This Row],[Skin Thickness]],NA())</f>
        <v>#N/A</v>
      </c>
      <c r="S33" s="5">
        <f>IF(diabetesoriginal[[#This Row],[Diabetes]]=$S$1,diabetesoriginal[[#This Row],[Skin Thickness]],NA())</f>
        <v>36</v>
      </c>
      <c r="U33" s="5" t="e">
        <f>IF(diabetesoriginal[[#This Row],[Diabetes]]=$U$1,diabetesoriginal[[#This Row],[Insulin]],NA())</f>
        <v>#N/A</v>
      </c>
      <c r="V33" s="5">
        <f>IF(diabetesoriginal[[#This Row],[Diabetes]]=$S$1,diabetesoriginal[[#This Row],[Insulin]],NA())</f>
        <v>245</v>
      </c>
    </row>
    <row r="34" spans="1:22" x14ac:dyDescent="0.25">
      <c r="A34" s="5">
        <v>3</v>
      </c>
      <c r="B34" s="5">
        <v>88</v>
      </c>
      <c r="C34" s="5">
        <v>58</v>
      </c>
      <c r="D34" s="5" t="s">
        <v>23</v>
      </c>
      <c r="E34" s="5">
        <v>11</v>
      </c>
      <c r="F34" s="5">
        <v>54</v>
      </c>
      <c r="G34" s="5">
        <v>24.8</v>
      </c>
      <c r="H34" s="5" t="s">
        <v>31</v>
      </c>
      <c r="I34" s="5">
        <v>0.26700000000000002</v>
      </c>
      <c r="J34" s="5">
        <v>22</v>
      </c>
      <c r="K34" s="5" t="s">
        <v>35</v>
      </c>
      <c r="L34" s="15">
        <v>0</v>
      </c>
      <c r="M34" s="5" t="s">
        <v>57</v>
      </c>
      <c r="N34" s="5" t="s">
        <v>58</v>
      </c>
      <c r="O34" s="5" t="s">
        <v>31</v>
      </c>
      <c r="R34" s="5">
        <f>IF(diabetesoriginal[[#This Row],[Diabetes]]=$R$1,diabetesoriginal[[#This Row],[Skin Thickness]],NA())</f>
        <v>11</v>
      </c>
      <c r="S34" s="5" t="e">
        <f>IF(diabetesoriginal[[#This Row],[Diabetes]]=$S$1,diabetesoriginal[[#This Row],[Skin Thickness]],NA())</f>
        <v>#N/A</v>
      </c>
      <c r="U34" s="5">
        <f>IF(diabetesoriginal[[#This Row],[Diabetes]]=$U$1,diabetesoriginal[[#This Row],[Insulin]],NA())</f>
        <v>54</v>
      </c>
      <c r="V34" s="5" t="e">
        <f>IF(diabetesoriginal[[#This Row],[Diabetes]]=$S$1,diabetesoriginal[[#This Row],[Insulin]],NA())</f>
        <v>#N/A</v>
      </c>
    </row>
    <row r="35" spans="1:22" x14ac:dyDescent="0.25">
      <c r="A35" s="5">
        <v>6</v>
      </c>
      <c r="B35" s="5">
        <v>92</v>
      </c>
      <c r="C35" s="5">
        <v>92</v>
      </c>
      <c r="D35" s="5" t="s">
        <v>24</v>
      </c>
      <c r="E35" s="5">
        <v>29</v>
      </c>
      <c r="F35" s="5">
        <v>125</v>
      </c>
      <c r="G35" s="5">
        <v>19.899999999999999</v>
      </c>
      <c r="H35" s="5" t="s">
        <v>31</v>
      </c>
      <c r="I35" s="5">
        <v>0.188</v>
      </c>
      <c r="J35" s="5">
        <v>28</v>
      </c>
      <c r="K35" s="5" t="s">
        <v>35</v>
      </c>
      <c r="L35" s="15">
        <v>0</v>
      </c>
      <c r="M35" s="5" t="s">
        <v>57</v>
      </c>
      <c r="N35" s="5" t="s">
        <v>56</v>
      </c>
      <c r="O35" s="5" t="s">
        <v>31</v>
      </c>
      <c r="R35" s="5">
        <f>IF(diabetesoriginal[[#This Row],[Diabetes]]=$R$1,diabetesoriginal[[#This Row],[Skin Thickness]],NA())</f>
        <v>29</v>
      </c>
      <c r="S35" s="5" t="e">
        <f>IF(diabetesoriginal[[#This Row],[Diabetes]]=$S$1,diabetesoriginal[[#This Row],[Skin Thickness]],NA())</f>
        <v>#N/A</v>
      </c>
      <c r="U35" s="5">
        <f>IF(diabetesoriginal[[#This Row],[Diabetes]]=$U$1,diabetesoriginal[[#This Row],[Insulin]],NA())</f>
        <v>125</v>
      </c>
      <c r="V35" s="5" t="e">
        <f>IF(diabetesoriginal[[#This Row],[Diabetes]]=$S$1,diabetesoriginal[[#This Row],[Insulin]],NA())</f>
        <v>#N/A</v>
      </c>
    </row>
    <row r="36" spans="1:22" x14ac:dyDescent="0.25">
      <c r="A36" s="5">
        <v>10</v>
      </c>
      <c r="B36" s="5">
        <v>122</v>
      </c>
      <c r="C36" s="5">
        <v>78</v>
      </c>
      <c r="D36" s="5" t="s">
        <v>23</v>
      </c>
      <c r="E36" s="5">
        <v>31</v>
      </c>
      <c r="F36" s="5">
        <v>125</v>
      </c>
      <c r="G36" s="5">
        <v>27.6</v>
      </c>
      <c r="H36" s="5" t="s">
        <v>30</v>
      </c>
      <c r="I36" s="5">
        <v>0.51200000000000001</v>
      </c>
      <c r="J36" s="5">
        <v>45</v>
      </c>
      <c r="K36" s="5" t="s">
        <v>37</v>
      </c>
      <c r="L36" s="15">
        <v>0</v>
      </c>
      <c r="M36" s="5" t="s">
        <v>57</v>
      </c>
      <c r="N36" s="5" t="s">
        <v>56</v>
      </c>
      <c r="O36" s="5" t="s">
        <v>31</v>
      </c>
      <c r="R36" s="5">
        <f>IF(diabetesoriginal[[#This Row],[Diabetes]]=$R$1,diabetesoriginal[[#This Row],[Skin Thickness]],NA())</f>
        <v>31</v>
      </c>
      <c r="S36" s="5" t="e">
        <f>IF(diabetesoriginal[[#This Row],[Diabetes]]=$S$1,diabetesoriginal[[#This Row],[Skin Thickness]],NA())</f>
        <v>#N/A</v>
      </c>
      <c r="U36" s="5">
        <f>IF(diabetesoriginal[[#This Row],[Diabetes]]=$U$1,diabetesoriginal[[#This Row],[Insulin]],NA())</f>
        <v>125</v>
      </c>
      <c r="V36" s="5" t="e">
        <f>IF(diabetesoriginal[[#This Row],[Diabetes]]=$S$1,diabetesoriginal[[#This Row],[Insulin]],NA())</f>
        <v>#N/A</v>
      </c>
    </row>
    <row r="37" spans="1:22" x14ac:dyDescent="0.25">
      <c r="A37" s="5">
        <v>4</v>
      </c>
      <c r="B37" s="5">
        <v>103</v>
      </c>
      <c r="C37" s="5">
        <v>60</v>
      </c>
      <c r="D37" s="5" t="s">
        <v>23</v>
      </c>
      <c r="E37" s="5">
        <v>33</v>
      </c>
      <c r="F37" s="5">
        <v>192</v>
      </c>
      <c r="G37" s="5">
        <v>24</v>
      </c>
      <c r="H37" s="5" t="s">
        <v>31</v>
      </c>
      <c r="I37" s="5">
        <v>0.96599999999999997</v>
      </c>
      <c r="J37" s="5">
        <v>33</v>
      </c>
      <c r="K37" s="5" t="s">
        <v>36</v>
      </c>
      <c r="L37" s="15">
        <v>0</v>
      </c>
      <c r="M37" s="5" t="s">
        <v>57</v>
      </c>
      <c r="N37" s="5" t="s">
        <v>56</v>
      </c>
      <c r="O37" s="5" t="s">
        <v>59</v>
      </c>
      <c r="R37" s="5">
        <f>IF(diabetesoriginal[[#This Row],[Diabetes]]=$R$1,diabetesoriginal[[#This Row],[Skin Thickness]],NA())</f>
        <v>33</v>
      </c>
      <c r="S37" s="5" t="e">
        <f>IF(diabetesoriginal[[#This Row],[Diabetes]]=$S$1,diabetesoriginal[[#This Row],[Skin Thickness]],NA())</f>
        <v>#N/A</v>
      </c>
      <c r="U37" s="5">
        <f>IF(diabetesoriginal[[#This Row],[Diabetes]]=$U$1,diabetesoriginal[[#This Row],[Insulin]],NA())</f>
        <v>192</v>
      </c>
      <c r="V37" s="5" t="e">
        <f>IF(diabetesoriginal[[#This Row],[Diabetes]]=$S$1,diabetesoriginal[[#This Row],[Insulin]],NA())</f>
        <v>#N/A</v>
      </c>
    </row>
    <row r="38" spans="1:22" x14ac:dyDescent="0.25">
      <c r="A38" s="5">
        <v>11</v>
      </c>
      <c r="B38" s="5">
        <v>138</v>
      </c>
      <c r="C38" s="5">
        <v>76</v>
      </c>
      <c r="D38" s="5" t="s">
        <v>23</v>
      </c>
      <c r="E38" s="5">
        <v>29</v>
      </c>
      <c r="F38" s="5">
        <v>125</v>
      </c>
      <c r="G38" s="5">
        <v>33.200000000000003</v>
      </c>
      <c r="H38" s="5" t="s">
        <v>29</v>
      </c>
      <c r="I38" s="5">
        <v>0.42</v>
      </c>
      <c r="J38" s="5">
        <v>35</v>
      </c>
      <c r="K38" s="5" t="s">
        <v>36</v>
      </c>
      <c r="L38" s="15">
        <v>0</v>
      </c>
      <c r="M38" s="5" t="s">
        <v>57</v>
      </c>
      <c r="N38" s="5" t="s">
        <v>56</v>
      </c>
      <c r="O38" s="5" t="s">
        <v>31</v>
      </c>
      <c r="R38" s="5">
        <f>IF(diabetesoriginal[[#This Row],[Diabetes]]=$R$1,diabetesoriginal[[#This Row],[Skin Thickness]],NA())</f>
        <v>29</v>
      </c>
      <c r="S38" s="5" t="e">
        <f>IF(diabetesoriginal[[#This Row],[Diabetes]]=$S$1,diabetesoriginal[[#This Row],[Skin Thickness]],NA())</f>
        <v>#N/A</v>
      </c>
      <c r="U38" s="5">
        <f>IF(diabetesoriginal[[#This Row],[Diabetes]]=$U$1,diabetesoriginal[[#This Row],[Insulin]],NA())</f>
        <v>125</v>
      </c>
      <c r="V38" s="5" t="e">
        <f>IF(diabetesoriginal[[#This Row],[Diabetes]]=$S$1,diabetesoriginal[[#This Row],[Insulin]],NA())</f>
        <v>#N/A</v>
      </c>
    </row>
    <row r="39" spans="1:22" x14ac:dyDescent="0.25">
      <c r="A39" s="5">
        <v>9</v>
      </c>
      <c r="B39" s="5">
        <v>102</v>
      </c>
      <c r="C39" s="5">
        <v>76</v>
      </c>
      <c r="D39" s="5" t="s">
        <v>23</v>
      </c>
      <c r="E39" s="5">
        <v>37</v>
      </c>
      <c r="F39" s="5">
        <v>125</v>
      </c>
      <c r="G39" s="5">
        <v>32.9</v>
      </c>
      <c r="H39" s="5" t="s">
        <v>29</v>
      </c>
      <c r="I39" s="5">
        <v>0.66500000000000004</v>
      </c>
      <c r="J39" s="5">
        <v>46</v>
      </c>
      <c r="K39" s="5" t="s">
        <v>37</v>
      </c>
      <c r="L39" s="15">
        <v>1</v>
      </c>
      <c r="M39" s="5" t="s">
        <v>57</v>
      </c>
      <c r="N39" s="5" t="s">
        <v>56</v>
      </c>
      <c r="O39" s="5" t="s">
        <v>31</v>
      </c>
      <c r="R39" s="5" t="e">
        <f>IF(diabetesoriginal[[#This Row],[Diabetes]]=$R$1,diabetesoriginal[[#This Row],[Skin Thickness]],NA())</f>
        <v>#N/A</v>
      </c>
      <c r="S39" s="5">
        <f>IF(diabetesoriginal[[#This Row],[Diabetes]]=$S$1,diabetesoriginal[[#This Row],[Skin Thickness]],NA())</f>
        <v>37</v>
      </c>
      <c r="U39" s="5" t="e">
        <f>IF(diabetesoriginal[[#This Row],[Diabetes]]=$U$1,diabetesoriginal[[#This Row],[Insulin]],NA())</f>
        <v>#N/A</v>
      </c>
      <c r="V39" s="5">
        <f>IF(diabetesoriginal[[#This Row],[Diabetes]]=$S$1,diabetesoriginal[[#This Row],[Insulin]],NA())</f>
        <v>125</v>
      </c>
    </row>
    <row r="40" spans="1:22" x14ac:dyDescent="0.25">
      <c r="A40" s="5">
        <v>2</v>
      </c>
      <c r="B40" s="5">
        <v>90</v>
      </c>
      <c r="C40" s="5">
        <v>68</v>
      </c>
      <c r="D40" s="5" t="s">
        <v>23</v>
      </c>
      <c r="E40" s="5">
        <v>42</v>
      </c>
      <c r="F40" s="5">
        <v>125</v>
      </c>
      <c r="G40" s="5">
        <v>38.200000000000003</v>
      </c>
      <c r="H40" s="5" t="s">
        <v>29</v>
      </c>
      <c r="I40" s="5">
        <v>0.503</v>
      </c>
      <c r="J40" s="5">
        <v>27</v>
      </c>
      <c r="K40" s="5" t="s">
        <v>35</v>
      </c>
      <c r="L40" s="15">
        <v>1</v>
      </c>
      <c r="M40" s="5" t="s">
        <v>57</v>
      </c>
      <c r="N40" s="5" t="s">
        <v>56</v>
      </c>
      <c r="O40" s="5" t="s">
        <v>31</v>
      </c>
      <c r="R40" s="5" t="e">
        <f>IF(diabetesoriginal[[#This Row],[Diabetes]]=$R$1,diabetesoriginal[[#This Row],[Skin Thickness]],NA())</f>
        <v>#N/A</v>
      </c>
      <c r="S40" s="5">
        <f>IF(diabetesoriginal[[#This Row],[Diabetes]]=$S$1,diabetesoriginal[[#This Row],[Skin Thickness]],NA())</f>
        <v>42</v>
      </c>
      <c r="U40" s="5" t="e">
        <f>IF(diabetesoriginal[[#This Row],[Diabetes]]=$U$1,diabetesoriginal[[#This Row],[Insulin]],NA())</f>
        <v>#N/A</v>
      </c>
      <c r="V40" s="5">
        <f>IF(diabetesoriginal[[#This Row],[Diabetes]]=$S$1,diabetesoriginal[[#This Row],[Insulin]],NA())</f>
        <v>125</v>
      </c>
    </row>
    <row r="41" spans="1:22" x14ac:dyDescent="0.25">
      <c r="A41" s="5">
        <v>4</v>
      </c>
      <c r="B41" s="5">
        <v>111</v>
      </c>
      <c r="C41" s="5">
        <v>72</v>
      </c>
      <c r="D41" s="5" t="s">
        <v>23</v>
      </c>
      <c r="E41" s="5">
        <v>47</v>
      </c>
      <c r="F41" s="5">
        <v>207</v>
      </c>
      <c r="G41" s="5">
        <v>37.1</v>
      </c>
      <c r="H41" s="5" t="s">
        <v>29</v>
      </c>
      <c r="I41" s="5">
        <v>1.39</v>
      </c>
      <c r="J41" s="5">
        <v>56</v>
      </c>
      <c r="K41" s="5" t="s">
        <v>38</v>
      </c>
      <c r="L41" s="15">
        <v>1</v>
      </c>
      <c r="M41" s="5" t="s">
        <v>57</v>
      </c>
      <c r="N41" s="5" t="s">
        <v>56</v>
      </c>
      <c r="O41" s="5" t="s">
        <v>59</v>
      </c>
      <c r="R41" s="5" t="e">
        <f>IF(diabetesoriginal[[#This Row],[Diabetes]]=$R$1,diabetesoriginal[[#This Row],[Skin Thickness]],NA())</f>
        <v>#N/A</v>
      </c>
      <c r="S41" s="5">
        <f>IF(diabetesoriginal[[#This Row],[Diabetes]]=$S$1,diabetesoriginal[[#This Row],[Skin Thickness]],NA())</f>
        <v>47</v>
      </c>
      <c r="U41" s="5" t="e">
        <f>IF(diabetesoriginal[[#This Row],[Diabetes]]=$U$1,diabetesoriginal[[#This Row],[Insulin]],NA())</f>
        <v>#N/A</v>
      </c>
      <c r="V41" s="5">
        <f>IF(diabetesoriginal[[#This Row],[Diabetes]]=$S$1,diabetesoriginal[[#This Row],[Insulin]],NA())</f>
        <v>207</v>
      </c>
    </row>
    <row r="42" spans="1:22" x14ac:dyDescent="0.25">
      <c r="A42" s="5">
        <v>3</v>
      </c>
      <c r="B42" s="5">
        <v>180</v>
      </c>
      <c r="C42" s="5">
        <v>64</v>
      </c>
      <c r="D42" s="5" t="s">
        <v>23</v>
      </c>
      <c r="E42" s="5">
        <v>25</v>
      </c>
      <c r="F42" s="5">
        <v>70</v>
      </c>
      <c r="G42" s="5">
        <v>34</v>
      </c>
      <c r="H42" s="5" t="s">
        <v>29</v>
      </c>
      <c r="I42" s="5">
        <v>0.27100000000000002</v>
      </c>
      <c r="J42" s="5">
        <v>26</v>
      </c>
      <c r="K42" s="5" t="s">
        <v>35</v>
      </c>
      <c r="L42" s="15">
        <v>0</v>
      </c>
      <c r="M42" s="5" t="s">
        <v>22</v>
      </c>
      <c r="N42" s="5" t="s">
        <v>56</v>
      </c>
      <c r="O42" s="5" t="s">
        <v>31</v>
      </c>
      <c r="R42" s="5">
        <f>IF(diabetesoriginal[[#This Row],[Diabetes]]=$R$1,diabetesoriginal[[#This Row],[Skin Thickness]],NA())</f>
        <v>25</v>
      </c>
      <c r="S42" s="5" t="e">
        <f>IF(diabetesoriginal[[#This Row],[Diabetes]]=$S$1,diabetesoriginal[[#This Row],[Skin Thickness]],NA())</f>
        <v>#N/A</v>
      </c>
      <c r="U42" s="5">
        <f>IF(diabetesoriginal[[#This Row],[Diabetes]]=$U$1,diabetesoriginal[[#This Row],[Insulin]],NA())</f>
        <v>70</v>
      </c>
      <c r="V42" s="5" t="e">
        <f>IF(diabetesoriginal[[#This Row],[Diabetes]]=$S$1,diabetesoriginal[[#This Row],[Insulin]],NA())</f>
        <v>#N/A</v>
      </c>
    </row>
    <row r="43" spans="1:22" x14ac:dyDescent="0.25">
      <c r="A43" s="5">
        <v>7</v>
      </c>
      <c r="B43" s="5">
        <v>133</v>
      </c>
      <c r="C43" s="5">
        <v>84</v>
      </c>
      <c r="D43" s="5" t="s">
        <v>25</v>
      </c>
      <c r="E43" s="5">
        <v>29</v>
      </c>
      <c r="F43" s="5">
        <v>125</v>
      </c>
      <c r="G43" s="5">
        <v>40.200000000000003</v>
      </c>
      <c r="H43" s="5" t="s">
        <v>32</v>
      </c>
      <c r="I43" s="5">
        <v>0.69599999999999995</v>
      </c>
      <c r="J43" s="5">
        <v>37</v>
      </c>
      <c r="K43" s="5" t="s">
        <v>36</v>
      </c>
      <c r="L43" s="15">
        <v>0</v>
      </c>
      <c r="M43" s="5" t="s">
        <v>57</v>
      </c>
      <c r="N43" s="5" t="s">
        <v>56</v>
      </c>
      <c r="O43" s="5" t="s">
        <v>31</v>
      </c>
      <c r="R43" s="5">
        <f>IF(diabetesoriginal[[#This Row],[Diabetes]]=$R$1,diabetesoriginal[[#This Row],[Skin Thickness]],NA())</f>
        <v>29</v>
      </c>
      <c r="S43" s="5" t="e">
        <f>IF(diabetesoriginal[[#This Row],[Diabetes]]=$S$1,diabetesoriginal[[#This Row],[Skin Thickness]],NA())</f>
        <v>#N/A</v>
      </c>
      <c r="U43" s="5">
        <f>IF(diabetesoriginal[[#This Row],[Diabetes]]=$U$1,diabetesoriginal[[#This Row],[Insulin]],NA())</f>
        <v>125</v>
      </c>
      <c r="V43" s="5" t="e">
        <f>IF(diabetesoriginal[[#This Row],[Diabetes]]=$S$1,diabetesoriginal[[#This Row],[Insulin]],NA())</f>
        <v>#N/A</v>
      </c>
    </row>
    <row r="44" spans="1:22" x14ac:dyDescent="0.25">
      <c r="A44" s="5">
        <v>7</v>
      </c>
      <c r="B44" s="5">
        <v>106</v>
      </c>
      <c r="C44" s="5">
        <v>92</v>
      </c>
      <c r="D44" s="5" t="s">
        <v>24</v>
      </c>
      <c r="E44" s="5">
        <v>18</v>
      </c>
      <c r="F44" s="5">
        <v>125</v>
      </c>
      <c r="G44" s="5">
        <v>22.7</v>
      </c>
      <c r="H44" s="5" t="s">
        <v>31</v>
      </c>
      <c r="I44" s="5">
        <v>0.23499999999999999</v>
      </c>
      <c r="J44" s="5">
        <v>48</v>
      </c>
      <c r="K44" s="5" t="s">
        <v>37</v>
      </c>
      <c r="L44" s="15">
        <v>0</v>
      </c>
      <c r="M44" s="5" t="s">
        <v>57</v>
      </c>
      <c r="N44" s="5" t="s">
        <v>58</v>
      </c>
      <c r="O44" s="5" t="s">
        <v>31</v>
      </c>
      <c r="R44" s="5">
        <f>IF(diabetesoriginal[[#This Row],[Diabetes]]=$R$1,diabetesoriginal[[#This Row],[Skin Thickness]],NA())</f>
        <v>18</v>
      </c>
      <c r="S44" s="5" t="e">
        <f>IF(diabetesoriginal[[#This Row],[Diabetes]]=$S$1,diabetesoriginal[[#This Row],[Skin Thickness]],NA())</f>
        <v>#N/A</v>
      </c>
      <c r="U44" s="5">
        <f>IF(diabetesoriginal[[#This Row],[Diabetes]]=$U$1,diabetesoriginal[[#This Row],[Insulin]],NA())</f>
        <v>125</v>
      </c>
      <c r="V44" s="5" t="e">
        <f>IF(diabetesoriginal[[#This Row],[Diabetes]]=$S$1,diabetesoriginal[[#This Row],[Insulin]],NA())</f>
        <v>#N/A</v>
      </c>
    </row>
    <row r="45" spans="1:22" x14ac:dyDescent="0.25">
      <c r="A45" s="5">
        <v>9</v>
      </c>
      <c r="B45" s="5">
        <v>171</v>
      </c>
      <c r="C45" s="5">
        <v>110</v>
      </c>
      <c r="D45" s="5" t="s">
        <v>26</v>
      </c>
      <c r="E45" s="5">
        <v>24</v>
      </c>
      <c r="F45" s="5">
        <v>240</v>
      </c>
      <c r="G45" s="5">
        <v>45.4</v>
      </c>
      <c r="H45" s="5" t="s">
        <v>32</v>
      </c>
      <c r="I45" s="5">
        <v>0.72099999999999997</v>
      </c>
      <c r="J45" s="5">
        <v>54</v>
      </c>
      <c r="K45" s="5" t="s">
        <v>38</v>
      </c>
      <c r="L45" s="15">
        <v>1</v>
      </c>
      <c r="M45" s="5" t="s">
        <v>22</v>
      </c>
      <c r="N45" s="5" t="s">
        <v>56</v>
      </c>
      <c r="O45" s="5" t="s">
        <v>59</v>
      </c>
      <c r="R45" s="5" t="e">
        <f>IF(diabetesoriginal[[#This Row],[Diabetes]]=$R$1,diabetesoriginal[[#This Row],[Skin Thickness]],NA())</f>
        <v>#N/A</v>
      </c>
      <c r="S45" s="5">
        <f>IF(diabetesoriginal[[#This Row],[Diabetes]]=$S$1,diabetesoriginal[[#This Row],[Skin Thickness]],NA())</f>
        <v>24</v>
      </c>
      <c r="U45" s="5" t="e">
        <f>IF(diabetesoriginal[[#This Row],[Diabetes]]=$U$1,diabetesoriginal[[#This Row],[Insulin]],NA())</f>
        <v>#N/A</v>
      </c>
      <c r="V45" s="5">
        <f>IF(diabetesoriginal[[#This Row],[Diabetes]]=$S$1,diabetesoriginal[[#This Row],[Insulin]],NA())</f>
        <v>240</v>
      </c>
    </row>
    <row r="46" spans="1:22" x14ac:dyDescent="0.25">
      <c r="A46" s="5">
        <v>7</v>
      </c>
      <c r="B46" s="5">
        <v>159</v>
      </c>
      <c r="C46" s="5">
        <v>64</v>
      </c>
      <c r="D46" s="5" t="s">
        <v>23</v>
      </c>
      <c r="E46" s="5">
        <v>29</v>
      </c>
      <c r="F46" s="5">
        <v>125</v>
      </c>
      <c r="G46" s="5">
        <v>27.4</v>
      </c>
      <c r="H46" s="5" t="s">
        <v>30</v>
      </c>
      <c r="I46" s="5">
        <v>0.29399999999999998</v>
      </c>
      <c r="J46" s="5">
        <v>40</v>
      </c>
      <c r="K46" s="5" t="s">
        <v>37</v>
      </c>
      <c r="L46" s="15">
        <v>0</v>
      </c>
      <c r="M46" s="5" t="s">
        <v>22</v>
      </c>
      <c r="N46" s="5" t="s">
        <v>56</v>
      </c>
      <c r="O46" s="5" t="s">
        <v>31</v>
      </c>
      <c r="R46" s="5">
        <f>IF(diabetesoriginal[[#This Row],[Diabetes]]=$R$1,diabetesoriginal[[#This Row],[Skin Thickness]],NA())</f>
        <v>29</v>
      </c>
      <c r="S46" s="5" t="e">
        <f>IF(diabetesoriginal[[#This Row],[Diabetes]]=$S$1,diabetesoriginal[[#This Row],[Skin Thickness]],NA())</f>
        <v>#N/A</v>
      </c>
      <c r="U46" s="5">
        <f>IF(diabetesoriginal[[#This Row],[Diabetes]]=$U$1,diabetesoriginal[[#This Row],[Insulin]],NA())</f>
        <v>125</v>
      </c>
      <c r="V46" s="5" t="e">
        <f>IF(diabetesoriginal[[#This Row],[Diabetes]]=$S$1,diabetesoriginal[[#This Row],[Insulin]],NA())</f>
        <v>#N/A</v>
      </c>
    </row>
    <row r="47" spans="1:22" x14ac:dyDescent="0.25">
      <c r="A47" s="5">
        <v>0</v>
      </c>
      <c r="B47" s="5">
        <v>180</v>
      </c>
      <c r="C47" s="5">
        <v>66</v>
      </c>
      <c r="D47" s="5" t="s">
        <v>23</v>
      </c>
      <c r="E47" s="5">
        <v>39</v>
      </c>
      <c r="F47" s="5">
        <v>125</v>
      </c>
      <c r="G47" s="5">
        <v>42</v>
      </c>
      <c r="H47" s="5" t="s">
        <v>32</v>
      </c>
      <c r="I47" s="5">
        <v>1.893</v>
      </c>
      <c r="J47" s="5">
        <v>25</v>
      </c>
      <c r="K47" s="5" t="s">
        <v>35</v>
      </c>
      <c r="L47" s="15">
        <v>1</v>
      </c>
      <c r="M47" s="5" t="s">
        <v>22</v>
      </c>
      <c r="N47" s="5" t="s">
        <v>56</v>
      </c>
      <c r="O47" s="5" t="s">
        <v>31</v>
      </c>
      <c r="R47" s="5" t="e">
        <f>IF(diabetesoriginal[[#This Row],[Diabetes]]=$R$1,diabetesoriginal[[#This Row],[Skin Thickness]],NA())</f>
        <v>#N/A</v>
      </c>
      <c r="S47" s="5">
        <f>IF(diabetesoriginal[[#This Row],[Diabetes]]=$S$1,diabetesoriginal[[#This Row],[Skin Thickness]],NA())</f>
        <v>39</v>
      </c>
      <c r="U47" s="5" t="e">
        <f>IF(diabetesoriginal[[#This Row],[Diabetes]]=$U$1,diabetesoriginal[[#This Row],[Insulin]],NA())</f>
        <v>#N/A</v>
      </c>
      <c r="V47" s="5">
        <f>IF(diabetesoriginal[[#This Row],[Diabetes]]=$S$1,diabetesoriginal[[#This Row],[Insulin]],NA())</f>
        <v>125</v>
      </c>
    </row>
    <row r="48" spans="1:22" x14ac:dyDescent="0.25">
      <c r="A48" s="5">
        <v>1</v>
      </c>
      <c r="B48" s="5">
        <v>146</v>
      </c>
      <c r="C48" s="5">
        <v>56</v>
      </c>
      <c r="D48" s="5" t="s">
        <v>23</v>
      </c>
      <c r="E48" s="5">
        <v>29</v>
      </c>
      <c r="F48" s="5">
        <v>125</v>
      </c>
      <c r="G48" s="5">
        <v>29.7</v>
      </c>
      <c r="H48" s="5" t="s">
        <v>30</v>
      </c>
      <c r="I48" s="5">
        <v>0.56399999999999995</v>
      </c>
      <c r="J48" s="5">
        <v>29</v>
      </c>
      <c r="K48" s="5" t="s">
        <v>35</v>
      </c>
      <c r="L48" s="15">
        <v>0</v>
      </c>
      <c r="M48" s="5" t="s">
        <v>22</v>
      </c>
      <c r="N48" s="5" t="s">
        <v>56</v>
      </c>
      <c r="O48" s="5" t="s">
        <v>31</v>
      </c>
      <c r="R48" s="5">
        <f>IF(diabetesoriginal[[#This Row],[Diabetes]]=$R$1,diabetesoriginal[[#This Row],[Skin Thickness]],NA())</f>
        <v>29</v>
      </c>
      <c r="S48" s="5" t="e">
        <f>IF(diabetesoriginal[[#This Row],[Diabetes]]=$S$1,diabetesoriginal[[#This Row],[Skin Thickness]],NA())</f>
        <v>#N/A</v>
      </c>
      <c r="U48" s="5">
        <f>IF(diabetesoriginal[[#This Row],[Diabetes]]=$U$1,diabetesoriginal[[#This Row],[Insulin]],NA())</f>
        <v>125</v>
      </c>
      <c r="V48" s="5" t="e">
        <f>IF(diabetesoriginal[[#This Row],[Diabetes]]=$S$1,diabetesoriginal[[#This Row],[Insulin]],NA())</f>
        <v>#N/A</v>
      </c>
    </row>
    <row r="49" spans="1:22" x14ac:dyDescent="0.25">
      <c r="A49" s="5">
        <v>2</v>
      </c>
      <c r="B49" s="5">
        <v>71</v>
      </c>
      <c r="C49" s="5">
        <v>70</v>
      </c>
      <c r="D49" s="5" t="s">
        <v>23</v>
      </c>
      <c r="E49" s="5">
        <v>27</v>
      </c>
      <c r="F49" s="5">
        <v>125</v>
      </c>
      <c r="G49" s="5">
        <v>28</v>
      </c>
      <c r="H49" s="5" t="s">
        <v>30</v>
      </c>
      <c r="I49" s="5">
        <v>0.58599999999999997</v>
      </c>
      <c r="J49" s="5">
        <v>22</v>
      </c>
      <c r="K49" s="5" t="s">
        <v>35</v>
      </c>
      <c r="L49" s="15">
        <v>0</v>
      </c>
      <c r="M49" s="5" t="s">
        <v>57</v>
      </c>
      <c r="N49" s="5" t="s">
        <v>56</v>
      </c>
      <c r="O49" s="5" t="s">
        <v>31</v>
      </c>
      <c r="R49" s="5">
        <f>IF(diabetesoriginal[[#This Row],[Diabetes]]=$R$1,diabetesoriginal[[#This Row],[Skin Thickness]],NA())</f>
        <v>27</v>
      </c>
      <c r="S49" s="5" t="e">
        <f>IF(diabetesoriginal[[#This Row],[Diabetes]]=$S$1,diabetesoriginal[[#This Row],[Skin Thickness]],NA())</f>
        <v>#N/A</v>
      </c>
      <c r="U49" s="5">
        <f>IF(diabetesoriginal[[#This Row],[Diabetes]]=$U$1,diabetesoriginal[[#This Row],[Insulin]],NA())</f>
        <v>125</v>
      </c>
      <c r="V49" s="5" t="e">
        <f>IF(diabetesoriginal[[#This Row],[Diabetes]]=$S$1,diabetesoriginal[[#This Row],[Insulin]],NA())</f>
        <v>#N/A</v>
      </c>
    </row>
    <row r="50" spans="1:22" x14ac:dyDescent="0.25">
      <c r="A50" s="5">
        <v>7</v>
      </c>
      <c r="B50" s="5">
        <v>103</v>
      </c>
      <c r="C50" s="5">
        <v>66</v>
      </c>
      <c r="D50" s="5" t="s">
        <v>23</v>
      </c>
      <c r="E50" s="5">
        <v>32</v>
      </c>
      <c r="F50" s="5">
        <v>125</v>
      </c>
      <c r="G50" s="5">
        <v>39.1</v>
      </c>
      <c r="H50" s="5" t="s">
        <v>29</v>
      </c>
      <c r="I50" s="5">
        <v>0.34399999999999997</v>
      </c>
      <c r="J50" s="5">
        <v>31</v>
      </c>
      <c r="K50" s="5" t="s">
        <v>36</v>
      </c>
      <c r="L50" s="15">
        <v>1</v>
      </c>
      <c r="M50" s="5" t="s">
        <v>57</v>
      </c>
      <c r="N50" s="5" t="s">
        <v>56</v>
      </c>
      <c r="O50" s="5" t="s">
        <v>31</v>
      </c>
      <c r="R50" s="5" t="e">
        <f>IF(diabetesoriginal[[#This Row],[Diabetes]]=$R$1,diabetesoriginal[[#This Row],[Skin Thickness]],NA())</f>
        <v>#N/A</v>
      </c>
      <c r="S50" s="5">
        <f>IF(diabetesoriginal[[#This Row],[Diabetes]]=$S$1,diabetesoriginal[[#This Row],[Skin Thickness]],NA())</f>
        <v>32</v>
      </c>
      <c r="U50" s="5" t="e">
        <f>IF(diabetesoriginal[[#This Row],[Diabetes]]=$U$1,diabetesoriginal[[#This Row],[Insulin]],NA())</f>
        <v>#N/A</v>
      </c>
      <c r="V50" s="5">
        <f>IF(diabetesoriginal[[#This Row],[Diabetes]]=$S$1,diabetesoriginal[[#This Row],[Insulin]],NA())</f>
        <v>125</v>
      </c>
    </row>
    <row r="51" spans="1:22" x14ac:dyDescent="0.25">
      <c r="A51" s="5">
        <v>7</v>
      </c>
      <c r="B51" s="5">
        <v>105</v>
      </c>
      <c r="C51" s="5">
        <v>72</v>
      </c>
      <c r="D51" s="5" t="s">
        <v>23</v>
      </c>
      <c r="E51" s="5">
        <v>29</v>
      </c>
      <c r="F51" s="5">
        <v>125</v>
      </c>
      <c r="G51" s="5">
        <v>32.299999999999997</v>
      </c>
      <c r="H51" s="5" t="s">
        <v>29</v>
      </c>
      <c r="I51" s="5">
        <v>0.30499999999999999</v>
      </c>
      <c r="J51" s="5">
        <v>24</v>
      </c>
      <c r="K51" s="5" t="s">
        <v>35</v>
      </c>
      <c r="L51" s="15">
        <v>0</v>
      </c>
      <c r="M51" s="5" t="s">
        <v>57</v>
      </c>
      <c r="N51" s="5" t="s">
        <v>56</v>
      </c>
      <c r="O51" s="5" t="s">
        <v>31</v>
      </c>
      <c r="R51" s="5">
        <f>IF(diabetesoriginal[[#This Row],[Diabetes]]=$R$1,diabetesoriginal[[#This Row],[Skin Thickness]],NA())</f>
        <v>29</v>
      </c>
      <c r="S51" s="5" t="e">
        <f>IF(diabetesoriginal[[#This Row],[Diabetes]]=$S$1,diabetesoriginal[[#This Row],[Skin Thickness]],NA())</f>
        <v>#N/A</v>
      </c>
      <c r="U51" s="5">
        <f>IF(diabetesoriginal[[#This Row],[Diabetes]]=$U$1,diabetesoriginal[[#This Row],[Insulin]],NA())</f>
        <v>125</v>
      </c>
      <c r="V51" s="5" t="e">
        <f>IF(diabetesoriginal[[#This Row],[Diabetes]]=$S$1,diabetesoriginal[[#This Row],[Insulin]],NA())</f>
        <v>#N/A</v>
      </c>
    </row>
    <row r="52" spans="1:22" x14ac:dyDescent="0.25">
      <c r="A52" s="5">
        <v>1</v>
      </c>
      <c r="B52" s="5">
        <v>103</v>
      </c>
      <c r="C52" s="5">
        <v>80</v>
      </c>
      <c r="D52" s="5" t="s">
        <v>25</v>
      </c>
      <c r="E52" s="5">
        <v>11</v>
      </c>
      <c r="F52" s="5">
        <v>82</v>
      </c>
      <c r="G52" s="5">
        <v>19.399999999999999</v>
      </c>
      <c r="H52" s="5" t="s">
        <v>31</v>
      </c>
      <c r="I52" s="5">
        <v>0.49099999999999999</v>
      </c>
      <c r="J52" s="5">
        <v>22</v>
      </c>
      <c r="K52" s="5" t="s">
        <v>35</v>
      </c>
      <c r="L52" s="15">
        <v>0</v>
      </c>
      <c r="M52" s="5" t="s">
        <v>57</v>
      </c>
      <c r="N52" s="5" t="s">
        <v>58</v>
      </c>
      <c r="O52" s="5" t="s">
        <v>31</v>
      </c>
      <c r="R52" s="5">
        <f>IF(diabetesoriginal[[#This Row],[Diabetes]]=$R$1,diabetesoriginal[[#This Row],[Skin Thickness]],NA())</f>
        <v>11</v>
      </c>
      <c r="S52" s="5" t="e">
        <f>IF(diabetesoriginal[[#This Row],[Diabetes]]=$S$1,diabetesoriginal[[#This Row],[Skin Thickness]],NA())</f>
        <v>#N/A</v>
      </c>
      <c r="U52" s="5">
        <f>IF(diabetesoriginal[[#This Row],[Diabetes]]=$U$1,diabetesoriginal[[#This Row],[Insulin]],NA())</f>
        <v>82</v>
      </c>
      <c r="V52" s="5" t="e">
        <f>IF(diabetesoriginal[[#This Row],[Diabetes]]=$S$1,diabetesoriginal[[#This Row],[Insulin]],NA())</f>
        <v>#N/A</v>
      </c>
    </row>
    <row r="53" spans="1:22" x14ac:dyDescent="0.25">
      <c r="A53" s="5">
        <v>1</v>
      </c>
      <c r="B53" s="5">
        <v>101</v>
      </c>
      <c r="C53" s="5">
        <v>50</v>
      </c>
      <c r="D53" s="5" t="s">
        <v>23</v>
      </c>
      <c r="E53" s="5">
        <v>15</v>
      </c>
      <c r="F53" s="5">
        <v>36</v>
      </c>
      <c r="G53" s="5">
        <v>24.2</v>
      </c>
      <c r="H53" s="5" t="s">
        <v>31</v>
      </c>
      <c r="I53" s="5">
        <v>0.52600000000000002</v>
      </c>
      <c r="J53" s="5">
        <v>26</v>
      </c>
      <c r="K53" s="5" t="s">
        <v>35</v>
      </c>
      <c r="L53" s="15">
        <v>0</v>
      </c>
      <c r="M53" s="5" t="s">
        <v>57</v>
      </c>
      <c r="N53" s="5" t="s">
        <v>58</v>
      </c>
      <c r="O53" s="5" t="s">
        <v>31</v>
      </c>
      <c r="R53" s="5">
        <f>IF(diabetesoriginal[[#This Row],[Diabetes]]=$R$1,diabetesoriginal[[#This Row],[Skin Thickness]],NA())</f>
        <v>15</v>
      </c>
      <c r="S53" s="5" t="e">
        <f>IF(diabetesoriginal[[#This Row],[Diabetes]]=$S$1,diabetesoriginal[[#This Row],[Skin Thickness]],NA())</f>
        <v>#N/A</v>
      </c>
      <c r="U53" s="5">
        <f>IF(diabetesoriginal[[#This Row],[Diabetes]]=$U$1,diabetesoriginal[[#This Row],[Insulin]],NA())</f>
        <v>36</v>
      </c>
      <c r="V53" s="5" t="e">
        <f>IF(diabetesoriginal[[#This Row],[Diabetes]]=$S$1,diabetesoriginal[[#This Row],[Insulin]],NA())</f>
        <v>#N/A</v>
      </c>
    </row>
    <row r="54" spans="1:22" x14ac:dyDescent="0.25">
      <c r="A54" s="5">
        <v>5</v>
      </c>
      <c r="B54" s="5">
        <v>88</v>
      </c>
      <c r="C54" s="5">
        <v>66</v>
      </c>
      <c r="D54" s="5" t="s">
        <v>23</v>
      </c>
      <c r="E54" s="5">
        <v>21</v>
      </c>
      <c r="F54" s="5">
        <v>23</v>
      </c>
      <c r="G54" s="5">
        <v>24.4</v>
      </c>
      <c r="H54" s="5" t="s">
        <v>31</v>
      </c>
      <c r="I54" s="5">
        <v>0.34200000000000003</v>
      </c>
      <c r="J54" s="5">
        <v>30</v>
      </c>
      <c r="K54" s="5" t="s">
        <v>36</v>
      </c>
      <c r="L54" s="15">
        <v>0</v>
      </c>
      <c r="M54" s="5" t="s">
        <v>57</v>
      </c>
      <c r="N54" s="5" t="s">
        <v>58</v>
      </c>
      <c r="O54" s="5" t="s">
        <v>31</v>
      </c>
      <c r="R54" s="5">
        <f>IF(diabetesoriginal[[#This Row],[Diabetes]]=$R$1,diabetesoriginal[[#This Row],[Skin Thickness]],NA())</f>
        <v>21</v>
      </c>
      <c r="S54" s="5" t="e">
        <f>IF(diabetesoriginal[[#This Row],[Diabetes]]=$S$1,diabetesoriginal[[#This Row],[Skin Thickness]],NA())</f>
        <v>#N/A</v>
      </c>
      <c r="U54" s="5">
        <f>IF(diabetesoriginal[[#This Row],[Diabetes]]=$U$1,diabetesoriginal[[#This Row],[Insulin]],NA())</f>
        <v>23</v>
      </c>
      <c r="V54" s="5" t="e">
        <f>IF(diabetesoriginal[[#This Row],[Diabetes]]=$S$1,diabetesoriginal[[#This Row],[Insulin]],NA())</f>
        <v>#N/A</v>
      </c>
    </row>
    <row r="55" spans="1:22" x14ac:dyDescent="0.25">
      <c r="A55" s="5">
        <v>8</v>
      </c>
      <c r="B55" s="5">
        <v>176</v>
      </c>
      <c r="C55" s="5">
        <v>90</v>
      </c>
      <c r="D55" s="5" t="s">
        <v>24</v>
      </c>
      <c r="E55" s="5">
        <v>34</v>
      </c>
      <c r="F55" s="5">
        <v>300</v>
      </c>
      <c r="G55" s="5">
        <v>33.700000000000003</v>
      </c>
      <c r="H55" s="5" t="s">
        <v>29</v>
      </c>
      <c r="I55" s="5">
        <v>0.46700000000000003</v>
      </c>
      <c r="J55" s="5">
        <v>58</v>
      </c>
      <c r="K55" s="5" t="s">
        <v>38</v>
      </c>
      <c r="L55" s="15">
        <v>1</v>
      </c>
      <c r="M55" s="5" t="s">
        <v>22</v>
      </c>
      <c r="N55" s="5" t="s">
        <v>56</v>
      </c>
      <c r="O55" s="5" t="s">
        <v>59</v>
      </c>
      <c r="R55" s="5" t="e">
        <f>IF(diabetesoriginal[[#This Row],[Diabetes]]=$R$1,diabetesoriginal[[#This Row],[Skin Thickness]],NA())</f>
        <v>#N/A</v>
      </c>
      <c r="S55" s="5">
        <f>IF(diabetesoriginal[[#This Row],[Diabetes]]=$S$1,diabetesoriginal[[#This Row],[Skin Thickness]],NA())</f>
        <v>34</v>
      </c>
      <c r="U55" s="5" t="e">
        <f>IF(diabetesoriginal[[#This Row],[Diabetes]]=$U$1,diabetesoriginal[[#This Row],[Insulin]],NA())</f>
        <v>#N/A</v>
      </c>
      <c r="V55" s="5">
        <f>IF(diabetesoriginal[[#This Row],[Diabetes]]=$S$1,diabetesoriginal[[#This Row],[Insulin]],NA())</f>
        <v>300</v>
      </c>
    </row>
    <row r="56" spans="1:22" x14ac:dyDescent="0.25">
      <c r="A56" s="5">
        <v>7</v>
      </c>
      <c r="B56" s="5">
        <v>150</v>
      </c>
      <c r="C56" s="5">
        <v>66</v>
      </c>
      <c r="D56" s="5" t="s">
        <v>23</v>
      </c>
      <c r="E56" s="5">
        <v>42</v>
      </c>
      <c r="F56" s="5">
        <v>342</v>
      </c>
      <c r="G56" s="5">
        <v>34.700000000000003</v>
      </c>
      <c r="H56" s="5" t="s">
        <v>29</v>
      </c>
      <c r="I56" s="5">
        <v>0.71799999999999997</v>
      </c>
      <c r="J56" s="5">
        <v>42</v>
      </c>
      <c r="K56" s="5" t="s">
        <v>37</v>
      </c>
      <c r="L56" s="15">
        <v>0</v>
      </c>
      <c r="M56" s="5" t="s">
        <v>22</v>
      </c>
      <c r="N56" s="5" t="s">
        <v>56</v>
      </c>
      <c r="O56" s="5" t="s">
        <v>59</v>
      </c>
      <c r="R56" s="5">
        <f>IF(diabetesoriginal[[#This Row],[Diabetes]]=$R$1,diabetesoriginal[[#This Row],[Skin Thickness]],NA())</f>
        <v>42</v>
      </c>
      <c r="S56" s="5" t="e">
        <f>IF(diabetesoriginal[[#This Row],[Diabetes]]=$S$1,diabetesoriginal[[#This Row],[Skin Thickness]],NA())</f>
        <v>#N/A</v>
      </c>
      <c r="U56" s="5">
        <f>IF(diabetesoriginal[[#This Row],[Diabetes]]=$U$1,diabetesoriginal[[#This Row],[Insulin]],NA())</f>
        <v>342</v>
      </c>
      <c r="V56" s="5" t="e">
        <f>IF(diabetesoriginal[[#This Row],[Diabetes]]=$S$1,diabetesoriginal[[#This Row],[Insulin]],NA())</f>
        <v>#N/A</v>
      </c>
    </row>
    <row r="57" spans="1:22" x14ac:dyDescent="0.25">
      <c r="A57" s="5">
        <v>1</v>
      </c>
      <c r="B57" s="5">
        <v>73</v>
      </c>
      <c r="C57" s="5">
        <v>50</v>
      </c>
      <c r="D57" s="5" t="s">
        <v>23</v>
      </c>
      <c r="E57" s="5">
        <v>10</v>
      </c>
      <c r="F57" s="5">
        <v>125</v>
      </c>
      <c r="G57" s="5">
        <v>23</v>
      </c>
      <c r="H57" s="5" t="s">
        <v>31</v>
      </c>
      <c r="I57" s="5">
        <v>0.248</v>
      </c>
      <c r="J57" s="5">
        <v>21</v>
      </c>
      <c r="K57" s="5" t="s">
        <v>35</v>
      </c>
      <c r="L57" s="15">
        <v>0</v>
      </c>
      <c r="M57" s="5" t="s">
        <v>57</v>
      </c>
      <c r="N57" s="5" t="s">
        <v>58</v>
      </c>
      <c r="O57" s="5" t="s">
        <v>31</v>
      </c>
      <c r="R57" s="5">
        <f>IF(diabetesoriginal[[#This Row],[Diabetes]]=$R$1,diabetesoriginal[[#This Row],[Skin Thickness]],NA())</f>
        <v>10</v>
      </c>
      <c r="S57" s="5" t="e">
        <f>IF(diabetesoriginal[[#This Row],[Diabetes]]=$S$1,diabetesoriginal[[#This Row],[Skin Thickness]],NA())</f>
        <v>#N/A</v>
      </c>
      <c r="U57" s="5">
        <f>IF(diabetesoriginal[[#This Row],[Diabetes]]=$U$1,diabetesoriginal[[#This Row],[Insulin]],NA())</f>
        <v>125</v>
      </c>
      <c r="V57" s="5" t="e">
        <f>IF(diabetesoriginal[[#This Row],[Diabetes]]=$S$1,diabetesoriginal[[#This Row],[Insulin]],NA())</f>
        <v>#N/A</v>
      </c>
    </row>
    <row r="58" spans="1:22" x14ac:dyDescent="0.25">
      <c r="A58" s="5">
        <v>7</v>
      </c>
      <c r="B58" s="5">
        <v>187</v>
      </c>
      <c r="C58" s="5">
        <v>68</v>
      </c>
      <c r="D58" s="5" t="s">
        <v>23</v>
      </c>
      <c r="E58" s="5">
        <v>39</v>
      </c>
      <c r="F58" s="5">
        <v>304</v>
      </c>
      <c r="G58" s="5">
        <v>37.700000000000003</v>
      </c>
      <c r="H58" s="5" t="s">
        <v>29</v>
      </c>
      <c r="I58" s="5">
        <v>0.254</v>
      </c>
      <c r="J58" s="5">
        <v>41</v>
      </c>
      <c r="K58" s="5" t="s">
        <v>37</v>
      </c>
      <c r="L58" s="15">
        <v>1</v>
      </c>
      <c r="M58" s="5" t="s">
        <v>22</v>
      </c>
      <c r="N58" s="5" t="s">
        <v>56</v>
      </c>
      <c r="O58" s="5" t="s">
        <v>59</v>
      </c>
      <c r="R58" s="5" t="e">
        <f>IF(diabetesoriginal[[#This Row],[Diabetes]]=$R$1,diabetesoriginal[[#This Row],[Skin Thickness]],NA())</f>
        <v>#N/A</v>
      </c>
      <c r="S58" s="5">
        <f>IF(diabetesoriginal[[#This Row],[Diabetes]]=$S$1,diabetesoriginal[[#This Row],[Skin Thickness]],NA())</f>
        <v>39</v>
      </c>
      <c r="U58" s="5" t="e">
        <f>IF(diabetesoriginal[[#This Row],[Diabetes]]=$U$1,diabetesoriginal[[#This Row],[Insulin]],NA())</f>
        <v>#N/A</v>
      </c>
      <c r="V58" s="5">
        <f>IF(diabetesoriginal[[#This Row],[Diabetes]]=$S$1,diabetesoriginal[[#This Row],[Insulin]],NA())</f>
        <v>304</v>
      </c>
    </row>
    <row r="59" spans="1:22" x14ac:dyDescent="0.25">
      <c r="A59" s="5">
        <v>0</v>
      </c>
      <c r="B59" s="5">
        <v>100</v>
      </c>
      <c r="C59" s="5">
        <v>88</v>
      </c>
      <c r="D59" s="5" t="s">
        <v>25</v>
      </c>
      <c r="E59" s="5">
        <v>60</v>
      </c>
      <c r="F59" s="5">
        <v>110</v>
      </c>
      <c r="G59" s="5">
        <v>46.8</v>
      </c>
      <c r="H59" s="5" t="s">
        <v>32</v>
      </c>
      <c r="I59" s="5">
        <v>0.96199999999999997</v>
      </c>
      <c r="J59" s="5">
        <v>31</v>
      </c>
      <c r="K59" s="5" t="s">
        <v>36</v>
      </c>
      <c r="L59" s="15">
        <v>0</v>
      </c>
      <c r="M59" s="5" t="s">
        <v>57</v>
      </c>
      <c r="N59" s="5" t="s">
        <v>56</v>
      </c>
      <c r="O59" s="5" t="s">
        <v>31</v>
      </c>
      <c r="R59" s="5">
        <f>IF(diabetesoriginal[[#This Row],[Diabetes]]=$R$1,diabetesoriginal[[#This Row],[Skin Thickness]],NA())</f>
        <v>60</v>
      </c>
      <c r="S59" s="5" t="e">
        <f>IF(diabetesoriginal[[#This Row],[Diabetes]]=$S$1,diabetesoriginal[[#This Row],[Skin Thickness]],NA())</f>
        <v>#N/A</v>
      </c>
      <c r="U59" s="5">
        <f>IF(diabetesoriginal[[#This Row],[Diabetes]]=$U$1,diabetesoriginal[[#This Row],[Insulin]],NA())</f>
        <v>110</v>
      </c>
      <c r="V59" s="5" t="e">
        <f>IF(diabetesoriginal[[#This Row],[Diabetes]]=$S$1,diabetesoriginal[[#This Row],[Insulin]],NA())</f>
        <v>#N/A</v>
      </c>
    </row>
    <row r="60" spans="1:22" x14ac:dyDescent="0.25">
      <c r="A60" s="5">
        <v>0</v>
      </c>
      <c r="B60" s="5">
        <v>146</v>
      </c>
      <c r="C60" s="5">
        <v>82</v>
      </c>
      <c r="D60" s="5" t="s">
        <v>25</v>
      </c>
      <c r="E60" s="5">
        <v>29</v>
      </c>
      <c r="F60" s="5">
        <v>125</v>
      </c>
      <c r="G60" s="5">
        <v>40.5</v>
      </c>
      <c r="H60" s="5" t="s">
        <v>32</v>
      </c>
      <c r="I60" s="5">
        <v>1.7809999999999999</v>
      </c>
      <c r="J60" s="5">
        <v>44</v>
      </c>
      <c r="K60" s="5" t="s">
        <v>37</v>
      </c>
      <c r="L60" s="15">
        <v>0</v>
      </c>
      <c r="M60" s="5" t="s">
        <v>22</v>
      </c>
      <c r="N60" s="5" t="s">
        <v>56</v>
      </c>
      <c r="O60" s="5" t="s">
        <v>31</v>
      </c>
      <c r="R60" s="5">
        <f>IF(diabetesoriginal[[#This Row],[Diabetes]]=$R$1,diabetesoriginal[[#This Row],[Skin Thickness]],NA())</f>
        <v>29</v>
      </c>
      <c r="S60" s="5" t="e">
        <f>IF(diabetesoriginal[[#This Row],[Diabetes]]=$S$1,diabetesoriginal[[#This Row],[Skin Thickness]],NA())</f>
        <v>#N/A</v>
      </c>
      <c r="U60" s="5">
        <f>IF(diabetesoriginal[[#This Row],[Diabetes]]=$U$1,diabetesoriginal[[#This Row],[Insulin]],NA())</f>
        <v>125</v>
      </c>
      <c r="V60" s="5" t="e">
        <f>IF(diabetesoriginal[[#This Row],[Diabetes]]=$S$1,diabetesoriginal[[#This Row],[Insulin]],NA())</f>
        <v>#N/A</v>
      </c>
    </row>
    <row r="61" spans="1:22" x14ac:dyDescent="0.25">
      <c r="A61" s="5">
        <v>0</v>
      </c>
      <c r="B61" s="5">
        <v>105</v>
      </c>
      <c r="C61" s="5">
        <v>64</v>
      </c>
      <c r="D61" s="5" t="s">
        <v>23</v>
      </c>
      <c r="E61" s="5">
        <v>41</v>
      </c>
      <c r="F61" s="5">
        <v>142</v>
      </c>
      <c r="G61" s="5">
        <v>41.5</v>
      </c>
      <c r="H61" s="5" t="s">
        <v>32</v>
      </c>
      <c r="I61" s="5">
        <v>0.17299999999999999</v>
      </c>
      <c r="J61" s="5">
        <v>22</v>
      </c>
      <c r="K61" s="5" t="s">
        <v>35</v>
      </c>
      <c r="L61" s="15">
        <v>0</v>
      </c>
      <c r="M61" s="5" t="s">
        <v>57</v>
      </c>
      <c r="N61" s="5" t="s">
        <v>56</v>
      </c>
      <c r="O61" s="5" t="s">
        <v>31</v>
      </c>
      <c r="R61" s="5">
        <f>IF(diabetesoriginal[[#This Row],[Diabetes]]=$R$1,diabetesoriginal[[#This Row],[Skin Thickness]],NA())</f>
        <v>41</v>
      </c>
      <c r="S61" s="5" t="e">
        <f>IF(diabetesoriginal[[#This Row],[Diabetes]]=$S$1,diabetesoriginal[[#This Row],[Skin Thickness]],NA())</f>
        <v>#N/A</v>
      </c>
      <c r="U61" s="5">
        <f>IF(diabetesoriginal[[#This Row],[Diabetes]]=$U$1,diabetesoriginal[[#This Row],[Insulin]],NA())</f>
        <v>142</v>
      </c>
      <c r="V61" s="5" t="e">
        <f>IF(diabetesoriginal[[#This Row],[Diabetes]]=$S$1,diabetesoriginal[[#This Row],[Insulin]],NA())</f>
        <v>#N/A</v>
      </c>
    </row>
    <row r="62" spans="1:22" x14ac:dyDescent="0.25">
      <c r="A62" s="5">
        <v>2</v>
      </c>
      <c r="B62" s="5">
        <v>84</v>
      </c>
      <c r="C62" s="5">
        <v>72</v>
      </c>
      <c r="D62" s="5" t="s">
        <v>23</v>
      </c>
      <c r="E62" s="5">
        <v>29</v>
      </c>
      <c r="F62" s="5">
        <v>125</v>
      </c>
      <c r="G62" s="5">
        <v>32.299999999999997</v>
      </c>
      <c r="H62" s="5" t="s">
        <v>29</v>
      </c>
      <c r="I62" s="5">
        <v>0.30399999999999999</v>
      </c>
      <c r="J62" s="5">
        <v>21</v>
      </c>
      <c r="K62" s="5" t="s">
        <v>35</v>
      </c>
      <c r="L62" s="15">
        <v>0</v>
      </c>
      <c r="M62" s="5" t="s">
        <v>57</v>
      </c>
      <c r="N62" s="5" t="s">
        <v>56</v>
      </c>
      <c r="O62" s="5" t="s">
        <v>31</v>
      </c>
      <c r="R62" s="5">
        <f>IF(diabetesoriginal[[#This Row],[Diabetes]]=$R$1,diabetesoriginal[[#This Row],[Skin Thickness]],NA())</f>
        <v>29</v>
      </c>
      <c r="S62" s="5" t="e">
        <f>IF(diabetesoriginal[[#This Row],[Diabetes]]=$S$1,diabetesoriginal[[#This Row],[Skin Thickness]],NA())</f>
        <v>#N/A</v>
      </c>
      <c r="U62" s="5">
        <f>IF(diabetesoriginal[[#This Row],[Diabetes]]=$U$1,diabetesoriginal[[#This Row],[Insulin]],NA())</f>
        <v>125</v>
      </c>
      <c r="V62" s="5" t="e">
        <f>IF(diabetesoriginal[[#This Row],[Diabetes]]=$S$1,diabetesoriginal[[#This Row],[Insulin]],NA())</f>
        <v>#N/A</v>
      </c>
    </row>
    <row r="63" spans="1:22" x14ac:dyDescent="0.25">
      <c r="A63" s="5">
        <v>8</v>
      </c>
      <c r="B63" s="5">
        <v>133</v>
      </c>
      <c r="C63" s="5">
        <v>72</v>
      </c>
      <c r="D63" s="5" t="s">
        <v>23</v>
      </c>
      <c r="E63" s="5">
        <v>29</v>
      </c>
      <c r="F63" s="5">
        <v>125</v>
      </c>
      <c r="G63" s="5">
        <v>32.9</v>
      </c>
      <c r="H63" s="5" t="s">
        <v>29</v>
      </c>
      <c r="I63" s="5">
        <v>0.27</v>
      </c>
      <c r="J63" s="5">
        <v>39</v>
      </c>
      <c r="K63" s="5" t="s">
        <v>36</v>
      </c>
      <c r="L63" s="15">
        <v>1</v>
      </c>
      <c r="M63" s="5" t="s">
        <v>57</v>
      </c>
      <c r="N63" s="5" t="s">
        <v>56</v>
      </c>
      <c r="O63" s="5" t="s">
        <v>31</v>
      </c>
      <c r="R63" s="5" t="e">
        <f>IF(diabetesoriginal[[#This Row],[Diabetes]]=$R$1,diabetesoriginal[[#This Row],[Skin Thickness]],NA())</f>
        <v>#N/A</v>
      </c>
      <c r="S63" s="5">
        <f>IF(diabetesoriginal[[#This Row],[Diabetes]]=$S$1,diabetesoriginal[[#This Row],[Skin Thickness]],NA())</f>
        <v>29</v>
      </c>
      <c r="U63" s="5" t="e">
        <f>IF(diabetesoriginal[[#This Row],[Diabetes]]=$U$1,diabetesoriginal[[#This Row],[Insulin]],NA())</f>
        <v>#N/A</v>
      </c>
      <c r="V63" s="5">
        <f>IF(diabetesoriginal[[#This Row],[Diabetes]]=$S$1,diabetesoriginal[[#This Row],[Insulin]],NA())</f>
        <v>125</v>
      </c>
    </row>
    <row r="64" spans="1:22" x14ac:dyDescent="0.25">
      <c r="A64" s="5">
        <v>5</v>
      </c>
      <c r="B64" s="5">
        <v>44</v>
      </c>
      <c r="C64" s="5">
        <v>62</v>
      </c>
      <c r="D64" s="5" t="s">
        <v>23</v>
      </c>
      <c r="E64" s="5">
        <v>29</v>
      </c>
      <c r="F64" s="5">
        <v>125</v>
      </c>
      <c r="G64" s="5">
        <v>25</v>
      </c>
      <c r="H64" s="5" t="s">
        <v>30</v>
      </c>
      <c r="I64" s="5">
        <v>0.58699999999999997</v>
      </c>
      <c r="J64" s="5">
        <v>36</v>
      </c>
      <c r="K64" s="5" t="s">
        <v>36</v>
      </c>
      <c r="L64" s="15">
        <v>0</v>
      </c>
      <c r="M64" s="5" t="s">
        <v>57</v>
      </c>
      <c r="N64" s="5" t="s">
        <v>56</v>
      </c>
      <c r="O64" s="5" t="s">
        <v>31</v>
      </c>
      <c r="R64" s="5">
        <f>IF(diabetesoriginal[[#This Row],[Diabetes]]=$R$1,diabetesoriginal[[#This Row],[Skin Thickness]],NA())</f>
        <v>29</v>
      </c>
      <c r="S64" s="5" t="e">
        <f>IF(diabetesoriginal[[#This Row],[Diabetes]]=$S$1,diabetesoriginal[[#This Row],[Skin Thickness]],NA())</f>
        <v>#N/A</v>
      </c>
      <c r="U64" s="5">
        <f>IF(diabetesoriginal[[#This Row],[Diabetes]]=$U$1,diabetesoriginal[[#This Row],[Insulin]],NA())</f>
        <v>125</v>
      </c>
      <c r="V64" s="5" t="e">
        <f>IF(diabetesoriginal[[#This Row],[Diabetes]]=$S$1,diabetesoriginal[[#This Row],[Insulin]],NA())</f>
        <v>#N/A</v>
      </c>
    </row>
    <row r="65" spans="1:22" x14ac:dyDescent="0.25">
      <c r="A65" s="5">
        <v>2</v>
      </c>
      <c r="B65" s="5">
        <v>141</v>
      </c>
      <c r="C65" s="5">
        <v>58</v>
      </c>
      <c r="D65" s="5" t="s">
        <v>23</v>
      </c>
      <c r="E65" s="5">
        <v>34</v>
      </c>
      <c r="F65" s="5">
        <v>128</v>
      </c>
      <c r="G65" s="5">
        <v>25.4</v>
      </c>
      <c r="H65" s="5" t="s">
        <v>30</v>
      </c>
      <c r="I65" s="5">
        <v>0.69899999999999995</v>
      </c>
      <c r="J65" s="5">
        <v>24</v>
      </c>
      <c r="K65" s="5" t="s">
        <v>35</v>
      </c>
      <c r="L65" s="15">
        <v>0</v>
      </c>
      <c r="M65" s="5" t="s">
        <v>22</v>
      </c>
      <c r="N65" s="5" t="s">
        <v>56</v>
      </c>
      <c r="O65" s="5" t="s">
        <v>31</v>
      </c>
      <c r="R65" s="5">
        <f>IF(diabetesoriginal[[#This Row],[Diabetes]]=$R$1,diabetesoriginal[[#This Row],[Skin Thickness]],NA())</f>
        <v>34</v>
      </c>
      <c r="S65" s="5" t="e">
        <f>IF(diabetesoriginal[[#This Row],[Diabetes]]=$S$1,diabetesoriginal[[#This Row],[Skin Thickness]],NA())</f>
        <v>#N/A</v>
      </c>
      <c r="U65" s="5">
        <f>IF(diabetesoriginal[[#This Row],[Diabetes]]=$U$1,diabetesoriginal[[#This Row],[Insulin]],NA())</f>
        <v>128</v>
      </c>
      <c r="V65" s="5" t="e">
        <f>IF(diabetesoriginal[[#This Row],[Diabetes]]=$S$1,diabetesoriginal[[#This Row],[Insulin]],NA())</f>
        <v>#N/A</v>
      </c>
    </row>
    <row r="66" spans="1:22" x14ac:dyDescent="0.25">
      <c r="A66" s="5">
        <v>7</v>
      </c>
      <c r="B66" s="5">
        <v>114</v>
      </c>
      <c r="C66" s="5">
        <v>66</v>
      </c>
      <c r="D66" s="5" t="s">
        <v>23</v>
      </c>
      <c r="E66" s="5">
        <v>29</v>
      </c>
      <c r="F66" s="5">
        <v>125</v>
      </c>
      <c r="G66" s="5">
        <v>32.799999999999997</v>
      </c>
      <c r="H66" s="5" t="s">
        <v>29</v>
      </c>
      <c r="I66" s="5">
        <v>0.25800000000000001</v>
      </c>
      <c r="J66" s="5">
        <v>42</v>
      </c>
      <c r="K66" s="5" t="s">
        <v>37</v>
      </c>
      <c r="L66" s="15">
        <v>1</v>
      </c>
      <c r="M66" s="5" t="s">
        <v>57</v>
      </c>
      <c r="N66" s="5" t="s">
        <v>56</v>
      </c>
      <c r="O66" s="5" t="s">
        <v>31</v>
      </c>
      <c r="R66" s="5" t="e">
        <f>IF(diabetesoriginal[[#This Row],[Diabetes]]=$R$1,diabetesoriginal[[#This Row],[Skin Thickness]],NA())</f>
        <v>#N/A</v>
      </c>
      <c r="S66" s="5">
        <f>IF(diabetesoriginal[[#This Row],[Diabetes]]=$S$1,diabetesoriginal[[#This Row],[Skin Thickness]],NA())</f>
        <v>29</v>
      </c>
      <c r="U66" s="5" t="e">
        <f>IF(diabetesoriginal[[#This Row],[Diabetes]]=$U$1,diabetesoriginal[[#This Row],[Insulin]],NA())</f>
        <v>#N/A</v>
      </c>
      <c r="V66" s="5">
        <f>IF(diabetesoriginal[[#This Row],[Diabetes]]=$S$1,diabetesoriginal[[#This Row],[Insulin]],NA())</f>
        <v>125</v>
      </c>
    </row>
    <row r="67" spans="1:22" x14ac:dyDescent="0.25">
      <c r="A67" s="5">
        <v>5</v>
      </c>
      <c r="B67" s="5">
        <v>99</v>
      </c>
      <c r="C67" s="5">
        <v>74</v>
      </c>
      <c r="D67" s="5" t="s">
        <v>23</v>
      </c>
      <c r="E67" s="5">
        <v>27</v>
      </c>
      <c r="F67" s="5">
        <v>125</v>
      </c>
      <c r="G67" s="5">
        <v>29</v>
      </c>
      <c r="H67" s="5" t="s">
        <v>30</v>
      </c>
      <c r="I67" s="5">
        <v>0.20300000000000001</v>
      </c>
      <c r="J67" s="5">
        <v>32</v>
      </c>
      <c r="K67" s="5" t="s">
        <v>36</v>
      </c>
      <c r="L67" s="15">
        <v>0</v>
      </c>
      <c r="M67" s="5" t="s">
        <v>57</v>
      </c>
      <c r="N67" s="5" t="s">
        <v>56</v>
      </c>
      <c r="O67" s="5" t="s">
        <v>31</v>
      </c>
      <c r="R67" s="5">
        <f>IF(diabetesoriginal[[#This Row],[Diabetes]]=$R$1,diabetesoriginal[[#This Row],[Skin Thickness]],NA())</f>
        <v>27</v>
      </c>
      <c r="S67" s="5" t="e">
        <f>IF(diabetesoriginal[[#This Row],[Diabetes]]=$S$1,diabetesoriginal[[#This Row],[Skin Thickness]],NA())</f>
        <v>#N/A</v>
      </c>
      <c r="U67" s="5">
        <f>IF(diabetesoriginal[[#This Row],[Diabetes]]=$U$1,diabetesoriginal[[#This Row],[Insulin]],NA())</f>
        <v>125</v>
      </c>
      <c r="V67" s="5" t="e">
        <f>IF(diabetesoriginal[[#This Row],[Diabetes]]=$S$1,diabetesoriginal[[#This Row],[Insulin]],NA())</f>
        <v>#N/A</v>
      </c>
    </row>
    <row r="68" spans="1:22" x14ac:dyDescent="0.25">
      <c r="A68" s="5">
        <v>0</v>
      </c>
      <c r="B68" s="5">
        <v>109</v>
      </c>
      <c r="C68" s="5">
        <v>88</v>
      </c>
      <c r="D68" s="5" t="s">
        <v>25</v>
      </c>
      <c r="E68" s="5">
        <v>30</v>
      </c>
      <c r="F68" s="5">
        <v>125</v>
      </c>
      <c r="G68" s="5">
        <v>32.5</v>
      </c>
      <c r="H68" s="5" t="s">
        <v>29</v>
      </c>
      <c r="I68" s="5">
        <v>0.85499999999999998</v>
      </c>
      <c r="J68" s="5">
        <v>38</v>
      </c>
      <c r="K68" s="5" t="s">
        <v>36</v>
      </c>
      <c r="L68" s="15">
        <v>1</v>
      </c>
      <c r="M68" s="5" t="s">
        <v>57</v>
      </c>
      <c r="N68" s="5" t="s">
        <v>56</v>
      </c>
      <c r="O68" s="5" t="s">
        <v>31</v>
      </c>
      <c r="R68" s="5" t="e">
        <f>IF(diabetesoriginal[[#This Row],[Diabetes]]=$R$1,diabetesoriginal[[#This Row],[Skin Thickness]],NA())</f>
        <v>#N/A</v>
      </c>
      <c r="S68" s="5">
        <f>IF(diabetesoriginal[[#This Row],[Diabetes]]=$S$1,diabetesoriginal[[#This Row],[Skin Thickness]],NA())</f>
        <v>30</v>
      </c>
      <c r="U68" s="5" t="e">
        <f>IF(diabetesoriginal[[#This Row],[Diabetes]]=$U$1,diabetesoriginal[[#This Row],[Insulin]],NA())</f>
        <v>#N/A</v>
      </c>
      <c r="V68" s="5">
        <f>IF(diabetesoriginal[[#This Row],[Diabetes]]=$S$1,diabetesoriginal[[#This Row],[Insulin]],NA())</f>
        <v>125</v>
      </c>
    </row>
    <row r="69" spans="1:22" x14ac:dyDescent="0.25">
      <c r="A69" s="5">
        <v>2</v>
      </c>
      <c r="B69" s="5">
        <v>109</v>
      </c>
      <c r="C69" s="5">
        <v>92</v>
      </c>
      <c r="D69" s="5" t="s">
        <v>24</v>
      </c>
      <c r="E69" s="5">
        <v>29</v>
      </c>
      <c r="F69" s="5">
        <v>125</v>
      </c>
      <c r="G69" s="5">
        <v>42.7</v>
      </c>
      <c r="H69" s="5" t="s">
        <v>32</v>
      </c>
      <c r="I69" s="5">
        <v>0.84499999999999997</v>
      </c>
      <c r="J69" s="5">
        <v>54</v>
      </c>
      <c r="K69" s="5" t="s">
        <v>38</v>
      </c>
      <c r="L69" s="15">
        <v>0</v>
      </c>
      <c r="M69" s="5" t="s">
        <v>57</v>
      </c>
      <c r="N69" s="5" t="s">
        <v>56</v>
      </c>
      <c r="O69" s="5" t="s">
        <v>31</v>
      </c>
      <c r="R69" s="5">
        <f>IF(diabetesoriginal[[#This Row],[Diabetes]]=$R$1,diabetesoriginal[[#This Row],[Skin Thickness]],NA())</f>
        <v>29</v>
      </c>
      <c r="S69" s="5" t="e">
        <f>IF(diabetesoriginal[[#This Row],[Diabetes]]=$S$1,diabetesoriginal[[#This Row],[Skin Thickness]],NA())</f>
        <v>#N/A</v>
      </c>
      <c r="U69" s="5">
        <f>IF(diabetesoriginal[[#This Row],[Diabetes]]=$U$1,diabetesoriginal[[#This Row],[Insulin]],NA())</f>
        <v>125</v>
      </c>
      <c r="V69" s="5" t="e">
        <f>IF(diabetesoriginal[[#This Row],[Diabetes]]=$S$1,diabetesoriginal[[#This Row],[Insulin]],NA())</f>
        <v>#N/A</v>
      </c>
    </row>
    <row r="70" spans="1:22" x14ac:dyDescent="0.25">
      <c r="A70" s="5">
        <v>1</v>
      </c>
      <c r="B70" s="5">
        <v>95</v>
      </c>
      <c r="C70" s="5">
        <v>66</v>
      </c>
      <c r="D70" s="5" t="s">
        <v>23</v>
      </c>
      <c r="E70" s="5">
        <v>13</v>
      </c>
      <c r="F70" s="5">
        <v>38</v>
      </c>
      <c r="G70" s="5">
        <v>19.600000000000001</v>
      </c>
      <c r="H70" s="5" t="s">
        <v>31</v>
      </c>
      <c r="I70" s="5">
        <v>0.33400000000000002</v>
      </c>
      <c r="J70" s="5">
        <v>25</v>
      </c>
      <c r="K70" s="5" t="s">
        <v>35</v>
      </c>
      <c r="L70" s="15">
        <v>0</v>
      </c>
      <c r="M70" s="5" t="s">
        <v>57</v>
      </c>
      <c r="N70" s="5" t="s">
        <v>58</v>
      </c>
      <c r="O70" s="5" t="s">
        <v>31</v>
      </c>
      <c r="R70" s="5">
        <f>IF(diabetesoriginal[[#This Row],[Diabetes]]=$R$1,diabetesoriginal[[#This Row],[Skin Thickness]],NA())</f>
        <v>13</v>
      </c>
      <c r="S70" s="5" t="e">
        <f>IF(diabetesoriginal[[#This Row],[Diabetes]]=$S$1,diabetesoriginal[[#This Row],[Skin Thickness]],NA())</f>
        <v>#N/A</v>
      </c>
      <c r="U70" s="5">
        <f>IF(diabetesoriginal[[#This Row],[Diabetes]]=$U$1,diabetesoriginal[[#This Row],[Insulin]],NA())</f>
        <v>38</v>
      </c>
      <c r="V70" s="5" t="e">
        <f>IF(diabetesoriginal[[#This Row],[Diabetes]]=$S$1,diabetesoriginal[[#This Row],[Insulin]],NA())</f>
        <v>#N/A</v>
      </c>
    </row>
    <row r="71" spans="1:22" x14ac:dyDescent="0.25">
      <c r="A71" s="5">
        <v>4</v>
      </c>
      <c r="B71" s="5">
        <v>146</v>
      </c>
      <c r="C71" s="5">
        <v>85</v>
      </c>
      <c r="D71" s="5" t="s">
        <v>25</v>
      </c>
      <c r="E71" s="5">
        <v>27</v>
      </c>
      <c r="F71" s="5">
        <v>100</v>
      </c>
      <c r="G71" s="5">
        <v>28.9</v>
      </c>
      <c r="H71" s="5" t="s">
        <v>30</v>
      </c>
      <c r="I71" s="5">
        <v>0.189</v>
      </c>
      <c r="J71" s="5">
        <v>27</v>
      </c>
      <c r="K71" s="5" t="s">
        <v>35</v>
      </c>
      <c r="L71" s="15">
        <v>0</v>
      </c>
      <c r="M71" s="5" t="s">
        <v>22</v>
      </c>
      <c r="N71" s="5" t="s">
        <v>56</v>
      </c>
      <c r="O71" s="5" t="s">
        <v>31</v>
      </c>
      <c r="R71" s="5">
        <f>IF(diabetesoriginal[[#This Row],[Diabetes]]=$R$1,diabetesoriginal[[#This Row],[Skin Thickness]],NA())</f>
        <v>27</v>
      </c>
      <c r="S71" s="5" t="e">
        <f>IF(diabetesoriginal[[#This Row],[Diabetes]]=$S$1,diabetesoriginal[[#This Row],[Skin Thickness]],NA())</f>
        <v>#N/A</v>
      </c>
      <c r="U71" s="5">
        <f>IF(diabetesoriginal[[#This Row],[Diabetes]]=$U$1,diabetesoriginal[[#This Row],[Insulin]],NA())</f>
        <v>100</v>
      </c>
      <c r="V71" s="5" t="e">
        <f>IF(diabetesoriginal[[#This Row],[Diabetes]]=$S$1,diabetesoriginal[[#This Row],[Insulin]],NA())</f>
        <v>#N/A</v>
      </c>
    </row>
    <row r="72" spans="1:22" x14ac:dyDescent="0.25">
      <c r="A72" s="5">
        <v>2</v>
      </c>
      <c r="B72" s="5">
        <v>100</v>
      </c>
      <c r="C72" s="5">
        <v>66</v>
      </c>
      <c r="D72" s="5" t="s">
        <v>23</v>
      </c>
      <c r="E72" s="5">
        <v>20</v>
      </c>
      <c r="F72" s="5">
        <v>90</v>
      </c>
      <c r="G72" s="5">
        <v>32.9</v>
      </c>
      <c r="H72" s="5" t="s">
        <v>29</v>
      </c>
      <c r="I72" s="5">
        <v>0.86699999999999999</v>
      </c>
      <c r="J72" s="5">
        <v>28</v>
      </c>
      <c r="K72" s="5" t="s">
        <v>35</v>
      </c>
      <c r="L72" s="15">
        <v>1</v>
      </c>
      <c r="M72" s="5" t="s">
        <v>57</v>
      </c>
      <c r="N72" s="5" t="s">
        <v>58</v>
      </c>
      <c r="O72" s="5" t="s">
        <v>31</v>
      </c>
      <c r="R72" s="5" t="e">
        <f>IF(diabetesoriginal[[#This Row],[Diabetes]]=$R$1,diabetesoriginal[[#This Row],[Skin Thickness]],NA())</f>
        <v>#N/A</v>
      </c>
      <c r="S72" s="5">
        <f>IF(diabetesoriginal[[#This Row],[Diabetes]]=$S$1,diabetesoriginal[[#This Row],[Skin Thickness]],NA())</f>
        <v>20</v>
      </c>
      <c r="U72" s="5" t="e">
        <f>IF(diabetesoriginal[[#This Row],[Diabetes]]=$U$1,diabetesoriginal[[#This Row],[Insulin]],NA())</f>
        <v>#N/A</v>
      </c>
      <c r="V72" s="5">
        <f>IF(diabetesoriginal[[#This Row],[Diabetes]]=$S$1,diabetesoriginal[[#This Row],[Insulin]],NA())</f>
        <v>90</v>
      </c>
    </row>
    <row r="73" spans="1:22" x14ac:dyDescent="0.25">
      <c r="A73" s="5">
        <v>5</v>
      </c>
      <c r="B73" s="5">
        <v>139</v>
      </c>
      <c r="C73" s="5">
        <v>64</v>
      </c>
      <c r="D73" s="5" t="s">
        <v>23</v>
      </c>
      <c r="E73" s="5">
        <v>35</v>
      </c>
      <c r="F73" s="5">
        <v>140</v>
      </c>
      <c r="G73" s="5">
        <v>28.6</v>
      </c>
      <c r="H73" s="5" t="s">
        <v>30</v>
      </c>
      <c r="I73" s="5">
        <v>0.41099999999999998</v>
      </c>
      <c r="J73" s="5">
        <v>26</v>
      </c>
      <c r="K73" s="5" t="s">
        <v>35</v>
      </c>
      <c r="L73" s="15">
        <v>0</v>
      </c>
      <c r="M73" s="5" t="s">
        <v>57</v>
      </c>
      <c r="N73" s="5" t="s">
        <v>56</v>
      </c>
      <c r="O73" s="5" t="s">
        <v>31</v>
      </c>
      <c r="R73" s="5">
        <f>IF(diabetesoriginal[[#This Row],[Diabetes]]=$R$1,diabetesoriginal[[#This Row],[Skin Thickness]],NA())</f>
        <v>35</v>
      </c>
      <c r="S73" s="5" t="e">
        <f>IF(diabetesoriginal[[#This Row],[Diabetes]]=$S$1,diabetesoriginal[[#This Row],[Skin Thickness]],NA())</f>
        <v>#N/A</v>
      </c>
      <c r="U73" s="5">
        <f>IF(diabetesoriginal[[#This Row],[Diabetes]]=$U$1,diabetesoriginal[[#This Row],[Insulin]],NA())</f>
        <v>140</v>
      </c>
      <c r="V73" s="5" t="e">
        <f>IF(diabetesoriginal[[#This Row],[Diabetes]]=$S$1,diabetesoriginal[[#This Row],[Insulin]],NA())</f>
        <v>#N/A</v>
      </c>
    </row>
    <row r="74" spans="1:22" x14ac:dyDescent="0.25">
      <c r="A74" s="5">
        <v>13</v>
      </c>
      <c r="B74" s="5">
        <v>126</v>
      </c>
      <c r="C74" s="5">
        <v>90</v>
      </c>
      <c r="D74" s="5" t="s">
        <v>24</v>
      </c>
      <c r="E74" s="5">
        <v>29</v>
      </c>
      <c r="F74" s="5">
        <v>125</v>
      </c>
      <c r="G74" s="5">
        <v>43.4</v>
      </c>
      <c r="H74" s="5" t="s">
        <v>32</v>
      </c>
      <c r="I74" s="5">
        <v>0.58299999999999996</v>
      </c>
      <c r="J74" s="5">
        <v>42</v>
      </c>
      <c r="K74" s="5" t="s">
        <v>37</v>
      </c>
      <c r="L74" s="15">
        <v>1</v>
      </c>
      <c r="M74" s="5" t="s">
        <v>57</v>
      </c>
      <c r="N74" s="5" t="s">
        <v>56</v>
      </c>
      <c r="O74" s="5" t="s">
        <v>31</v>
      </c>
      <c r="R74" s="5" t="e">
        <f>IF(diabetesoriginal[[#This Row],[Diabetes]]=$R$1,diabetesoriginal[[#This Row],[Skin Thickness]],NA())</f>
        <v>#N/A</v>
      </c>
      <c r="S74" s="5">
        <f>IF(diabetesoriginal[[#This Row],[Diabetes]]=$S$1,diabetesoriginal[[#This Row],[Skin Thickness]],NA())</f>
        <v>29</v>
      </c>
      <c r="U74" s="5" t="e">
        <f>IF(diabetesoriginal[[#This Row],[Diabetes]]=$U$1,diabetesoriginal[[#This Row],[Insulin]],NA())</f>
        <v>#N/A</v>
      </c>
      <c r="V74" s="5">
        <f>IF(diabetesoriginal[[#This Row],[Diabetes]]=$S$1,diabetesoriginal[[#This Row],[Insulin]],NA())</f>
        <v>125</v>
      </c>
    </row>
    <row r="75" spans="1:22" x14ac:dyDescent="0.25">
      <c r="A75" s="5">
        <v>4</v>
      </c>
      <c r="B75" s="5">
        <v>129</v>
      </c>
      <c r="C75" s="5">
        <v>86</v>
      </c>
      <c r="D75" s="5" t="s">
        <v>25</v>
      </c>
      <c r="E75" s="5">
        <v>20</v>
      </c>
      <c r="F75" s="5">
        <v>270</v>
      </c>
      <c r="G75" s="5">
        <v>35.1</v>
      </c>
      <c r="H75" s="5" t="s">
        <v>29</v>
      </c>
      <c r="I75" s="5">
        <v>0.23100000000000001</v>
      </c>
      <c r="J75" s="5">
        <v>23</v>
      </c>
      <c r="K75" s="5" t="s">
        <v>35</v>
      </c>
      <c r="L75" s="15">
        <v>0</v>
      </c>
      <c r="M75" s="5" t="s">
        <v>57</v>
      </c>
      <c r="N75" s="5" t="s">
        <v>58</v>
      </c>
      <c r="O75" s="5" t="s">
        <v>59</v>
      </c>
      <c r="R75" s="5">
        <f>IF(diabetesoriginal[[#This Row],[Diabetes]]=$R$1,diabetesoriginal[[#This Row],[Skin Thickness]],NA())</f>
        <v>20</v>
      </c>
      <c r="S75" s="5" t="e">
        <f>IF(diabetesoriginal[[#This Row],[Diabetes]]=$S$1,diabetesoriginal[[#This Row],[Skin Thickness]],NA())</f>
        <v>#N/A</v>
      </c>
      <c r="U75" s="5">
        <f>IF(diabetesoriginal[[#This Row],[Diabetes]]=$U$1,diabetesoriginal[[#This Row],[Insulin]],NA())</f>
        <v>270</v>
      </c>
      <c r="V75" s="5" t="e">
        <f>IF(diabetesoriginal[[#This Row],[Diabetes]]=$S$1,diabetesoriginal[[#This Row],[Insulin]],NA())</f>
        <v>#N/A</v>
      </c>
    </row>
    <row r="76" spans="1:22" x14ac:dyDescent="0.25">
      <c r="A76" s="5">
        <v>1</v>
      </c>
      <c r="B76" s="5">
        <v>79</v>
      </c>
      <c r="C76" s="5">
        <v>75</v>
      </c>
      <c r="D76" s="5" t="s">
        <v>23</v>
      </c>
      <c r="E76" s="5">
        <v>30</v>
      </c>
      <c r="F76" s="5">
        <v>125</v>
      </c>
      <c r="G76" s="5">
        <v>32</v>
      </c>
      <c r="H76" s="5" t="s">
        <v>29</v>
      </c>
      <c r="I76" s="5">
        <v>0.39600000000000002</v>
      </c>
      <c r="J76" s="5">
        <v>22</v>
      </c>
      <c r="K76" s="5" t="s">
        <v>35</v>
      </c>
      <c r="L76" s="15">
        <v>0</v>
      </c>
      <c r="M76" s="5" t="s">
        <v>57</v>
      </c>
      <c r="N76" s="5" t="s">
        <v>56</v>
      </c>
      <c r="O76" s="5" t="s">
        <v>31</v>
      </c>
      <c r="R76" s="5">
        <f>IF(diabetesoriginal[[#This Row],[Diabetes]]=$R$1,diabetesoriginal[[#This Row],[Skin Thickness]],NA())</f>
        <v>30</v>
      </c>
      <c r="S76" s="5" t="e">
        <f>IF(diabetesoriginal[[#This Row],[Diabetes]]=$S$1,diabetesoriginal[[#This Row],[Skin Thickness]],NA())</f>
        <v>#N/A</v>
      </c>
      <c r="U76" s="5">
        <f>IF(diabetesoriginal[[#This Row],[Diabetes]]=$U$1,diabetesoriginal[[#This Row],[Insulin]],NA())</f>
        <v>125</v>
      </c>
      <c r="V76" s="5" t="e">
        <f>IF(diabetesoriginal[[#This Row],[Diabetes]]=$S$1,diabetesoriginal[[#This Row],[Insulin]],NA())</f>
        <v>#N/A</v>
      </c>
    </row>
    <row r="77" spans="1:22" x14ac:dyDescent="0.25">
      <c r="A77" s="5">
        <v>1</v>
      </c>
      <c r="B77" s="5">
        <v>117</v>
      </c>
      <c r="C77" s="5">
        <v>48</v>
      </c>
      <c r="D77" s="5" t="s">
        <v>23</v>
      </c>
      <c r="E77" s="5">
        <v>20</v>
      </c>
      <c r="F77" s="5">
        <v>125</v>
      </c>
      <c r="G77" s="5">
        <v>24.7</v>
      </c>
      <c r="H77" s="5" t="s">
        <v>31</v>
      </c>
      <c r="I77" s="5">
        <v>0.14000000000000001</v>
      </c>
      <c r="J77" s="5">
        <v>22</v>
      </c>
      <c r="K77" s="5" t="s">
        <v>35</v>
      </c>
      <c r="L77" s="15">
        <v>0</v>
      </c>
      <c r="M77" s="5" t="s">
        <v>57</v>
      </c>
      <c r="N77" s="5" t="s">
        <v>58</v>
      </c>
      <c r="O77" s="5" t="s">
        <v>31</v>
      </c>
      <c r="R77" s="5">
        <f>IF(diabetesoriginal[[#This Row],[Diabetes]]=$R$1,diabetesoriginal[[#This Row],[Skin Thickness]],NA())</f>
        <v>20</v>
      </c>
      <c r="S77" s="5" t="e">
        <f>IF(diabetesoriginal[[#This Row],[Diabetes]]=$S$1,diabetesoriginal[[#This Row],[Skin Thickness]],NA())</f>
        <v>#N/A</v>
      </c>
      <c r="U77" s="5">
        <f>IF(diabetesoriginal[[#This Row],[Diabetes]]=$U$1,diabetesoriginal[[#This Row],[Insulin]],NA())</f>
        <v>125</v>
      </c>
      <c r="V77" s="5" t="e">
        <f>IF(diabetesoriginal[[#This Row],[Diabetes]]=$S$1,diabetesoriginal[[#This Row],[Insulin]],NA())</f>
        <v>#N/A</v>
      </c>
    </row>
    <row r="78" spans="1:22" x14ac:dyDescent="0.25">
      <c r="A78" s="5">
        <v>7</v>
      </c>
      <c r="B78" s="5">
        <v>62</v>
      </c>
      <c r="C78" s="5">
        <v>78</v>
      </c>
      <c r="D78" s="5" t="s">
        <v>23</v>
      </c>
      <c r="E78" s="5">
        <v>29</v>
      </c>
      <c r="F78" s="5">
        <v>125</v>
      </c>
      <c r="G78" s="5">
        <v>32.6</v>
      </c>
      <c r="H78" s="5" t="s">
        <v>29</v>
      </c>
      <c r="I78" s="5">
        <v>0.39100000000000001</v>
      </c>
      <c r="J78" s="5">
        <v>41</v>
      </c>
      <c r="K78" s="5" t="s">
        <v>37</v>
      </c>
      <c r="L78" s="15">
        <v>0</v>
      </c>
      <c r="M78" s="5" t="s">
        <v>57</v>
      </c>
      <c r="N78" s="5" t="s">
        <v>56</v>
      </c>
      <c r="O78" s="5" t="s">
        <v>31</v>
      </c>
      <c r="R78" s="5">
        <f>IF(diabetesoriginal[[#This Row],[Diabetes]]=$R$1,diabetesoriginal[[#This Row],[Skin Thickness]],NA())</f>
        <v>29</v>
      </c>
      <c r="S78" s="5" t="e">
        <f>IF(diabetesoriginal[[#This Row],[Diabetes]]=$S$1,diabetesoriginal[[#This Row],[Skin Thickness]],NA())</f>
        <v>#N/A</v>
      </c>
      <c r="U78" s="5">
        <f>IF(diabetesoriginal[[#This Row],[Diabetes]]=$U$1,diabetesoriginal[[#This Row],[Insulin]],NA())</f>
        <v>125</v>
      </c>
      <c r="V78" s="5" t="e">
        <f>IF(diabetesoriginal[[#This Row],[Diabetes]]=$S$1,diabetesoriginal[[#This Row],[Insulin]],NA())</f>
        <v>#N/A</v>
      </c>
    </row>
    <row r="79" spans="1:22" x14ac:dyDescent="0.25">
      <c r="A79" s="5">
        <v>5</v>
      </c>
      <c r="B79" s="5">
        <v>95</v>
      </c>
      <c r="C79" s="5">
        <v>72</v>
      </c>
      <c r="D79" s="5" t="s">
        <v>23</v>
      </c>
      <c r="E79" s="5">
        <v>33</v>
      </c>
      <c r="F79" s="5">
        <v>125</v>
      </c>
      <c r="G79" s="5">
        <v>37.700000000000003</v>
      </c>
      <c r="H79" s="5" t="s">
        <v>29</v>
      </c>
      <c r="I79" s="5">
        <v>0.37</v>
      </c>
      <c r="J79" s="5">
        <v>27</v>
      </c>
      <c r="K79" s="5" t="s">
        <v>35</v>
      </c>
      <c r="L79" s="15">
        <v>0</v>
      </c>
      <c r="M79" s="5" t="s">
        <v>57</v>
      </c>
      <c r="N79" s="5" t="s">
        <v>56</v>
      </c>
      <c r="O79" s="5" t="s">
        <v>31</v>
      </c>
      <c r="R79" s="5">
        <f>IF(diabetesoriginal[[#This Row],[Diabetes]]=$R$1,diabetesoriginal[[#This Row],[Skin Thickness]],NA())</f>
        <v>33</v>
      </c>
      <c r="S79" s="5" t="e">
        <f>IF(diabetesoriginal[[#This Row],[Diabetes]]=$S$1,diabetesoriginal[[#This Row],[Skin Thickness]],NA())</f>
        <v>#N/A</v>
      </c>
      <c r="U79" s="5">
        <f>IF(diabetesoriginal[[#This Row],[Diabetes]]=$U$1,diabetesoriginal[[#This Row],[Insulin]],NA())</f>
        <v>125</v>
      </c>
      <c r="V79" s="5" t="e">
        <f>IF(diabetesoriginal[[#This Row],[Diabetes]]=$S$1,diabetesoriginal[[#This Row],[Insulin]],NA())</f>
        <v>#N/A</v>
      </c>
    </row>
    <row r="80" spans="1:22" x14ac:dyDescent="0.25">
      <c r="A80" s="5">
        <v>0</v>
      </c>
      <c r="B80" s="5">
        <v>131</v>
      </c>
      <c r="C80" s="5">
        <v>72</v>
      </c>
      <c r="D80" s="5" t="s">
        <v>23</v>
      </c>
      <c r="E80" s="5">
        <v>29</v>
      </c>
      <c r="F80" s="5">
        <v>125</v>
      </c>
      <c r="G80" s="5">
        <v>43.2</v>
      </c>
      <c r="H80" s="5" t="s">
        <v>32</v>
      </c>
      <c r="I80" s="5">
        <v>0.27</v>
      </c>
      <c r="J80" s="5">
        <v>26</v>
      </c>
      <c r="K80" s="5" t="s">
        <v>35</v>
      </c>
      <c r="L80" s="15">
        <v>1</v>
      </c>
      <c r="M80" s="5" t="s">
        <v>57</v>
      </c>
      <c r="N80" s="5" t="s">
        <v>56</v>
      </c>
      <c r="O80" s="5" t="s">
        <v>31</v>
      </c>
      <c r="R80" s="5" t="e">
        <f>IF(diabetesoriginal[[#This Row],[Diabetes]]=$R$1,diabetesoriginal[[#This Row],[Skin Thickness]],NA())</f>
        <v>#N/A</v>
      </c>
      <c r="S80" s="5">
        <f>IF(diabetesoriginal[[#This Row],[Diabetes]]=$S$1,diabetesoriginal[[#This Row],[Skin Thickness]],NA())</f>
        <v>29</v>
      </c>
      <c r="U80" s="5" t="e">
        <f>IF(diabetesoriginal[[#This Row],[Diabetes]]=$U$1,diabetesoriginal[[#This Row],[Insulin]],NA())</f>
        <v>#N/A</v>
      </c>
      <c r="V80" s="5">
        <f>IF(diabetesoriginal[[#This Row],[Diabetes]]=$S$1,diabetesoriginal[[#This Row],[Insulin]],NA())</f>
        <v>125</v>
      </c>
    </row>
    <row r="81" spans="1:22" x14ac:dyDescent="0.25">
      <c r="A81" s="5">
        <v>2</v>
      </c>
      <c r="B81" s="5">
        <v>112</v>
      </c>
      <c r="C81" s="5">
        <v>66</v>
      </c>
      <c r="D81" s="5" t="s">
        <v>23</v>
      </c>
      <c r="E81" s="5">
        <v>22</v>
      </c>
      <c r="F81" s="5">
        <v>125</v>
      </c>
      <c r="G81" s="5">
        <v>25</v>
      </c>
      <c r="H81" s="5" t="s">
        <v>30</v>
      </c>
      <c r="I81" s="5">
        <v>0.307</v>
      </c>
      <c r="J81" s="5">
        <v>24</v>
      </c>
      <c r="K81" s="5" t="s">
        <v>35</v>
      </c>
      <c r="L81" s="15">
        <v>0</v>
      </c>
      <c r="M81" s="5" t="s">
        <v>57</v>
      </c>
      <c r="N81" s="5" t="s">
        <v>58</v>
      </c>
      <c r="O81" s="5" t="s">
        <v>31</v>
      </c>
      <c r="R81" s="5">
        <f>IF(diabetesoriginal[[#This Row],[Diabetes]]=$R$1,diabetesoriginal[[#This Row],[Skin Thickness]],NA())</f>
        <v>22</v>
      </c>
      <c r="S81" s="5" t="e">
        <f>IF(diabetesoriginal[[#This Row],[Diabetes]]=$S$1,diabetesoriginal[[#This Row],[Skin Thickness]],NA())</f>
        <v>#N/A</v>
      </c>
      <c r="U81" s="5">
        <f>IF(diabetesoriginal[[#This Row],[Diabetes]]=$U$1,diabetesoriginal[[#This Row],[Insulin]],NA())</f>
        <v>125</v>
      </c>
      <c r="V81" s="5" t="e">
        <f>IF(diabetesoriginal[[#This Row],[Diabetes]]=$S$1,diabetesoriginal[[#This Row],[Insulin]],NA())</f>
        <v>#N/A</v>
      </c>
    </row>
    <row r="82" spans="1:22" x14ac:dyDescent="0.25">
      <c r="A82" s="5">
        <v>3</v>
      </c>
      <c r="B82" s="5">
        <v>113</v>
      </c>
      <c r="C82" s="5">
        <v>44</v>
      </c>
      <c r="D82" s="5" t="s">
        <v>23</v>
      </c>
      <c r="E82" s="5">
        <v>13</v>
      </c>
      <c r="F82" s="5">
        <v>125</v>
      </c>
      <c r="G82" s="5">
        <v>22.4</v>
      </c>
      <c r="H82" s="5" t="s">
        <v>31</v>
      </c>
      <c r="I82" s="5">
        <v>0.14000000000000001</v>
      </c>
      <c r="J82" s="5">
        <v>22</v>
      </c>
      <c r="K82" s="5" t="s">
        <v>35</v>
      </c>
      <c r="L82" s="15">
        <v>0</v>
      </c>
      <c r="M82" s="5" t="s">
        <v>57</v>
      </c>
      <c r="N82" s="5" t="s">
        <v>58</v>
      </c>
      <c r="O82" s="5" t="s">
        <v>31</v>
      </c>
      <c r="R82" s="5">
        <f>IF(diabetesoriginal[[#This Row],[Diabetes]]=$R$1,diabetesoriginal[[#This Row],[Skin Thickness]],NA())</f>
        <v>13</v>
      </c>
      <c r="S82" s="5" t="e">
        <f>IF(diabetesoriginal[[#This Row],[Diabetes]]=$S$1,diabetesoriginal[[#This Row],[Skin Thickness]],NA())</f>
        <v>#N/A</v>
      </c>
      <c r="U82" s="5">
        <f>IF(diabetesoriginal[[#This Row],[Diabetes]]=$U$1,diabetesoriginal[[#This Row],[Insulin]],NA())</f>
        <v>125</v>
      </c>
      <c r="V82" s="5" t="e">
        <f>IF(diabetesoriginal[[#This Row],[Diabetes]]=$S$1,diabetesoriginal[[#This Row],[Insulin]],NA())</f>
        <v>#N/A</v>
      </c>
    </row>
    <row r="83" spans="1:22" x14ac:dyDescent="0.25">
      <c r="A83" s="5">
        <v>2</v>
      </c>
      <c r="B83" s="5">
        <v>74</v>
      </c>
      <c r="C83" s="5">
        <v>72</v>
      </c>
      <c r="D83" s="5" t="s">
        <v>23</v>
      </c>
      <c r="E83" s="5">
        <v>29</v>
      </c>
      <c r="F83" s="5">
        <v>125</v>
      </c>
      <c r="G83" s="5">
        <v>32.299999999999997</v>
      </c>
      <c r="H83" s="5" t="s">
        <v>29</v>
      </c>
      <c r="I83" s="5">
        <v>0.10199999999999999</v>
      </c>
      <c r="J83" s="5">
        <v>22</v>
      </c>
      <c r="K83" s="5" t="s">
        <v>35</v>
      </c>
      <c r="L83" s="15">
        <v>0</v>
      </c>
      <c r="M83" s="5" t="s">
        <v>57</v>
      </c>
      <c r="N83" s="5" t="s">
        <v>56</v>
      </c>
      <c r="O83" s="5" t="s">
        <v>31</v>
      </c>
      <c r="R83" s="5">
        <f>IF(diabetesoriginal[[#This Row],[Diabetes]]=$R$1,diabetesoriginal[[#This Row],[Skin Thickness]],NA())</f>
        <v>29</v>
      </c>
      <c r="S83" s="5" t="e">
        <f>IF(diabetesoriginal[[#This Row],[Diabetes]]=$S$1,diabetesoriginal[[#This Row],[Skin Thickness]],NA())</f>
        <v>#N/A</v>
      </c>
      <c r="U83" s="5">
        <f>IF(diabetesoriginal[[#This Row],[Diabetes]]=$U$1,diabetesoriginal[[#This Row],[Insulin]],NA())</f>
        <v>125</v>
      </c>
      <c r="V83" s="5" t="e">
        <f>IF(diabetesoriginal[[#This Row],[Diabetes]]=$S$1,diabetesoriginal[[#This Row],[Insulin]],NA())</f>
        <v>#N/A</v>
      </c>
    </row>
    <row r="84" spans="1:22" x14ac:dyDescent="0.25">
      <c r="A84" s="5">
        <v>7</v>
      </c>
      <c r="B84" s="5">
        <v>83</v>
      </c>
      <c r="C84" s="5">
        <v>78</v>
      </c>
      <c r="D84" s="5" t="s">
        <v>23</v>
      </c>
      <c r="E84" s="5">
        <v>26</v>
      </c>
      <c r="F84" s="5">
        <v>71</v>
      </c>
      <c r="G84" s="5">
        <v>29.3</v>
      </c>
      <c r="H84" s="5" t="s">
        <v>30</v>
      </c>
      <c r="I84" s="5">
        <v>0.76700000000000002</v>
      </c>
      <c r="J84" s="5">
        <v>36</v>
      </c>
      <c r="K84" s="5" t="s">
        <v>36</v>
      </c>
      <c r="L84" s="15">
        <v>0</v>
      </c>
      <c r="M84" s="5" t="s">
        <v>57</v>
      </c>
      <c r="N84" s="5" t="s">
        <v>56</v>
      </c>
      <c r="O84" s="5" t="s">
        <v>31</v>
      </c>
      <c r="R84" s="5">
        <f>IF(diabetesoriginal[[#This Row],[Diabetes]]=$R$1,diabetesoriginal[[#This Row],[Skin Thickness]],NA())</f>
        <v>26</v>
      </c>
      <c r="S84" s="5" t="e">
        <f>IF(diabetesoriginal[[#This Row],[Diabetes]]=$S$1,diabetesoriginal[[#This Row],[Skin Thickness]],NA())</f>
        <v>#N/A</v>
      </c>
      <c r="U84" s="5">
        <f>IF(diabetesoriginal[[#This Row],[Diabetes]]=$U$1,diabetesoriginal[[#This Row],[Insulin]],NA())</f>
        <v>71</v>
      </c>
      <c r="V84" s="5" t="e">
        <f>IF(diabetesoriginal[[#This Row],[Diabetes]]=$S$1,diabetesoriginal[[#This Row],[Insulin]],NA())</f>
        <v>#N/A</v>
      </c>
    </row>
    <row r="85" spans="1:22" x14ac:dyDescent="0.25">
      <c r="A85" s="5">
        <v>0</v>
      </c>
      <c r="B85" s="5">
        <v>101</v>
      </c>
      <c r="C85" s="5">
        <v>65</v>
      </c>
      <c r="D85" s="5" t="s">
        <v>23</v>
      </c>
      <c r="E85" s="5">
        <v>28</v>
      </c>
      <c r="F85" s="5">
        <v>125</v>
      </c>
      <c r="G85" s="5">
        <v>24.6</v>
      </c>
      <c r="H85" s="5" t="s">
        <v>31</v>
      </c>
      <c r="I85" s="5">
        <v>0.23699999999999999</v>
      </c>
      <c r="J85" s="5">
        <v>22</v>
      </c>
      <c r="K85" s="5" t="s">
        <v>35</v>
      </c>
      <c r="L85" s="15">
        <v>0</v>
      </c>
      <c r="M85" s="5" t="s">
        <v>57</v>
      </c>
      <c r="N85" s="5" t="s">
        <v>56</v>
      </c>
      <c r="O85" s="5" t="s">
        <v>31</v>
      </c>
      <c r="R85" s="5">
        <f>IF(diabetesoriginal[[#This Row],[Diabetes]]=$R$1,diabetesoriginal[[#This Row],[Skin Thickness]],NA())</f>
        <v>28</v>
      </c>
      <c r="S85" s="5" t="e">
        <f>IF(diabetesoriginal[[#This Row],[Diabetes]]=$S$1,diabetesoriginal[[#This Row],[Skin Thickness]],NA())</f>
        <v>#N/A</v>
      </c>
      <c r="U85" s="5">
        <f>IF(diabetesoriginal[[#This Row],[Diabetes]]=$U$1,diabetesoriginal[[#This Row],[Insulin]],NA())</f>
        <v>125</v>
      </c>
      <c r="V85" s="5" t="e">
        <f>IF(diabetesoriginal[[#This Row],[Diabetes]]=$S$1,diabetesoriginal[[#This Row],[Insulin]],NA())</f>
        <v>#N/A</v>
      </c>
    </row>
    <row r="86" spans="1:22" x14ac:dyDescent="0.25">
      <c r="A86" s="5">
        <v>5</v>
      </c>
      <c r="B86" s="5">
        <v>137</v>
      </c>
      <c r="C86" s="5">
        <v>108</v>
      </c>
      <c r="D86" s="5" t="s">
        <v>26</v>
      </c>
      <c r="E86" s="5">
        <v>29</v>
      </c>
      <c r="F86" s="5">
        <v>125</v>
      </c>
      <c r="G86" s="5">
        <v>48.8</v>
      </c>
      <c r="H86" s="5" t="s">
        <v>32</v>
      </c>
      <c r="I86" s="5">
        <v>0.22700000000000001</v>
      </c>
      <c r="J86" s="5">
        <v>37</v>
      </c>
      <c r="K86" s="5" t="s">
        <v>36</v>
      </c>
      <c r="L86" s="15">
        <v>1</v>
      </c>
      <c r="M86" s="5" t="s">
        <v>57</v>
      </c>
      <c r="N86" s="5" t="s">
        <v>56</v>
      </c>
      <c r="O86" s="5" t="s">
        <v>31</v>
      </c>
      <c r="R86" s="5" t="e">
        <f>IF(diabetesoriginal[[#This Row],[Diabetes]]=$R$1,diabetesoriginal[[#This Row],[Skin Thickness]],NA())</f>
        <v>#N/A</v>
      </c>
      <c r="S86" s="5">
        <f>IF(diabetesoriginal[[#This Row],[Diabetes]]=$S$1,diabetesoriginal[[#This Row],[Skin Thickness]],NA())</f>
        <v>29</v>
      </c>
      <c r="U86" s="5" t="e">
        <f>IF(diabetesoriginal[[#This Row],[Diabetes]]=$U$1,diabetesoriginal[[#This Row],[Insulin]],NA())</f>
        <v>#N/A</v>
      </c>
      <c r="V86" s="5">
        <f>IF(diabetesoriginal[[#This Row],[Diabetes]]=$S$1,diabetesoriginal[[#This Row],[Insulin]],NA())</f>
        <v>125</v>
      </c>
    </row>
    <row r="87" spans="1:22" x14ac:dyDescent="0.25">
      <c r="A87" s="5">
        <v>2</v>
      </c>
      <c r="B87" s="5">
        <v>110</v>
      </c>
      <c r="C87" s="5">
        <v>74</v>
      </c>
      <c r="D87" s="5" t="s">
        <v>23</v>
      </c>
      <c r="E87" s="5">
        <v>29</v>
      </c>
      <c r="F87" s="5">
        <v>125</v>
      </c>
      <c r="G87" s="5">
        <v>32.4</v>
      </c>
      <c r="H87" s="5" t="s">
        <v>29</v>
      </c>
      <c r="I87" s="5">
        <v>0.69799999999999995</v>
      </c>
      <c r="J87" s="5">
        <v>27</v>
      </c>
      <c r="K87" s="5" t="s">
        <v>35</v>
      </c>
      <c r="L87" s="15">
        <v>0</v>
      </c>
      <c r="M87" s="5" t="s">
        <v>57</v>
      </c>
      <c r="N87" s="5" t="s">
        <v>56</v>
      </c>
      <c r="O87" s="5" t="s">
        <v>31</v>
      </c>
      <c r="R87" s="5">
        <f>IF(diabetesoriginal[[#This Row],[Diabetes]]=$R$1,diabetesoriginal[[#This Row],[Skin Thickness]],NA())</f>
        <v>29</v>
      </c>
      <c r="S87" s="5" t="e">
        <f>IF(diabetesoriginal[[#This Row],[Diabetes]]=$S$1,diabetesoriginal[[#This Row],[Skin Thickness]],NA())</f>
        <v>#N/A</v>
      </c>
      <c r="U87" s="5">
        <f>IF(diabetesoriginal[[#This Row],[Diabetes]]=$U$1,diabetesoriginal[[#This Row],[Insulin]],NA())</f>
        <v>125</v>
      </c>
      <c r="V87" s="5" t="e">
        <f>IF(diabetesoriginal[[#This Row],[Diabetes]]=$S$1,diabetesoriginal[[#This Row],[Insulin]],NA())</f>
        <v>#N/A</v>
      </c>
    </row>
    <row r="88" spans="1:22" x14ac:dyDescent="0.25">
      <c r="A88" s="5">
        <v>13</v>
      </c>
      <c r="B88" s="5">
        <v>106</v>
      </c>
      <c r="C88" s="5">
        <v>72</v>
      </c>
      <c r="D88" s="5" t="s">
        <v>23</v>
      </c>
      <c r="E88" s="5">
        <v>54</v>
      </c>
      <c r="F88" s="5">
        <v>125</v>
      </c>
      <c r="G88" s="5">
        <v>36.6</v>
      </c>
      <c r="H88" s="5" t="s">
        <v>29</v>
      </c>
      <c r="I88" s="5">
        <v>0.17799999999999999</v>
      </c>
      <c r="J88" s="5">
        <v>45</v>
      </c>
      <c r="K88" s="5" t="s">
        <v>37</v>
      </c>
      <c r="L88" s="15">
        <v>0</v>
      </c>
      <c r="M88" s="5" t="s">
        <v>57</v>
      </c>
      <c r="N88" s="5" t="s">
        <v>56</v>
      </c>
      <c r="O88" s="5" t="s">
        <v>31</v>
      </c>
      <c r="R88" s="5">
        <f>IF(diabetesoriginal[[#This Row],[Diabetes]]=$R$1,diabetesoriginal[[#This Row],[Skin Thickness]],NA())</f>
        <v>54</v>
      </c>
      <c r="S88" s="5" t="e">
        <f>IF(diabetesoriginal[[#This Row],[Diabetes]]=$S$1,diabetesoriginal[[#This Row],[Skin Thickness]],NA())</f>
        <v>#N/A</v>
      </c>
      <c r="U88" s="5">
        <f>IF(diabetesoriginal[[#This Row],[Diabetes]]=$U$1,diabetesoriginal[[#This Row],[Insulin]],NA())</f>
        <v>125</v>
      </c>
      <c r="V88" s="5" t="e">
        <f>IF(diabetesoriginal[[#This Row],[Diabetes]]=$S$1,diabetesoriginal[[#This Row],[Insulin]],NA())</f>
        <v>#N/A</v>
      </c>
    </row>
    <row r="89" spans="1:22" x14ac:dyDescent="0.25">
      <c r="A89" s="5">
        <v>2</v>
      </c>
      <c r="B89" s="5">
        <v>100</v>
      </c>
      <c r="C89" s="5">
        <v>68</v>
      </c>
      <c r="D89" s="5" t="s">
        <v>23</v>
      </c>
      <c r="E89" s="5">
        <v>25</v>
      </c>
      <c r="F89" s="5">
        <v>71</v>
      </c>
      <c r="G89" s="5">
        <v>38.5</v>
      </c>
      <c r="H89" s="5" t="s">
        <v>29</v>
      </c>
      <c r="I89" s="5">
        <v>0.32400000000000001</v>
      </c>
      <c r="J89" s="5">
        <v>26</v>
      </c>
      <c r="K89" s="5" t="s">
        <v>35</v>
      </c>
      <c r="L89" s="15">
        <v>0</v>
      </c>
      <c r="M89" s="5" t="s">
        <v>57</v>
      </c>
      <c r="N89" s="5" t="s">
        <v>56</v>
      </c>
      <c r="O89" s="5" t="s">
        <v>31</v>
      </c>
      <c r="R89" s="5">
        <f>IF(diabetesoriginal[[#This Row],[Diabetes]]=$R$1,diabetesoriginal[[#This Row],[Skin Thickness]],NA())</f>
        <v>25</v>
      </c>
      <c r="S89" s="5" t="e">
        <f>IF(diabetesoriginal[[#This Row],[Diabetes]]=$S$1,diabetesoriginal[[#This Row],[Skin Thickness]],NA())</f>
        <v>#N/A</v>
      </c>
      <c r="U89" s="5">
        <f>IF(diabetesoriginal[[#This Row],[Diabetes]]=$U$1,diabetesoriginal[[#This Row],[Insulin]],NA())</f>
        <v>71</v>
      </c>
      <c r="V89" s="5" t="e">
        <f>IF(diabetesoriginal[[#This Row],[Diabetes]]=$S$1,diabetesoriginal[[#This Row],[Insulin]],NA())</f>
        <v>#N/A</v>
      </c>
    </row>
    <row r="90" spans="1:22" x14ac:dyDescent="0.25">
      <c r="A90" s="5">
        <v>15</v>
      </c>
      <c r="B90" s="5">
        <v>136</v>
      </c>
      <c r="C90" s="5">
        <v>70</v>
      </c>
      <c r="D90" s="5" t="s">
        <v>23</v>
      </c>
      <c r="E90" s="5">
        <v>32</v>
      </c>
      <c r="F90" s="5">
        <v>110</v>
      </c>
      <c r="G90" s="5">
        <v>37.1</v>
      </c>
      <c r="H90" s="5" t="s">
        <v>29</v>
      </c>
      <c r="I90" s="5">
        <v>0.153</v>
      </c>
      <c r="J90" s="5">
        <v>43</v>
      </c>
      <c r="K90" s="5" t="s">
        <v>37</v>
      </c>
      <c r="L90" s="15">
        <v>1</v>
      </c>
      <c r="M90" s="5" t="s">
        <v>57</v>
      </c>
      <c r="N90" s="5" t="s">
        <v>56</v>
      </c>
      <c r="O90" s="5" t="s">
        <v>31</v>
      </c>
      <c r="R90" s="5" t="e">
        <f>IF(diabetesoriginal[[#This Row],[Diabetes]]=$R$1,diabetesoriginal[[#This Row],[Skin Thickness]],NA())</f>
        <v>#N/A</v>
      </c>
      <c r="S90" s="5">
        <f>IF(diabetesoriginal[[#This Row],[Diabetes]]=$S$1,diabetesoriginal[[#This Row],[Skin Thickness]],NA())</f>
        <v>32</v>
      </c>
      <c r="U90" s="5" t="e">
        <f>IF(diabetesoriginal[[#This Row],[Diabetes]]=$U$1,diabetesoriginal[[#This Row],[Insulin]],NA())</f>
        <v>#N/A</v>
      </c>
      <c r="V90" s="5">
        <f>IF(diabetesoriginal[[#This Row],[Diabetes]]=$S$1,diabetesoriginal[[#This Row],[Insulin]],NA())</f>
        <v>110</v>
      </c>
    </row>
    <row r="91" spans="1:22" x14ac:dyDescent="0.25">
      <c r="A91" s="5">
        <v>1</v>
      </c>
      <c r="B91" s="5">
        <v>107</v>
      </c>
      <c r="C91" s="5">
        <v>68</v>
      </c>
      <c r="D91" s="5" t="s">
        <v>23</v>
      </c>
      <c r="E91" s="5">
        <v>19</v>
      </c>
      <c r="F91" s="5">
        <v>125</v>
      </c>
      <c r="G91" s="5">
        <v>26.5</v>
      </c>
      <c r="H91" s="5" t="s">
        <v>30</v>
      </c>
      <c r="I91" s="5">
        <v>0.16500000000000001</v>
      </c>
      <c r="J91" s="5">
        <v>24</v>
      </c>
      <c r="K91" s="5" t="s">
        <v>35</v>
      </c>
      <c r="L91" s="15">
        <v>0</v>
      </c>
      <c r="M91" s="5" t="s">
        <v>57</v>
      </c>
      <c r="N91" s="5" t="s">
        <v>58</v>
      </c>
      <c r="O91" s="5" t="s">
        <v>31</v>
      </c>
      <c r="R91" s="5">
        <f>IF(diabetesoriginal[[#This Row],[Diabetes]]=$R$1,diabetesoriginal[[#This Row],[Skin Thickness]],NA())</f>
        <v>19</v>
      </c>
      <c r="S91" s="5" t="e">
        <f>IF(diabetesoriginal[[#This Row],[Diabetes]]=$S$1,diabetesoriginal[[#This Row],[Skin Thickness]],NA())</f>
        <v>#N/A</v>
      </c>
      <c r="U91" s="5">
        <f>IF(diabetesoriginal[[#This Row],[Diabetes]]=$U$1,diabetesoriginal[[#This Row],[Insulin]],NA())</f>
        <v>125</v>
      </c>
      <c r="V91" s="5" t="e">
        <f>IF(diabetesoriginal[[#This Row],[Diabetes]]=$S$1,diabetesoriginal[[#This Row],[Insulin]],NA())</f>
        <v>#N/A</v>
      </c>
    </row>
    <row r="92" spans="1:22" x14ac:dyDescent="0.25">
      <c r="A92" s="5">
        <v>1</v>
      </c>
      <c r="B92" s="5">
        <v>80</v>
      </c>
      <c r="C92" s="5">
        <v>55</v>
      </c>
      <c r="D92" s="5" t="s">
        <v>23</v>
      </c>
      <c r="E92" s="5">
        <v>29</v>
      </c>
      <c r="F92" s="5">
        <v>125</v>
      </c>
      <c r="G92" s="5">
        <v>19.100000000000001</v>
      </c>
      <c r="H92" s="5" t="s">
        <v>31</v>
      </c>
      <c r="I92" s="5">
        <v>0.25800000000000001</v>
      </c>
      <c r="J92" s="5">
        <v>21</v>
      </c>
      <c r="K92" s="5" t="s">
        <v>35</v>
      </c>
      <c r="L92" s="15">
        <v>0</v>
      </c>
      <c r="M92" s="5" t="s">
        <v>57</v>
      </c>
      <c r="N92" s="5" t="s">
        <v>56</v>
      </c>
      <c r="O92" s="5" t="s">
        <v>31</v>
      </c>
      <c r="R92" s="5">
        <f>IF(diabetesoriginal[[#This Row],[Diabetes]]=$R$1,diabetesoriginal[[#This Row],[Skin Thickness]],NA())</f>
        <v>29</v>
      </c>
      <c r="S92" s="5" t="e">
        <f>IF(diabetesoriginal[[#This Row],[Diabetes]]=$S$1,diabetesoriginal[[#This Row],[Skin Thickness]],NA())</f>
        <v>#N/A</v>
      </c>
      <c r="U92" s="5">
        <f>IF(diabetesoriginal[[#This Row],[Diabetes]]=$U$1,diabetesoriginal[[#This Row],[Insulin]],NA())</f>
        <v>125</v>
      </c>
      <c r="V92" s="5" t="e">
        <f>IF(diabetesoriginal[[#This Row],[Diabetes]]=$S$1,diabetesoriginal[[#This Row],[Insulin]],NA())</f>
        <v>#N/A</v>
      </c>
    </row>
    <row r="93" spans="1:22" x14ac:dyDescent="0.25">
      <c r="A93" s="5">
        <v>4</v>
      </c>
      <c r="B93" s="5">
        <v>123</v>
      </c>
      <c r="C93" s="5">
        <v>80</v>
      </c>
      <c r="D93" s="5" t="s">
        <v>25</v>
      </c>
      <c r="E93" s="5">
        <v>15</v>
      </c>
      <c r="F93" s="5">
        <v>176</v>
      </c>
      <c r="G93" s="5">
        <v>32</v>
      </c>
      <c r="H93" s="5" t="s">
        <v>29</v>
      </c>
      <c r="I93" s="5">
        <v>0.443</v>
      </c>
      <c r="J93" s="5">
        <v>34</v>
      </c>
      <c r="K93" s="5" t="s">
        <v>36</v>
      </c>
      <c r="L93" s="15">
        <v>0</v>
      </c>
      <c r="M93" s="5" t="s">
        <v>57</v>
      </c>
      <c r="N93" s="5" t="s">
        <v>58</v>
      </c>
      <c r="O93" s="5" t="s">
        <v>59</v>
      </c>
      <c r="R93" s="5">
        <f>IF(diabetesoriginal[[#This Row],[Diabetes]]=$R$1,diabetesoriginal[[#This Row],[Skin Thickness]],NA())</f>
        <v>15</v>
      </c>
      <c r="S93" s="5" t="e">
        <f>IF(diabetesoriginal[[#This Row],[Diabetes]]=$S$1,diabetesoriginal[[#This Row],[Skin Thickness]],NA())</f>
        <v>#N/A</v>
      </c>
      <c r="U93" s="5">
        <f>IF(diabetesoriginal[[#This Row],[Diabetes]]=$U$1,diabetesoriginal[[#This Row],[Insulin]],NA())</f>
        <v>176</v>
      </c>
      <c r="V93" s="5" t="e">
        <f>IF(diabetesoriginal[[#This Row],[Diabetes]]=$S$1,diabetesoriginal[[#This Row],[Insulin]],NA())</f>
        <v>#N/A</v>
      </c>
    </row>
    <row r="94" spans="1:22" x14ac:dyDescent="0.25">
      <c r="A94" s="5">
        <v>7</v>
      </c>
      <c r="B94" s="5">
        <v>81</v>
      </c>
      <c r="C94" s="5">
        <v>78</v>
      </c>
      <c r="D94" s="5" t="s">
        <v>23</v>
      </c>
      <c r="E94" s="5">
        <v>40</v>
      </c>
      <c r="F94" s="5">
        <v>48</v>
      </c>
      <c r="G94" s="5">
        <v>46.7</v>
      </c>
      <c r="H94" s="5" t="s">
        <v>32</v>
      </c>
      <c r="I94" s="5">
        <v>0.26100000000000001</v>
      </c>
      <c r="J94" s="5">
        <v>42</v>
      </c>
      <c r="K94" s="5" t="s">
        <v>37</v>
      </c>
      <c r="L94" s="15">
        <v>0</v>
      </c>
      <c r="M94" s="5" t="s">
        <v>57</v>
      </c>
      <c r="N94" s="5" t="s">
        <v>56</v>
      </c>
      <c r="O94" s="5" t="s">
        <v>31</v>
      </c>
      <c r="R94" s="5">
        <f>IF(diabetesoriginal[[#This Row],[Diabetes]]=$R$1,diabetesoriginal[[#This Row],[Skin Thickness]],NA())</f>
        <v>40</v>
      </c>
      <c r="S94" s="5" t="e">
        <f>IF(diabetesoriginal[[#This Row],[Diabetes]]=$S$1,diabetesoriginal[[#This Row],[Skin Thickness]],NA())</f>
        <v>#N/A</v>
      </c>
      <c r="U94" s="5">
        <f>IF(diabetesoriginal[[#This Row],[Diabetes]]=$U$1,diabetesoriginal[[#This Row],[Insulin]],NA())</f>
        <v>48</v>
      </c>
      <c r="V94" s="5" t="e">
        <f>IF(diabetesoriginal[[#This Row],[Diabetes]]=$S$1,diabetesoriginal[[#This Row],[Insulin]],NA())</f>
        <v>#N/A</v>
      </c>
    </row>
    <row r="95" spans="1:22" x14ac:dyDescent="0.25">
      <c r="A95" s="5">
        <v>4</v>
      </c>
      <c r="B95" s="5">
        <v>134</v>
      </c>
      <c r="C95" s="5">
        <v>72</v>
      </c>
      <c r="D95" s="5" t="s">
        <v>23</v>
      </c>
      <c r="E95" s="5">
        <v>29</v>
      </c>
      <c r="F95" s="5">
        <v>125</v>
      </c>
      <c r="G95" s="5">
        <v>23.8</v>
      </c>
      <c r="H95" s="5" t="s">
        <v>31</v>
      </c>
      <c r="I95" s="5">
        <v>0.27700000000000002</v>
      </c>
      <c r="J95" s="5">
        <v>60</v>
      </c>
      <c r="K95" s="5" t="s">
        <v>39</v>
      </c>
      <c r="L95" s="15">
        <v>1</v>
      </c>
      <c r="M95" s="5" t="s">
        <v>57</v>
      </c>
      <c r="N95" s="5" t="s">
        <v>56</v>
      </c>
      <c r="O95" s="5" t="s">
        <v>31</v>
      </c>
      <c r="R95" s="5" t="e">
        <f>IF(diabetesoriginal[[#This Row],[Diabetes]]=$R$1,diabetesoriginal[[#This Row],[Skin Thickness]],NA())</f>
        <v>#N/A</v>
      </c>
      <c r="S95" s="5">
        <f>IF(diabetesoriginal[[#This Row],[Diabetes]]=$S$1,diabetesoriginal[[#This Row],[Skin Thickness]],NA())</f>
        <v>29</v>
      </c>
      <c r="U95" s="5" t="e">
        <f>IF(diabetesoriginal[[#This Row],[Diabetes]]=$U$1,diabetesoriginal[[#This Row],[Insulin]],NA())</f>
        <v>#N/A</v>
      </c>
      <c r="V95" s="5">
        <f>IF(diabetesoriginal[[#This Row],[Diabetes]]=$S$1,diabetesoriginal[[#This Row],[Insulin]],NA())</f>
        <v>125</v>
      </c>
    </row>
    <row r="96" spans="1:22" x14ac:dyDescent="0.25">
      <c r="A96" s="5">
        <v>2</v>
      </c>
      <c r="B96" s="5">
        <v>142</v>
      </c>
      <c r="C96" s="5">
        <v>82</v>
      </c>
      <c r="D96" s="5" t="s">
        <v>25</v>
      </c>
      <c r="E96" s="5">
        <v>18</v>
      </c>
      <c r="F96" s="5">
        <v>64</v>
      </c>
      <c r="G96" s="5">
        <v>24.7</v>
      </c>
      <c r="H96" s="5" t="s">
        <v>31</v>
      </c>
      <c r="I96" s="5">
        <v>0.76100000000000001</v>
      </c>
      <c r="J96" s="5">
        <v>21</v>
      </c>
      <c r="K96" s="5" t="s">
        <v>35</v>
      </c>
      <c r="L96" s="15">
        <v>0</v>
      </c>
      <c r="M96" s="5" t="s">
        <v>22</v>
      </c>
      <c r="N96" s="5" t="s">
        <v>58</v>
      </c>
      <c r="O96" s="5" t="s">
        <v>31</v>
      </c>
      <c r="R96" s="5">
        <f>IF(diabetesoriginal[[#This Row],[Diabetes]]=$R$1,diabetesoriginal[[#This Row],[Skin Thickness]],NA())</f>
        <v>18</v>
      </c>
      <c r="S96" s="5" t="e">
        <f>IF(diabetesoriginal[[#This Row],[Diabetes]]=$S$1,diabetesoriginal[[#This Row],[Skin Thickness]],NA())</f>
        <v>#N/A</v>
      </c>
      <c r="U96" s="5">
        <f>IF(diabetesoriginal[[#This Row],[Diabetes]]=$U$1,diabetesoriginal[[#This Row],[Insulin]],NA())</f>
        <v>64</v>
      </c>
      <c r="V96" s="5" t="e">
        <f>IF(diabetesoriginal[[#This Row],[Diabetes]]=$S$1,diabetesoriginal[[#This Row],[Insulin]],NA())</f>
        <v>#N/A</v>
      </c>
    </row>
    <row r="97" spans="1:22" x14ac:dyDescent="0.25">
      <c r="A97" s="5">
        <v>6</v>
      </c>
      <c r="B97" s="5">
        <v>144</v>
      </c>
      <c r="C97" s="5">
        <v>72</v>
      </c>
      <c r="D97" s="5" t="s">
        <v>23</v>
      </c>
      <c r="E97" s="5">
        <v>27</v>
      </c>
      <c r="F97" s="5">
        <v>228</v>
      </c>
      <c r="G97" s="5">
        <v>33.9</v>
      </c>
      <c r="H97" s="5" t="s">
        <v>29</v>
      </c>
      <c r="I97" s="5">
        <v>0.255</v>
      </c>
      <c r="J97" s="5">
        <v>40</v>
      </c>
      <c r="K97" s="5" t="s">
        <v>37</v>
      </c>
      <c r="L97" s="15">
        <v>0</v>
      </c>
      <c r="M97" s="5" t="s">
        <v>22</v>
      </c>
      <c r="N97" s="5" t="s">
        <v>56</v>
      </c>
      <c r="O97" s="5" t="s">
        <v>59</v>
      </c>
      <c r="R97" s="5">
        <f>IF(diabetesoriginal[[#This Row],[Diabetes]]=$R$1,diabetesoriginal[[#This Row],[Skin Thickness]],NA())</f>
        <v>27</v>
      </c>
      <c r="S97" s="5" t="e">
        <f>IF(diabetesoriginal[[#This Row],[Diabetes]]=$S$1,diabetesoriginal[[#This Row],[Skin Thickness]],NA())</f>
        <v>#N/A</v>
      </c>
      <c r="U97" s="5">
        <f>IF(diabetesoriginal[[#This Row],[Diabetes]]=$U$1,diabetesoriginal[[#This Row],[Insulin]],NA())</f>
        <v>228</v>
      </c>
      <c r="V97" s="5" t="e">
        <f>IF(diabetesoriginal[[#This Row],[Diabetes]]=$S$1,diabetesoriginal[[#This Row],[Insulin]],NA())</f>
        <v>#N/A</v>
      </c>
    </row>
    <row r="98" spans="1:22" x14ac:dyDescent="0.25">
      <c r="A98" s="5">
        <v>2</v>
      </c>
      <c r="B98" s="5">
        <v>92</v>
      </c>
      <c r="C98" s="5">
        <v>62</v>
      </c>
      <c r="D98" s="5" t="s">
        <v>23</v>
      </c>
      <c r="E98" s="5">
        <v>28</v>
      </c>
      <c r="F98" s="5">
        <v>125</v>
      </c>
      <c r="G98" s="5">
        <v>31.6</v>
      </c>
      <c r="H98" s="5" t="s">
        <v>29</v>
      </c>
      <c r="I98" s="5">
        <v>0.13</v>
      </c>
      <c r="J98" s="5">
        <v>24</v>
      </c>
      <c r="K98" s="5" t="s">
        <v>35</v>
      </c>
      <c r="L98" s="15">
        <v>0</v>
      </c>
      <c r="M98" s="5" t="s">
        <v>57</v>
      </c>
      <c r="N98" s="5" t="s">
        <v>56</v>
      </c>
      <c r="O98" s="5" t="s">
        <v>31</v>
      </c>
      <c r="R98" s="5">
        <f>IF(diabetesoriginal[[#This Row],[Diabetes]]=$R$1,diabetesoriginal[[#This Row],[Skin Thickness]],NA())</f>
        <v>28</v>
      </c>
      <c r="S98" s="5" t="e">
        <f>IF(diabetesoriginal[[#This Row],[Diabetes]]=$S$1,diabetesoriginal[[#This Row],[Skin Thickness]],NA())</f>
        <v>#N/A</v>
      </c>
      <c r="U98" s="5">
        <f>IF(diabetesoriginal[[#This Row],[Diabetes]]=$U$1,diabetesoriginal[[#This Row],[Insulin]],NA())</f>
        <v>125</v>
      </c>
      <c r="V98" s="5" t="e">
        <f>IF(diabetesoriginal[[#This Row],[Diabetes]]=$S$1,diabetesoriginal[[#This Row],[Insulin]],NA())</f>
        <v>#N/A</v>
      </c>
    </row>
    <row r="99" spans="1:22" x14ac:dyDescent="0.25">
      <c r="A99" s="5">
        <v>1</v>
      </c>
      <c r="B99" s="5">
        <v>71</v>
      </c>
      <c r="C99" s="5">
        <v>48</v>
      </c>
      <c r="D99" s="5" t="s">
        <v>23</v>
      </c>
      <c r="E99" s="5">
        <v>18</v>
      </c>
      <c r="F99" s="5">
        <v>76</v>
      </c>
      <c r="G99" s="5">
        <v>20.399999999999999</v>
      </c>
      <c r="H99" s="5" t="s">
        <v>31</v>
      </c>
      <c r="I99" s="5">
        <v>0.32300000000000001</v>
      </c>
      <c r="J99" s="5">
        <v>22</v>
      </c>
      <c r="K99" s="5" t="s">
        <v>35</v>
      </c>
      <c r="L99" s="15">
        <v>0</v>
      </c>
      <c r="M99" s="5" t="s">
        <v>57</v>
      </c>
      <c r="N99" s="5" t="s">
        <v>58</v>
      </c>
      <c r="O99" s="5" t="s">
        <v>31</v>
      </c>
      <c r="R99" s="5">
        <f>IF(diabetesoriginal[[#This Row],[Diabetes]]=$R$1,diabetesoriginal[[#This Row],[Skin Thickness]],NA())</f>
        <v>18</v>
      </c>
      <c r="S99" s="5" t="e">
        <f>IF(diabetesoriginal[[#This Row],[Diabetes]]=$S$1,diabetesoriginal[[#This Row],[Skin Thickness]],NA())</f>
        <v>#N/A</v>
      </c>
      <c r="U99" s="5">
        <f>IF(diabetesoriginal[[#This Row],[Diabetes]]=$U$1,diabetesoriginal[[#This Row],[Insulin]],NA())</f>
        <v>76</v>
      </c>
      <c r="V99" s="5" t="e">
        <f>IF(diabetesoriginal[[#This Row],[Diabetes]]=$S$1,diabetesoriginal[[#This Row],[Insulin]],NA())</f>
        <v>#N/A</v>
      </c>
    </row>
    <row r="100" spans="1:22" x14ac:dyDescent="0.25">
      <c r="A100" s="5">
        <v>6</v>
      </c>
      <c r="B100" s="5">
        <v>93</v>
      </c>
      <c r="C100" s="5">
        <v>50</v>
      </c>
      <c r="D100" s="5" t="s">
        <v>23</v>
      </c>
      <c r="E100" s="5">
        <v>30</v>
      </c>
      <c r="F100" s="5">
        <v>64</v>
      </c>
      <c r="G100" s="5">
        <v>28.7</v>
      </c>
      <c r="H100" s="5" t="s">
        <v>30</v>
      </c>
      <c r="I100" s="5">
        <v>0.35599999999999998</v>
      </c>
      <c r="J100" s="5">
        <v>23</v>
      </c>
      <c r="K100" s="5" t="s">
        <v>35</v>
      </c>
      <c r="L100" s="15">
        <v>0</v>
      </c>
      <c r="M100" s="5" t="s">
        <v>57</v>
      </c>
      <c r="N100" s="5" t="s">
        <v>56</v>
      </c>
      <c r="O100" s="5" t="s">
        <v>31</v>
      </c>
      <c r="R100" s="5">
        <f>IF(diabetesoriginal[[#This Row],[Diabetes]]=$R$1,diabetesoriginal[[#This Row],[Skin Thickness]],NA())</f>
        <v>30</v>
      </c>
      <c r="S100" s="5" t="e">
        <f>IF(diabetesoriginal[[#This Row],[Diabetes]]=$S$1,diabetesoriginal[[#This Row],[Skin Thickness]],NA())</f>
        <v>#N/A</v>
      </c>
      <c r="U100" s="5">
        <f>IF(diabetesoriginal[[#This Row],[Diabetes]]=$U$1,diabetesoriginal[[#This Row],[Insulin]],NA())</f>
        <v>64</v>
      </c>
      <c r="V100" s="5" t="e">
        <f>IF(diabetesoriginal[[#This Row],[Diabetes]]=$S$1,diabetesoriginal[[#This Row],[Insulin]],NA())</f>
        <v>#N/A</v>
      </c>
    </row>
    <row r="101" spans="1:22" x14ac:dyDescent="0.25">
      <c r="A101" s="5">
        <v>1</v>
      </c>
      <c r="B101" s="5">
        <v>122</v>
      </c>
      <c r="C101" s="5">
        <v>90</v>
      </c>
      <c r="D101" s="5" t="s">
        <v>24</v>
      </c>
      <c r="E101" s="5">
        <v>51</v>
      </c>
      <c r="F101" s="5">
        <v>220</v>
      </c>
      <c r="G101" s="5">
        <v>49.7</v>
      </c>
      <c r="H101" s="5" t="s">
        <v>32</v>
      </c>
      <c r="I101" s="5">
        <v>0.32500000000000001</v>
      </c>
      <c r="J101" s="5">
        <v>31</v>
      </c>
      <c r="K101" s="5" t="s">
        <v>36</v>
      </c>
      <c r="L101" s="15">
        <v>1</v>
      </c>
      <c r="M101" s="5" t="s">
        <v>57</v>
      </c>
      <c r="N101" s="5" t="s">
        <v>56</v>
      </c>
      <c r="O101" s="5" t="s">
        <v>59</v>
      </c>
      <c r="R101" s="5" t="e">
        <f>IF(diabetesoriginal[[#This Row],[Diabetes]]=$R$1,diabetesoriginal[[#This Row],[Skin Thickness]],NA())</f>
        <v>#N/A</v>
      </c>
      <c r="S101" s="5">
        <f>IF(diabetesoriginal[[#This Row],[Diabetes]]=$S$1,diabetesoriginal[[#This Row],[Skin Thickness]],NA())</f>
        <v>51</v>
      </c>
      <c r="U101" s="5" t="e">
        <f>IF(diabetesoriginal[[#This Row],[Diabetes]]=$U$1,diabetesoriginal[[#This Row],[Insulin]],NA())</f>
        <v>#N/A</v>
      </c>
      <c r="V101" s="5">
        <f>IF(diabetesoriginal[[#This Row],[Diabetes]]=$S$1,diabetesoriginal[[#This Row],[Insulin]],NA())</f>
        <v>220</v>
      </c>
    </row>
    <row r="102" spans="1:22" x14ac:dyDescent="0.25">
      <c r="A102" s="5">
        <v>1</v>
      </c>
      <c r="B102" s="5">
        <v>163</v>
      </c>
      <c r="C102" s="5">
        <v>72</v>
      </c>
      <c r="D102" s="5" t="s">
        <v>23</v>
      </c>
      <c r="E102" s="5">
        <v>29</v>
      </c>
      <c r="F102" s="5">
        <v>125</v>
      </c>
      <c r="G102" s="5">
        <v>39</v>
      </c>
      <c r="H102" s="5" t="s">
        <v>29</v>
      </c>
      <c r="I102" s="5">
        <v>1.222</v>
      </c>
      <c r="J102" s="5">
        <v>33</v>
      </c>
      <c r="K102" s="5" t="s">
        <v>36</v>
      </c>
      <c r="L102" s="15">
        <v>1</v>
      </c>
      <c r="M102" s="5" t="s">
        <v>22</v>
      </c>
      <c r="N102" s="5" t="s">
        <v>56</v>
      </c>
      <c r="O102" s="5" t="s">
        <v>31</v>
      </c>
      <c r="R102" s="5" t="e">
        <f>IF(diabetesoriginal[[#This Row],[Diabetes]]=$R$1,diabetesoriginal[[#This Row],[Skin Thickness]],NA())</f>
        <v>#N/A</v>
      </c>
      <c r="S102" s="5">
        <f>IF(diabetesoriginal[[#This Row],[Diabetes]]=$S$1,diabetesoriginal[[#This Row],[Skin Thickness]],NA())</f>
        <v>29</v>
      </c>
      <c r="U102" s="5" t="e">
        <f>IF(diabetesoriginal[[#This Row],[Diabetes]]=$U$1,diabetesoriginal[[#This Row],[Insulin]],NA())</f>
        <v>#N/A</v>
      </c>
      <c r="V102" s="5">
        <f>IF(diabetesoriginal[[#This Row],[Diabetes]]=$S$1,diabetesoriginal[[#This Row],[Insulin]],NA())</f>
        <v>125</v>
      </c>
    </row>
    <row r="103" spans="1:22" x14ac:dyDescent="0.25">
      <c r="A103" s="5">
        <v>1</v>
      </c>
      <c r="B103" s="5">
        <v>151</v>
      </c>
      <c r="C103" s="5">
        <v>60</v>
      </c>
      <c r="D103" s="5" t="s">
        <v>23</v>
      </c>
      <c r="E103" s="5">
        <v>29</v>
      </c>
      <c r="F103" s="5">
        <v>125</v>
      </c>
      <c r="G103" s="5">
        <v>26.1</v>
      </c>
      <c r="H103" s="5" t="s">
        <v>30</v>
      </c>
      <c r="I103" s="5">
        <v>0.17899999999999999</v>
      </c>
      <c r="J103" s="5">
        <v>22</v>
      </c>
      <c r="K103" s="5" t="s">
        <v>35</v>
      </c>
      <c r="L103" s="15">
        <v>0</v>
      </c>
      <c r="M103" s="5" t="s">
        <v>22</v>
      </c>
      <c r="N103" s="5" t="s">
        <v>56</v>
      </c>
      <c r="O103" s="5" t="s">
        <v>31</v>
      </c>
      <c r="R103" s="5">
        <f>IF(diabetesoriginal[[#This Row],[Diabetes]]=$R$1,diabetesoriginal[[#This Row],[Skin Thickness]],NA())</f>
        <v>29</v>
      </c>
      <c r="S103" s="5" t="e">
        <f>IF(diabetesoriginal[[#This Row],[Diabetes]]=$S$1,diabetesoriginal[[#This Row],[Skin Thickness]],NA())</f>
        <v>#N/A</v>
      </c>
      <c r="U103" s="5">
        <f>IF(diabetesoriginal[[#This Row],[Diabetes]]=$U$1,diabetesoriginal[[#This Row],[Insulin]],NA())</f>
        <v>125</v>
      </c>
      <c r="V103" s="5" t="e">
        <f>IF(diabetesoriginal[[#This Row],[Diabetes]]=$S$1,diabetesoriginal[[#This Row],[Insulin]],NA())</f>
        <v>#N/A</v>
      </c>
    </row>
    <row r="104" spans="1:22" x14ac:dyDescent="0.25">
      <c r="A104" s="5">
        <v>0</v>
      </c>
      <c r="B104" s="5">
        <v>125</v>
      </c>
      <c r="C104" s="5">
        <v>96</v>
      </c>
      <c r="D104" s="5" t="s">
        <v>24</v>
      </c>
      <c r="E104" s="5">
        <v>29</v>
      </c>
      <c r="F104" s="5">
        <v>125</v>
      </c>
      <c r="G104" s="5">
        <v>22.5</v>
      </c>
      <c r="H104" s="5" t="s">
        <v>31</v>
      </c>
      <c r="I104" s="5">
        <v>0.26200000000000001</v>
      </c>
      <c r="J104" s="5">
        <v>21</v>
      </c>
      <c r="K104" s="5" t="s">
        <v>35</v>
      </c>
      <c r="L104" s="15">
        <v>0</v>
      </c>
      <c r="M104" s="5" t="s">
        <v>57</v>
      </c>
      <c r="N104" s="5" t="s">
        <v>56</v>
      </c>
      <c r="O104" s="5" t="s">
        <v>31</v>
      </c>
      <c r="R104" s="5">
        <f>IF(diabetesoriginal[[#This Row],[Diabetes]]=$R$1,diabetesoriginal[[#This Row],[Skin Thickness]],NA())</f>
        <v>29</v>
      </c>
      <c r="S104" s="5" t="e">
        <f>IF(diabetesoriginal[[#This Row],[Diabetes]]=$S$1,diabetesoriginal[[#This Row],[Skin Thickness]],NA())</f>
        <v>#N/A</v>
      </c>
      <c r="U104" s="5">
        <f>IF(diabetesoriginal[[#This Row],[Diabetes]]=$U$1,diabetesoriginal[[#This Row],[Insulin]],NA())</f>
        <v>125</v>
      </c>
      <c r="V104" s="5" t="e">
        <f>IF(diabetesoriginal[[#This Row],[Diabetes]]=$S$1,diabetesoriginal[[#This Row],[Insulin]],NA())</f>
        <v>#N/A</v>
      </c>
    </row>
    <row r="105" spans="1:22" x14ac:dyDescent="0.25">
      <c r="A105" s="5">
        <v>1</v>
      </c>
      <c r="B105" s="5">
        <v>81</v>
      </c>
      <c r="C105" s="5">
        <v>72</v>
      </c>
      <c r="D105" s="5" t="s">
        <v>23</v>
      </c>
      <c r="E105" s="5">
        <v>18</v>
      </c>
      <c r="F105" s="5">
        <v>40</v>
      </c>
      <c r="G105" s="5">
        <v>26.6</v>
      </c>
      <c r="H105" s="5" t="s">
        <v>30</v>
      </c>
      <c r="I105" s="5">
        <v>0.28299999999999997</v>
      </c>
      <c r="J105" s="5">
        <v>24</v>
      </c>
      <c r="K105" s="5" t="s">
        <v>35</v>
      </c>
      <c r="L105" s="15">
        <v>0</v>
      </c>
      <c r="M105" s="5" t="s">
        <v>57</v>
      </c>
      <c r="N105" s="5" t="s">
        <v>58</v>
      </c>
      <c r="O105" s="5" t="s">
        <v>31</v>
      </c>
      <c r="R105" s="5">
        <f>IF(diabetesoriginal[[#This Row],[Diabetes]]=$R$1,diabetesoriginal[[#This Row],[Skin Thickness]],NA())</f>
        <v>18</v>
      </c>
      <c r="S105" s="5" t="e">
        <f>IF(diabetesoriginal[[#This Row],[Diabetes]]=$S$1,diabetesoriginal[[#This Row],[Skin Thickness]],NA())</f>
        <v>#N/A</v>
      </c>
      <c r="U105" s="5">
        <f>IF(diabetesoriginal[[#This Row],[Diabetes]]=$U$1,diabetesoriginal[[#This Row],[Insulin]],NA())</f>
        <v>40</v>
      </c>
      <c r="V105" s="5" t="e">
        <f>IF(diabetesoriginal[[#This Row],[Diabetes]]=$S$1,diabetesoriginal[[#This Row],[Insulin]],NA())</f>
        <v>#N/A</v>
      </c>
    </row>
    <row r="106" spans="1:22" x14ac:dyDescent="0.25">
      <c r="A106" s="5">
        <v>2</v>
      </c>
      <c r="B106" s="5">
        <v>85</v>
      </c>
      <c r="C106" s="5">
        <v>65</v>
      </c>
      <c r="D106" s="5" t="s">
        <v>23</v>
      </c>
      <c r="E106" s="5">
        <v>29</v>
      </c>
      <c r="F106" s="5">
        <v>125</v>
      </c>
      <c r="G106" s="5">
        <v>39.6</v>
      </c>
      <c r="H106" s="5" t="s">
        <v>29</v>
      </c>
      <c r="I106" s="5">
        <v>0.93</v>
      </c>
      <c r="J106" s="5">
        <v>27</v>
      </c>
      <c r="K106" s="5" t="s">
        <v>35</v>
      </c>
      <c r="L106" s="15">
        <v>0</v>
      </c>
      <c r="M106" s="5" t="s">
        <v>57</v>
      </c>
      <c r="N106" s="5" t="s">
        <v>56</v>
      </c>
      <c r="O106" s="5" t="s">
        <v>31</v>
      </c>
      <c r="R106" s="5">
        <f>IF(diabetesoriginal[[#This Row],[Diabetes]]=$R$1,diabetesoriginal[[#This Row],[Skin Thickness]],NA())</f>
        <v>29</v>
      </c>
      <c r="S106" s="5" t="e">
        <f>IF(diabetesoriginal[[#This Row],[Diabetes]]=$S$1,diabetesoriginal[[#This Row],[Skin Thickness]],NA())</f>
        <v>#N/A</v>
      </c>
      <c r="U106" s="5">
        <f>IF(diabetesoriginal[[#This Row],[Diabetes]]=$U$1,diabetesoriginal[[#This Row],[Insulin]],NA())</f>
        <v>125</v>
      </c>
      <c r="V106" s="5" t="e">
        <f>IF(diabetesoriginal[[#This Row],[Diabetes]]=$S$1,diabetesoriginal[[#This Row],[Insulin]],NA())</f>
        <v>#N/A</v>
      </c>
    </row>
    <row r="107" spans="1:22" x14ac:dyDescent="0.25">
      <c r="A107" s="5">
        <v>1</v>
      </c>
      <c r="B107" s="5">
        <v>126</v>
      </c>
      <c r="C107" s="5">
        <v>56</v>
      </c>
      <c r="D107" s="5" t="s">
        <v>23</v>
      </c>
      <c r="E107" s="5">
        <v>29</v>
      </c>
      <c r="F107" s="5">
        <v>152</v>
      </c>
      <c r="G107" s="5">
        <v>28.7</v>
      </c>
      <c r="H107" s="5" t="s">
        <v>30</v>
      </c>
      <c r="I107" s="5">
        <v>0.80100000000000005</v>
      </c>
      <c r="J107" s="5">
        <v>21</v>
      </c>
      <c r="K107" s="5" t="s">
        <v>35</v>
      </c>
      <c r="L107" s="15">
        <v>0</v>
      </c>
      <c r="M107" s="5" t="s">
        <v>57</v>
      </c>
      <c r="N107" s="5" t="s">
        <v>56</v>
      </c>
      <c r="O107" s="5" t="s">
        <v>31</v>
      </c>
      <c r="R107" s="5">
        <f>IF(diabetesoriginal[[#This Row],[Diabetes]]=$R$1,diabetesoriginal[[#This Row],[Skin Thickness]],NA())</f>
        <v>29</v>
      </c>
      <c r="S107" s="5" t="e">
        <f>IF(diabetesoriginal[[#This Row],[Diabetes]]=$S$1,diabetesoriginal[[#This Row],[Skin Thickness]],NA())</f>
        <v>#N/A</v>
      </c>
      <c r="U107" s="5">
        <f>IF(diabetesoriginal[[#This Row],[Diabetes]]=$U$1,diabetesoriginal[[#This Row],[Insulin]],NA())</f>
        <v>152</v>
      </c>
      <c r="V107" s="5" t="e">
        <f>IF(diabetesoriginal[[#This Row],[Diabetes]]=$S$1,diabetesoriginal[[#This Row],[Insulin]],NA())</f>
        <v>#N/A</v>
      </c>
    </row>
    <row r="108" spans="1:22" x14ac:dyDescent="0.25">
      <c r="A108" s="5">
        <v>1</v>
      </c>
      <c r="B108" s="5">
        <v>96</v>
      </c>
      <c r="C108" s="5">
        <v>122</v>
      </c>
      <c r="D108" s="5" t="s">
        <v>26</v>
      </c>
      <c r="E108" s="5">
        <v>29</v>
      </c>
      <c r="F108" s="5">
        <v>125</v>
      </c>
      <c r="G108" s="5">
        <v>22.4</v>
      </c>
      <c r="H108" s="5" t="s">
        <v>31</v>
      </c>
      <c r="I108" s="5">
        <v>0.20699999999999999</v>
      </c>
      <c r="J108" s="5">
        <v>27</v>
      </c>
      <c r="K108" s="5" t="s">
        <v>35</v>
      </c>
      <c r="L108" s="15">
        <v>0</v>
      </c>
      <c r="M108" s="5" t="s">
        <v>57</v>
      </c>
      <c r="N108" s="5" t="s">
        <v>56</v>
      </c>
      <c r="O108" s="5" t="s">
        <v>31</v>
      </c>
      <c r="R108" s="5">
        <f>IF(diabetesoriginal[[#This Row],[Diabetes]]=$R$1,diabetesoriginal[[#This Row],[Skin Thickness]],NA())</f>
        <v>29</v>
      </c>
      <c r="S108" s="5" t="e">
        <f>IF(diabetesoriginal[[#This Row],[Diabetes]]=$S$1,diabetesoriginal[[#This Row],[Skin Thickness]],NA())</f>
        <v>#N/A</v>
      </c>
      <c r="U108" s="5">
        <f>IF(diabetesoriginal[[#This Row],[Diabetes]]=$U$1,diabetesoriginal[[#This Row],[Insulin]],NA())</f>
        <v>125</v>
      </c>
      <c r="V108" s="5" t="e">
        <f>IF(diabetesoriginal[[#This Row],[Diabetes]]=$S$1,diabetesoriginal[[#This Row],[Insulin]],NA())</f>
        <v>#N/A</v>
      </c>
    </row>
    <row r="109" spans="1:22" x14ac:dyDescent="0.25">
      <c r="A109" s="5">
        <v>4</v>
      </c>
      <c r="B109" s="5">
        <v>144</v>
      </c>
      <c r="C109" s="5">
        <v>58</v>
      </c>
      <c r="D109" s="5" t="s">
        <v>23</v>
      </c>
      <c r="E109" s="5">
        <v>28</v>
      </c>
      <c r="F109" s="5">
        <v>140</v>
      </c>
      <c r="G109" s="5">
        <v>29.5</v>
      </c>
      <c r="H109" s="5" t="s">
        <v>30</v>
      </c>
      <c r="I109" s="5">
        <v>0.28699999999999998</v>
      </c>
      <c r="J109" s="5">
        <v>37</v>
      </c>
      <c r="K109" s="5" t="s">
        <v>36</v>
      </c>
      <c r="L109" s="15">
        <v>0</v>
      </c>
      <c r="M109" s="5" t="s">
        <v>22</v>
      </c>
      <c r="N109" s="5" t="s">
        <v>56</v>
      </c>
      <c r="O109" s="5" t="s">
        <v>31</v>
      </c>
      <c r="R109" s="5">
        <f>IF(diabetesoriginal[[#This Row],[Diabetes]]=$R$1,diabetesoriginal[[#This Row],[Skin Thickness]],NA())</f>
        <v>28</v>
      </c>
      <c r="S109" s="5" t="e">
        <f>IF(diabetesoriginal[[#This Row],[Diabetes]]=$S$1,diabetesoriginal[[#This Row],[Skin Thickness]],NA())</f>
        <v>#N/A</v>
      </c>
      <c r="U109" s="5">
        <f>IF(diabetesoriginal[[#This Row],[Diabetes]]=$U$1,diabetesoriginal[[#This Row],[Insulin]],NA())</f>
        <v>140</v>
      </c>
      <c r="V109" s="5" t="e">
        <f>IF(diabetesoriginal[[#This Row],[Diabetes]]=$S$1,diabetesoriginal[[#This Row],[Insulin]],NA())</f>
        <v>#N/A</v>
      </c>
    </row>
    <row r="110" spans="1:22" x14ac:dyDescent="0.25">
      <c r="A110" s="5">
        <v>3</v>
      </c>
      <c r="B110" s="5">
        <v>83</v>
      </c>
      <c r="C110" s="5">
        <v>58</v>
      </c>
      <c r="D110" s="5" t="s">
        <v>23</v>
      </c>
      <c r="E110" s="5">
        <v>31</v>
      </c>
      <c r="F110" s="5">
        <v>18</v>
      </c>
      <c r="G110" s="5">
        <v>34.299999999999997</v>
      </c>
      <c r="H110" s="5" t="s">
        <v>29</v>
      </c>
      <c r="I110" s="5">
        <v>0.33600000000000002</v>
      </c>
      <c r="J110" s="5">
        <v>25</v>
      </c>
      <c r="K110" s="5" t="s">
        <v>35</v>
      </c>
      <c r="L110" s="15">
        <v>0</v>
      </c>
      <c r="M110" s="5" t="s">
        <v>57</v>
      </c>
      <c r="N110" s="5" t="s">
        <v>56</v>
      </c>
      <c r="O110" s="5" t="s">
        <v>31</v>
      </c>
      <c r="R110" s="5">
        <f>IF(diabetesoriginal[[#This Row],[Diabetes]]=$R$1,diabetesoriginal[[#This Row],[Skin Thickness]],NA())</f>
        <v>31</v>
      </c>
      <c r="S110" s="5" t="e">
        <f>IF(diabetesoriginal[[#This Row],[Diabetes]]=$S$1,diabetesoriginal[[#This Row],[Skin Thickness]],NA())</f>
        <v>#N/A</v>
      </c>
      <c r="U110" s="5">
        <f>IF(diabetesoriginal[[#This Row],[Diabetes]]=$U$1,diabetesoriginal[[#This Row],[Insulin]],NA())</f>
        <v>18</v>
      </c>
      <c r="V110" s="5" t="e">
        <f>IF(diabetesoriginal[[#This Row],[Diabetes]]=$S$1,diabetesoriginal[[#This Row],[Insulin]],NA())</f>
        <v>#N/A</v>
      </c>
    </row>
    <row r="111" spans="1:22" x14ac:dyDescent="0.25">
      <c r="A111" s="5">
        <v>0</v>
      </c>
      <c r="B111" s="5">
        <v>95</v>
      </c>
      <c r="C111" s="5">
        <v>85</v>
      </c>
      <c r="D111" s="5" t="s">
        <v>25</v>
      </c>
      <c r="E111" s="5">
        <v>25</v>
      </c>
      <c r="F111" s="5">
        <v>36</v>
      </c>
      <c r="G111" s="5">
        <v>37.4</v>
      </c>
      <c r="H111" s="5" t="s">
        <v>29</v>
      </c>
      <c r="I111" s="5">
        <v>0.247</v>
      </c>
      <c r="J111" s="5">
        <v>24</v>
      </c>
      <c r="K111" s="5" t="s">
        <v>35</v>
      </c>
      <c r="L111" s="15">
        <v>1</v>
      </c>
      <c r="M111" s="5" t="s">
        <v>57</v>
      </c>
      <c r="N111" s="5" t="s">
        <v>56</v>
      </c>
      <c r="O111" s="5" t="s">
        <v>31</v>
      </c>
      <c r="R111" s="5" t="e">
        <f>IF(diabetesoriginal[[#This Row],[Diabetes]]=$R$1,diabetesoriginal[[#This Row],[Skin Thickness]],NA())</f>
        <v>#N/A</v>
      </c>
      <c r="S111" s="5">
        <f>IF(diabetesoriginal[[#This Row],[Diabetes]]=$S$1,diabetesoriginal[[#This Row],[Skin Thickness]],NA())</f>
        <v>25</v>
      </c>
      <c r="U111" s="5" t="e">
        <f>IF(diabetesoriginal[[#This Row],[Diabetes]]=$U$1,diabetesoriginal[[#This Row],[Insulin]],NA())</f>
        <v>#N/A</v>
      </c>
      <c r="V111" s="5">
        <f>IF(diabetesoriginal[[#This Row],[Diabetes]]=$S$1,diabetesoriginal[[#This Row],[Insulin]],NA())</f>
        <v>36</v>
      </c>
    </row>
    <row r="112" spans="1:22" x14ac:dyDescent="0.25">
      <c r="A112" s="5">
        <v>3</v>
      </c>
      <c r="B112" s="5">
        <v>171</v>
      </c>
      <c r="C112" s="5">
        <v>72</v>
      </c>
      <c r="D112" s="5" t="s">
        <v>23</v>
      </c>
      <c r="E112" s="5">
        <v>33</v>
      </c>
      <c r="F112" s="5">
        <v>135</v>
      </c>
      <c r="G112" s="5">
        <v>33.299999999999997</v>
      </c>
      <c r="H112" s="5" t="s">
        <v>29</v>
      </c>
      <c r="I112" s="5">
        <v>0.19900000000000001</v>
      </c>
      <c r="J112" s="5">
        <v>24</v>
      </c>
      <c r="K112" s="5" t="s">
        <v>35</v>
      </c>
      <c r="L112" s="15">
        <v>1</v>
      </c>
      <c r="M112" s="5" t="s">
        <v>22</v>
      </c>
      <c r="N112" s="5" t="s">
        <v>56</v>
      </c>
      <c r="O112" s="5" t="s">
        <v>31</v>
      </c>
      <c r="R112" s="5" t="e">
        <f>IF(diabetesoriginal[[#This Row],[Diabetes]]=$R$1,diabetesoriginal[[#This Row],[Skin Thickness]],NA())</f>
        <v>#N/A</v>
      </c>
      <c r="S112" s="5">
        <f>IF(diabetesoriginal[[#This Row],[Diabetes]]=$S$1,diabetesoriginal[[#This Row],[Skin Thickness]],NA())</f>
        <v>33</v>
      </c>
      <c r="U112" s="5" t="e">
        <f>IF(diabetesoriginal[[#This Row],[Diabetes]]=$U$1,diabetesoriginal[[#This Row],[Insulin]],NA())</f>
        <v>#N/A</v>
      </c>
      <c r="V112" s="5">
        <f>IF(diabetesoriginal[[#This Row],[Diabetes]]=$S$1,diabetesoriginal[[#This Row],[Insulin]],NA())</f>
        <v>135</v>
      </c>
    </row>
    <row r="113" spans="1:22" x14ac:dyDescent="0.25">
      <c r="A113" s="5">
        <v>8</v>
      </c>
      <c r="B113" s="5">
        <v>155</v>
      </c>
      <c r="C113" s="5">
        <v>62</v>
      </c>
      <c r="D113" s="5" t="s">
        <v>23</v>
      </c>
      <c r="E113" s="5">
        <v>26</v>
      </c>
      <c r="F113" s="5">
        <v>495</v>
      </c>
      <c r="G113" s="5">
        <v>34</v>
      </c>
      <c r="H113" s="5" t="s">
        <v>29</v>
      </c>
      <c r="I113" s="5">
        <v>0.54300000000000004</v>
      </c>
      <c r="J113" s="5">
        <v>46</v>
      </c>
      <c r="K113" s="5" t="s">
        <v>37</v>
      </c>
      <c r="L113" s="15">
        <v>1</v>
      </c>
      <c r="M113" s="5" t="s">
        <v>22</v>
      </c>
      <c r="N113" s="5" t="s">
        <v>56</v>
      </c>
      <c r="O113" s="5" t="s">
        <v>59</v>
      </c>
      <c r="R113" s="5" t="e">
        <f>IF(diabetesoriginal[[#This Row],[Diabetes]]=$R$1,diabetesoriginal[[#This Row],[Skin Thickness]],NA())</f>
        <v>#N/A</v>
      </c>
      <c r="S113" s="5">
        <f>IF(diabetesoriginal[[#This Row],[Diabetes]]=$S$1,diabetesoriginal[[#This Row],[Skin Thickness]],NA())</f>
        <v>26</v>
      </c>
      <c r="U113" s="5" t="e">
        <f>IF(diabetesoriginal[[#This Row],[Diabetes]]=$U$1,diabetesoriginal[[#This Row],[Insulin]],NA())</f>
        <v>#N/A</v>
      </c>
      <c r="V113" s="5">
        <f>IF(diabetesoriginal[[#This Row],[Diabetes]]=$S$1,diabetesoriginal[[#This Row],[Insulin]],NA())</f>
        <v>495</v>
      </c>
    </row>
    <row r="114" spans="1:22" x14ac:dyDescent="0.25">
      <c r="A114" s="5">
        <v>1</v>
      </c>
      <c r="B114" s="5">
        <v>89</v>
      </c>
      <c r="C114" s="5">
        <v>76</v>
      </c>
      <c r="D114" s="5" t="s">
        <v>23</v>
      </c>
      <c r="E114" s="5">
        <v>34</v>
      </c>
      <c r="F114" s="5">
        <v>37</v>
      </c>
      <c r="G114" s="5">
        <v>31.2</v>
      </c>
      <c r="H114" s="5" t="s">
        <v>29</v>
      </c>
      <c r="I114" s="5">
        <v>0.192</v>
      </c>
      <c r="J114" s="5">
        <v>23</v>
      </c>
      <c r="K114" s="5" t="s">
        <v>35</v>
      </c>
      <c r="L114" s="15">
        <v>0</v>
      </c>
      <c r="M114" s="5" t="s">
        <v>57</v>
      </c>
      <c r="N114" s="5" t="s">
        <v>56</v>
      </c>
      <c r="O114" s="5" t="s">
        <v>31</v>
      </c>
      <c r="R114" s="5">
        <f>IF(diabetesoriginal[[#This Row],[Diabetes]]=$R$1,diabetesoriginal[[#This Row],[Skin Thickness]],NA())</f>
        <v>34</v>
      </c>
      <c r="S114" s="5" t="e">
        <f>IF(diabetesoriginal[[#This Row],[Diabetes]]=$S$1,diabetesoriginal[[#This Row],[Skin Thickness]],NA())</f>
        <v>#N/A</v>
      </c>
      <c r="U114" s="5">
        <f>IF(diabetesoriginal[[#This Row],[Diabetes]]=$U$1,diabetesoriginal[[#This Row],[Insulin]],NA())</f>
        <v>37</v>
      </c>
      <c r="V114" s="5" t="e">
        <f>IF(diabetesoriginal[[#This Row],[Diabetes]]=$S$1,diabetesoriginal[[#This Row],[Insulin]],NA())</f>
        <v>#N/A</v>
      </c>
    </row>
    <row r="115" spans="1:22" x14ac:dyDescent="0.25">
      <c r="A115" s="5">
        <v>4</v>
      </c>
      <c r="B115" s="5">
        <v>76</v>
      </c>
      <c r="C115" s="5">
        <v>62</v>
      </c>
      <c r="D115" s="5" t="s">
        <v>23</v>
      </c>
      <c r="E115" s="5">
        <v>29</v>
      </c>
      <c r="F115" s="5">
        <v>125</v>
      </c>
      <c r="G115" s="5">
        <v>34</v>
      </c>
      <c r="H115" s="5" t="s">
        <v>29</v>
      </c>
      <c r="I115" s="5">
        <v>0.39100000000000001</v>
      </c>
      <c r="J115" s="5">
        <v>25</v>
      </c>
      <c r="K115" s="5" t="s">
        <v>35</v>
      </c>
      <c r="L115" s="15">
        <v>0</v>
      </c>
      <c r="M115" s="5" t="s">
        <v>57</v>
      </c>
      <c r="N115" s="5" t="s">
        <v>56</v>
      </c>
      <c r="O115" s="5" t="s">
        <v>31</v>
      </c>
      <c r="R115" s="5">
        <f>IF(diabetesoriginal[[#This Row],[Diabetes]]=$R$1,diabetesoriginal[[#This Row],[Skin Thickness]],NA())</f>
        <v>29</v>
      </c>
      <c r="S115" s="5" t="e">
        <f>IF(diabetesoriginal[[#This Row],[Diabetes]]=$S$1,diabetesoriginal[[#This Row],[Skin Thickness]],NA())</f>
        <v>#N/A</v>
      </c>
      <c r="U115" s="5">
        <f>IF(diabetesoriginal[[#This Row],[Diabetes]]=$U$1,diabetesoriginal[[#This Row],[Insulin]],NA())</f>
        <v>125</v>
      </c>
      <c r="V115" s="5" t="e">
        <f>IF(diabetesoriginal[[#This Row],[Diabetes]]=$S$1,diabetesoriginal[[#This Row],[Insulin]],NA())</f>
        <v>#N/A</v>
      </c>
    </row>
    <row r="116" spans="1:22" x14ac:dyDescent="0.25">
      <c r="A116" s="5">
        <v>7</v>
      </c>
      <c r="B116" s="5">
        <v>160</v>
      </c>
      <c r="C116" s="5">
        <v>54</v>
      </c>
      <c r="D116" s="5" t="s">
        <v>23</v>
      </c>
      <c r="E116" s="5">
        <v>32</v>
      </c>
      <c r="F116" s="5">
        <v>175</v>
      </c>
      <c r="G116" s="5">
        <v>30.5</v>
      </c>
      <c r="H116" s="5" t="s">
        <v>29</v>
      </c>
      <c r="I116" s="5">
        <v>0.58799999999999997</v>
      </c>
      <c r="J116" s="5">
        <v>39</v>
      </c>
      <c r="K116" s="5" t="s">
        <v>36</v>
      </c>
      <c r="L116" s="15">
        <v>1</v>
      </c>
      <c r="M116" s="5" t="s">
        <v>22</v>
      </c>
      <c r="N116" s="5" t="s">
        <v>56</v>
      </c>
      <c r="O116" s="5" t="s">
        <v>59</v>
      </c>
      <c r="R116" s="5" t="e">
        <f>IF(diabetesoriginal[[#This Row],[Diabetes]]=$R$1,diabetesoriginal[[#This Row],[Skin Thickness]],NA())</f>
        <v>#N/A</v>
      </c>
      <c r="S116" s="5">
        <f>IF(diabetesoriginal[[#This Row],[Diabetes]]=$S$1,diabetesoriginal[[#This Row],[Skin Thickness]],NA())</f>
        <v>32</v>
      </c>
      <c r="U116" s="5" t="e">
        <f>IF(diabetesoriginal[[#This Row],[Diabetes]]=$U$1,diabetesoriginal[[#This Row],[Insulin]],NA())</f>
        <v>#N/A</v>
      </c>
      <c r="V116" s="5">
        <f>IF(diabetesoriginal[[#This Row],[Diabetes]]=$S$1,diabetesoriginal[[#This Row],[Insulin]],NA())</f>
        <v>175</v>
      </c>
    </row>
    <row r="117" spans="1:22" x14ac:dyDescent="0.25">
      <c r="A117" s="5">
        <v>4</v>
      </c>
      <c r="B117" s="5">
        <v>146</v>
      </c>
      <c r="C117" s="5">
        <v>92</v>
      </c>
      <c r="D117" s="5" t="s">
        <v>24</v>
      </c>
      <c r="E117" s="5">
        <v>29</v>
      </c>
      <c r="F117" s="5">
        <v>125</v>
      </c>
      <c r="G117" s="5">
        <v>31.2</v>
      </c>
      <c r="H117" s="5" t="s">
        <v>29</v>
      </c>
      <c r="I117" s="5">
        <v>0.53900000000000003</v>
      </c>
      <c r="J117" s="5">
        <v>61</v>
      </c>
      <c r="K117" s="5" t="s">
        <v>39</v>
      </c>
      <c r="L117" s="15">
        <v>1</v>
      </c>
      <c r="M117" s="5" t="s">
        <v>22</v>
      </c>
      <c r="N117" s="5" t="s">
        <v>56</v>
      </c>
      <c r="O117" s="5" t="s">
        <v>31</v>
      </c>
      <c r="R117" s="5" t="e">
        <f>IF(diabetesoriginal[[#This Row],[Diabetes]]=$R$1,diabetesoriginal[[#This Row],[Skin Thickness]],NA())</f>
        <v>#N/A</v>
      </c>
      <c r="S117" s="5">
        <f>IF(diabetesoriginal[[#This Row],[Diabetes]]=$S$1,diabetesoriginal[[#This Row],[Skin Thickness]],NA())</f>
        <v>29</v>
      </c>
      <c r="U117" s="5" t="e">
        <f>IF(diabetesoriginal[[#This Row],[Diabetes]]=$U$1,diabetesoriginal[[#This Row],[Insulin]],NA())</f>
        <v>#N/A</v>
      </c>
      <c r="V117" s="5">
        <f>IF(diabetesoriginal[[#This Row],[Diabetes]]=$S$1,diabetesoriginal[[#This Row],[Insulin]],NA())</f>
        <v>125</v>
      </c>
    </row>
    <row r="118" spans="1:22" x14ac:dyDescent="0.25">
      <c r="A118" s="5">
        <v>5</v>
      </c>
      <c r="B118" s="5">
        <v>124</v>
      </c>
      <c r="C118" s="5">
        <v>74</v>
      </c>
      <c r="D118" s="5" t="s">
        <v>23</v>
      </c>
      <c r="E118" s="5">
        <v>29</v>
      </c>
      <c r="F118" s="5">
        <v>125</v>
      </c>
      <c r="G118" s="5">
        <v>34</v>
      </c>
      <c r="H118" s="5" t="s">
        <v>29</v>
      </c>
      <c r="I118" s="5">
        <v>0.22</v>
      </c>
      <c r="J118" s="5">
        <v>38</v>
      </c>
      <c r="K118" s="5" t="s">
        <v>36</v>
      </c>
      <c r="L118" s="15">
        <v>1</v>
      </c>
      <c r="M118" s="5" t="s">
        <v>57</v>
      </c>
      <c r="N118" s="5" t="s">
        <v>56</v>
      </c>
      <c r="O118" s="5" t="s">
        <v>31</v>
      </c>
      <c r="R118" s="5" t="e">
        <f>IF(diabetesoriginal[[#This Row],[Diabetes]]=$R$1,diabetesoriginal[[#This Row],[Skin Thickness]],NA())</f>
        <v>#N/A</v>
      </c>
      <c r="S118" s="5">
        <f>IF(diabetesoriginal[[#This Row],[Diabetes]]=$S$1,diabetesoriginal[[#This Row],[Skin Thickness]],NA())</f>
        <v>29</v>
      </c>
      <c r="U118" s="5" t="e">
        <f>IF(diabetesoriginal[[#This Row],[Diabetes]]=$U$1,diabetesoriginal[[#This Row],[Insulin]],NA())</f>
        <v>#N/A</v>
      </c>
      <c r="V118" s="5">
        <f>IF(diabetesoriginal[[#This Row],[Diabetes]]=$S$1,diabetesoriginal[[#This Row],[Insulin]],NA())</f>
        <v>125</v>
      </c>
    </row>
    <row r="119" spans="1:22" x14ac:dyDescent="0.25">
      <c r="A119" s="5">
        <v>5</v>
      </c>
      <c r="B119" s="5">
        <v>78</v>
      </c>
      <c r="C119" s="5">
        <v>48</v>
      </c>
      <c r="D119" s="5" t="s">
        <v>23</v>
      </c>
      <c r="E119" s="5">
        <v>29</v>
      </c>
      <c r="F119" s="5">
        <v>125</v>
      </c>
      <c r="G119" s="5">
        <v>33.700000000000003</v>
      </c>
      <c r="H119" s="5" t="s">
        <v>29</v>
      </c>
      <c r="I119" s="5">
        <v>0.65400000000000003</v>
      </c>
      <c r="J119" s="5">
        <v>25</v>
      </c>
      <c r="K119" s="5" t="s">
        <v>35</v>
      </c>
      <c r="L119" s="15">
        <v>0</v>
      </c>
      <c r="M119" s="5" t="s">
        <v>57</v>
      </c>
      <c r="N119" s="5" t="s">
        <v>56</v>
      </c>
      <c r="O119" s="5" t="s">
        <v>31</v>
      </c>
      <c r="R119" s="5">
        <f>IF(diabetesoriginal[[#This Row],[Diabetes]]=$R$1,diabetesoriginal[[#This Row],[Skin Thickness]],NA())</f>
        <v>29</v>
      </c>
      <c r="S119" s="5" t="e">
        <f>IF(diabetesoriginal[[#This Row],[Diabetes]]=$S$1,diabetesoriginal[[#This Row],[Skin Thickness]],NA())</f>
        <v>#N/A</v>
      </c>
      <c r="U119" s="5">
        <f>IF(diabetesoriginal[[#This Row],[Diabetes]]=$U$1,diabetesoriginal[[#This Row],[Insulin]],NA())</f>
        <v>125</v>
      </c>
      <c r="V119" s="5" t="e">
        <f>IF(diabetesoriginal[[#This Row],[Diabetes]]=$S$1,diabetesoriginal[[#This Row],[Insulin]],NA())</f>
        <v>#N/A</v>
      </c>
    </row>
    <row r="120" spans="1:22" x14ac:dyDescent="0.25">
      <c r="A120" s="5">
        <v>4</v>
      </c>
      <c r="B120" s="5">
        <v>97</v>
      </c>
      <c r="C120" s="5">
        <v>60</v>
      </c>
      <c r="D120" s="5" t="s">
        <v>23</v>
      </c>
      <c r="E120" s="5">
        <v>23</v>
      </c>
      <c r="F120" s="5">
        <v>125</v>
      </c>
      <c r="G120" s="5">
        <v>28.2</v>
      </c>
      <c r="H120" s="5" t="s">
        <v>30</v>
      </c>
      <c r="I120" s="5">
        <v>0.443</v>
      </c>
      <c r="J120" s="5">
        <v>22</v>
      </c>
      <c r="K120" s="5" t="s">
        <v>35</v>
      </c>
      <c r="L120" s="15">
        <v>0</v>
      </c>
      <c r="M120" s="5" t="s">
        <v>57</v>
      </c>
      <c r="N120" s="5" t="s">
        <v>58</v>
      </c>
      <c r="O120" s="5" t="s">
        <v>31</v>
      </c>
      <c r="R120" s="5">
        <f>IF(diabetesoriginal[[#This Row],[Diabetes]]=$R$1,diabetesoriginal[[#This Row],[Skin Thickness]],NA())</f>
        <v>23</v>
      </c>
      <c r="S120" s="5" t="e">
        <f>IF(diabetesoriginal[[#This Row],[Diabetes]]=$S$1,diabetesoriginal[[#This Row],[Skin Thickness]],NA())</f>
        <v>#N/A</v>
      </c>
      <c r="U120" s="5">
        <f>IF(diabetesoriginal[[#This Row],[Diabetes]]=$U$1,diabetesoriginal[[#This Row],[Insulin]],NA())</f>
        <v>125</v>
      </c>
      <c r="V120" s="5" t="e">
        <f>IF(diabetesoriginal[[#This Row],[Diabetes]]=$S$1,diabetesoriginal[[#This Row],[Insulin]],NA())</f>
        <v>#N/A</v>
      </c>
    </row>
    <row r="121" spans="1:22" x14ac:dyDescent="0.25">
      <c r="A121" s="5">
        <v>4</v>
      </c>
      <c r="B121" s="5">
        <v>99</v>
      </c>
      <c r="C121" s="5">
        <v>76</v>
      </c>
      <c r="D121" s="5" t="s">
        <v>23</v>
      </c>
      <c r="E121" s="5">
        <v>15</v>
      </c>
      <c r="F121" s="5">
        <v>51</v>
      </c>
      <c r="G121" s="5">
        <v>23.2</v>
      </c>
      <c r="H121" s="5" t="s">
        <v>31</v>
      </c>
      <c r="I121" s="5">
        <v>0.223</v>
      </c>
      <c r="J121" s="5">
        <v>21</v>
      </c>
      <c r="K121" s="5" t="s">
        <v>35</v>
      </c>
      <c r="L121" s="15">
        <v>0</v>
      </c>
      <c r="M121" s="5" t="s">
        <v>57</v>
      </c>
      <c r="N121" s="5" t="s">
        <v>58</v>
      </c>
      <c r="O121" s="5" t="s">
        <v>31</v>
      </c>
      <c r="R121" s="5">
        <f>IF(diabetesoriginal[[#This Row],[Diabetes]]=$R$1,diabetesoriginal[[#This Row],[Skin Thickness]],NA())</f>
        <v>15</v>
      </c>
      <c r="S121" s="5" t="e">
        <f>IF(diabetesoriginal[[#This Row],[Diabetes]]=$S$1,diabetesoriginal[[#This Row],[Skin Thickness]],NA())</f>
        <v>#N/A</v>
      </c>
      <c r="U121" s="5">
        <f>IF(diabetesoriginal[[#This Row],[Diabetes]]=$U$1,diabetesoriginal[[#This Row],[Insulin]],NA())</f>
        <v>51</v>
      </c>
      <c r="V121" s="5" t="e">
        <f>IF(diabetesoriginal[[#This Row],[Diabetes]]=$S$1,diabetesoriginal[[#This Row],[Insulin]],NA())</f>
        <v>#N/A</v>
      </c>
    </row>
    <row r="122" spans="1:22" x14ac:dyDescent="0.25">
      <c r="A122" s="5">
        <v>0</v>
      </c>
      <c r="B122" s="5">
        <v>162</v>
      </c>
      <c r="C122" s="5">
        <v>76</v>
      </c>
      <c r="D122" s="5" t="s">
        <v>23</v>
      </c>
      <c r="E122" s="5">
        <v>56</v>
      </c>
      <c r="F122" s="5">
        <v>100</v>
      </c>
      <c r="G122" s="5">
        <v>53.2</v>
      </c>
      <c r="H122" s="5" t="s">
        <v>32</v>
      </c>
      <c r="I122" s="5">
        <v>0.75900000000000001</v>
      </c>
      <c r="J122" s="5">
        <v>25</v>
      </c>
      <c r="K122" s="5" t="s">
        <v>35</v>
      </c>
      <c r="L122" s="15">
        <v>1</v>
      </c>
      <c r="M122" s="5" t="s">
        <v>22</v>
      </c>
      <c r="N122" s="5" t="s">
        <v>56</v>
      </c>
      <c r="O122" s="5" t="s">
        <v>31</v>
      </c>
      <c r="R122" s="5" t="e">
        <f>IF(diabetesoriginal[[#This Row],[Diabetes]]=$R$1,diabetesoriginal[[#This Row],[Skin Thickness]],NA())</f>
        <v>#N/A</v>
      </c>
      <c r="S122" s="5">
        <f>IF(diabetesoriginal[[#This Row],[Diabetes]]=$S$1,diabetesoriginal[[#This Row],[Skin Thickness]],NA())</f>
        <v>56</v>
      </c>
      <c r="U122" s="5" t="e">
        <f>IF(diabetesoriginal[[#This Row],[Diabetes]]=$U$1,diabetesoriginal[[#This Row],[Insulin]],NA())</f>
        <v>#N/A</v>
      </c>
      <c r="V122" s="5">
        <f>IF(diabetesoriginal[[#This Row],[Diabetes]]=$S$1,diabetesoriginal[[#This Row],[Insulin]],NA())</f>
        <v>100</v>
      </c>
    </row>
    <row r="123" spans="1:22" x14ac:dyDescent="0.25">
      <c r="A123" s="5">
        <v>6</v>
      </c>
      <c r="B123" s="5">
        <v>111</v>
      </c>
      <c r="C123" s="5">
        <v>64</v>
      </c>
      <c r="D123" s="5" t="s">
        <v>23</v>
      </c>
      <c r="E123" s="5">
        <v>39</v>
      </c>
      <c r="F123" s="5">
        <v>125</v>
      </c>
      <c r="G123" s="5">
        <v>34.200000000000003</v>
      </c>
      <c r="H123" s="5" t="s">
        <v>29</v>
      </c>
      <c r="I123" s="5">
        <v>0.26</v>
      </c>
      <c r="J123" s="5">
        <v>24</v>
      </c>
      <c r="K123" s="5" t="s">
        <v>35</v>
      </c>
      <c r="L123" s="15">
        <v>0</v>
      </c>
      <c r="M123" s="5" t="s">
        <v>57</v>
      </c>
      <c r="N123" s="5" t="s">
        <v>56</v>
      </c>
      <c r="O123" s="5" t="s">
        <v>31</v>
      </c>
      <c r="R123" s="5">
        <f>IF(diabetesoriginal[[#This Row],[Diabetes]]=$R$1,diabetesoriginal[[#This Row],[Skin Thickness]],NA())</f>
        <v>39</v>
      </c>
      <c r="S123" s="5" t="e">
        <f>IF(diabetesoriginal[[#This Row],[Diabetes]]=$S$1,diabetesoriginal[[#This Row],[Skin Thickness]],NA())</f>
        <v>#N/A</v>
      </c>
      <c r="U123" s="5">
        <f>IF(diabetesoriginal[[#This Row],[Diabetes]]=$U$1,diabetesoriginal[[#This Row],[Insulin]],NA())</f>
        <v>125</v>
      </c>
      <c r="V123" s="5" t="e">
        <f>IF(diabetesoriginal[[#This Row],[Diabetes]]=$S$1,diabetesoriginal[[#This Row],[Insulin]],NA())</f>
        <v>#N/A</v>
      </c>
    </row>
    <row r="124" spans="1:22" x14ac:dyDescent="0.25">
      <c r="A124" s="5">
        <v>2</v>
      </c>
      <c r="B124" s="5">
        <v>107</v>
      </c>
      <c r="C124" s="5">
        <v>74</v>
      </c>
      <c r="D124" s="5" t="s">
        <v>23</v>
      </c>
      <c r="E124" s="5">
        <v>30</v>
      </c>
      <c r="F124" s="5">
        <v>100</v>
      </c>
      <c r="G124" s="5">
        <v>33.6</v>
      </c>
      <c r="H124" s="5" t="s">
        <v>29</v>
      </c>
      <c r="I124" s="5">
        <v>0.40400000000000003</v>
      </c>
      <c r="J124" s="5">
        <v>23</v>
      </c>
      <c r="K124" s="5" t="s">
        <v>35</v>
      </c>
      <c r="L124" s="15">
        <v>0</v>
      </c>
      <c r="M124" s="5" t="s">
        <v>57</v>
      </c>
      <c r="N124" s="5" t="s">
        <v>56</v>
      </c>
      <c r="O124" s="5" t="s">
        <v>31</v>
      </c>
      <c r="R124" s="5">
        <f>IF(diabetesoriginal[[#This Row],[Diabetes]]=$R$1,diabetesoriginal[[#This Row],[Skin Thickness]],NA())</f>
        <v>30</v>
      </c>
      <c r="S124" s="5" t="e">
        <f>IF(diabetesoriginal[[#This Row],[Diabetes]]=$S$1,diabetesoriginal[[#This Row],[Skin Thickness]],NA())</f>
        <v>#N/A</v>
      </c>
      <c r="U124" s="5">
        <f>IF(diabetesoriginal[[#This Row],[Diabetes]]=$U$1,diabetesoriginal[[#This Row],[Insulin]],NA())</f>
        <v>100</v>
      </c>
      <c r="V124" s="5" t="e">
        <f>IF(diabetesoriginal[[#This Row],[Diabetes]]=$S$1,diabetesoriginal[[#This Row],[Insulin]],NA())</f>
        <v>#N/A</v>
      </c>
    </row>
    <row r="125" spans="1:22" x14ac:dyDescent="0.25">
      <c r="A125" s="5">
        <v>5</v>
      </c>
      <c r="B125" s="5">
        <v>132</v>
      </c>
      <c r="C125" s="5">
        <v>80</v>
      </c>
      <c r="D125" s="5" t="s">
        <v>25</v>
      </c>
      <c r="E125" s="5">
        <v>29</v>
      </c>
      <c r="F125" s="5">
        <v>125</v>
      </c>
      <c r="G125" s="5">
        <v>26.8</v>
      </c>
      <c r="H125" s="5" t="s">
        <v>30</v>
      </c>
      <c r="I125" s="5">
        <v>0.186</v>
      </c>
      <c r="J125" s="5">
        <v>69</v>
      </c>
      <c r="K125" s="5" t="s">
        <v>39</v>
      </c>
      <c r="L125" s="15">
        <v>0</v>
      </c>
      <c r="M125" s="5" t="s">
        <v>57</v>
      </c>
      <c r="N125" s="5" t="s">
        <v>56</v>
      </c>
      <c r="O125" s="5" t="s">
        <v>31</v>
      </c>
      <c r="R125" s="5">
        <f>IF(diabetesoriginal[[#This Row],[Diabetes]]=$R$1,diabetesoriginal[[#This Row],[Skin Thickness]],NA())</f>
        <v>29</v>
      </c>
      <c r="S125" s="5" t="e">
        <f>IF(diabetesoriginal[[#This Row],[Diabetes]]=$S$1,diabetesoriginal[[#This Row],[Skin Thickness]],NA())</f>
        <v>#N/A</v>
      </c>
      <c r="U125" s="5">
        <f>IF(diabetesoriginal[[#This Row],[Diabetes]]=$U$1,diabetesoriginal[[#This Row],[Insulin]],NA())</f>
        <v>125</v>
      </c>
      <c r="V125" s="5" t="e">
        <f>IF(diabetesoriginal[[#This Row],[Diabetes]]=$S$1,diabetesoriginal[[#This Row],[Insulin]],NA())</f>
        <v>#N/A</v>
      </c>
    </row>
    <row r="126" spans="1:22" x14ac:dyDescent="0.25">
      <c r="A126" s="5">
        <v>0</v>
      </c>
      <c r="B126" s="5">
        <v>113</v>
      </c>
      <c r="C126" s="5">
        <v>76</v>
      </c>
      <c r="D126" s="5" t="s">
        <v>23</v>
      </c>
      <c r="E126" s="5">
        <v>29</v>
      </c>
      <c r="F126" s="5">
        <v>125</v>
      </c>
      <c r="G126" s="5">
        <v>33.299999999999997</v>
      </c>
      <c r="H126" s="5" t="s">
        <v>29</v>
      </c>
      <c r="I126" s="5">
        <v>0.27800000000000002</v>
      </c>
      <c r="J126" s="5">
        <v>23</v>
      </c>
      <c r="K126" s="5" t="s">
        <v>35</v>
      </c>
      <c r="L126" s="15">
        <v>1</v>
      </c>
      <c r="M126" s="5" t="s">
        <v>57</v>
      </c>
      <c r="N126" s="5" t="s">
        <v>56</v>
      </c>
      <c r="O126" s="5" t="s">
        <v>31</v>
      </c>
      <c r="R126" s="5" t="e">
        <f>IF(diabetesoriginal[[#This Row],[Diabetes]]=$R$1,diabetesoriginal[[#This Row],[Skin Thickness]],NA())</f>
        <v>#N/A</v>
      </c>
      <c r="S126" s="5">
        <f>IF(diabetesoriginal[[#This Row],[Diabetes]]=$S$1,diabetesoriginal[[#This Row],[Skin Thickness]],NA())</f>
        <v>29</v>
      </c>
      <c r="U126" s="5" t="e">
        <f>IF(diabetesoriginal[[#This Row],[Diabetes]]=$U$1,diabetesoriginal[[#This Row],[Insulin]],NA())</f>
        <v>#N/A</v>
      </c>
      <c r="V126" s="5">
        <f>IF(diabetesoriginal[[#This Row],[Diabetes]]=$S$1,diabetesoriginal[[#This Row],[Insulin]],NA())</f>
        <v>125</v>
      </c>
    </row>
    <row r="127" spans="1:22" x14ac:dyDescent="0.25">
      <c r="A127" s="5">
        <v>1</v>
      </c>
      <c r="B127" s="5">
        <v>88</v>
      </c>
      <c r="C127" s="5">
        <v>30</v>
      </c>
      <c r="D127" s="5" t="s">
        <v>23</v>
      </c>
      <c r="E127" s="5">
        <v>42</v>
      </c>
      <c r="F127" s="5">
        <v>99</v>
      </c>
      <c r="G127" s="5">
        <v>55</v>
      </c>
      <c r="H127" s="5" t="s">
        <v>32</v>
      </c>
      <c r="I127" s="5">
        <v>0.496</v>
      </c>
      <c r="J127" s="5">
        <v>26</v>
      </c>
      <c r="K127" s="5" t="s">
        <v>35</v>
      </c>
      <c r="L127" s="15">
        <v>1</v>
      </c>
      <c r="M127" s="5" t="s">
        <v>57</v>
      </c>
      <c r="N127" s="5" t="s">
        <v>56</v>
      </c>
      <c r="O127" s="5" t="s">
        <v>31</v>
      </c>
      <c r="R127" s="5" t="e">
        <f>IF(diabetesoriginal[[#This Row],[Diabetes]]=$R$1,diabetesoriginal[[#This Row],[Skin Thickness]],NA())</f>
        <v>#N/A</v>
      </c>
      <c r="S127" s="5">
        <f>IF(diabetesoriginal[[#This Row],[Diabetes]]=$S$1,diabetesoriginal[[#This Row],[Skin Thickness]],NA())</f>
        <v>42</v>
      </c>
      <c r="U127" s="5" t="e">
        <f>IF(diabetesoriginal[[#This Row],[Diabetes]]=$U$1,diabetesoriginal[[#This Row],[Insulin]],NA())</f>
        <v>#N/A</v>
      </c>
      <c r="V127" s="5">
        <f>IF(diabetesoriginal[[#This Row],[Diabetes]]=$S$1,diabetesoriginal[[#This Row],[Insulin]],NA())</f>
        <v>99</v>
      </c>
    </row>
    <row r="128" spans="1:22" x14ac:dyDescent="0.25">
      <c r="A128" s="5">
        <v>3</v>
      </c>
      <c r="B128" s="5">
        <v>120</v>
      </c>
      <c r="C128" s="5">
        <v>70</v>
      </c>
      <c r="D128" s="5" t="s">
        <v>23</v>
      </c>
      <c r="E128" s="5">
        <v>30</v>
      </c>
      <c r="F128" s="5">
        <v>135</v>
      </c>
      <c r="G128" s="5">
        <v>42.9</v>
      </c>
      <c r="H128" s="5" t="s">
        <v>32</v>
      </c>
      <c r="I128" s="5">
        <v>0.45200000000000001</v>
      </c>
      <c r="J128" s="5">
        <v>30</v>
      </c>
      <c r="K128" s="5" t="s">
        <v>36</v>
      </c>
      <c r="L128" s="15">
        <v>0</v>
      </c>
      <c r="M128" s="5" t="s">
        <v>57</v>
      </c>
      <c r="N128" s="5" t="s">
        <v>56</v>
      </c>
      <c r="O128" s="5" t="s">
        <v>31</v>
      </c>
      <c r="R128" s="5">
        <f>IF(diabetesoriginal[[#This Row],[Diabetes]]=$R$1,diabetesoriginal[[#This Row],[Skin Thickness]],NA())</f>
        <v>30</v>
      </c>
      <c r="S128" s="5" t="e">
        <f>IF(diabetesoriginal[[#This Row],[Diabetes]]=$S$1,diabetesoriginal[[#This Row],[Skin Thickness]],NA())</f>
        <v>#N/A</v>
      </c>
      <c r="U128" s="5">
        <f>IF(diabetesoriginal[[#This Row],[Diabetes]]=$U$1,diabetesoriginal[[#This Row],[Insulin]],NA())</f>
        <v>135</v>
      </c>
      <c r="V128" s="5" t="e">
        <f>IF(diabetesoriginal[[#This Row],[Diabetes]]=$S$1,diabetesoriginal[[#This Row],[Insulin]],NA())</f>
        <v>#N/A</v>
      </c>
    </row>
    <row r="129" spans="1:22" x14ac:dyDescent="0.25">
      <c r="A129" s="5">
        <v>1</v>
      </c>
      <c r="B129" s="5">
        <v>118</v>
      </c>
      <c r="C129" s="5">
        <v>58</v>
      </c>
      <c r="D129" s="5" t="s">
        <v>23</v>
      </c>
      <c r="E129" s="5">
        <v>36</v>
      </c>
      <c r="F129" s="5">
        <v>94</v>
      </c>
      <c r="G129" s="5">
        <v>33.299999999999997</v>
      </c>
      <c r="H129" s="5" t="s">
        <v>29</v>
      </c>
      <c r="I129" s="5">
        <v>0.26100000000000001</v>
      </c>
      <c r="J129" s="5">
        <v>23</v>
      </c>
      <c r="K129" s="5" t="s">
        <v>35</v>
      </c>
      <c r="L129" s="15">
        <v>0</v>
      </c>
      <c r="M129" s="5" t="s">
        <v>57</v>
      </c>
      <c r="N129" s="5" t="s">
        <v>56</v>
      </c>
      <c r="O129" s="5" t="s">
        <v>31</v>
      </c>
      <c r="R129" s="5">
        <f>IF(diabetesoriginal[[#This Row],[Diabetes]]=$R$1,diabetesoriginal[[#This Row],[Skin Thickness]],NA())</f>
        <v>36</v>
      </c>
      <c r="S129" s="5" t="e">
        <f>IF(diabetesoriginal[[#This Row],[Diabetes]]=$S$1,diabetesoriginal[[#This Row],[Skin Thickness]],NA())</f>
        <v>#N/A</v>
      </c>
      <c r="U129" s="5">
        <f>IF(diabetesoriginal[[#This Row],[Diabetes]]=$U$1,diabetesoriginal[[#This Row],[Insulin]],NA())</f>
        <v>94</v>
      </c>
      <c r="V129" s="5" t="e">
        <f>IF(diabetesoriginal[[#This Row],[Diabetes]]=$S$1,diabetesoriginal[[#This Row],[Insulin]],NA())</f>
        <v>#N/A</v>
      </c>
    </row>
    <row r="130" spans="1:22" x14ac:dyDescent="0.25">
      <c r="A130" s="5">
        <v>1</v>
      </c>
      <c r="B130" s="5">
        <v>117</v>
      </c>
      <c r="C130" s="5">
        <v>88</v>
      </c>
      <c r="D130" s="5" t="s">
        <v>25</v>
      </c>
      <c r="E130" s="5">
        <v>24</v>
      </c>
      <c r="F130" s="5">
        <v>145</v>
      </c>
      <c r="G130" s="5">
        <v>34.5</v>
      </c>
      <c r="H130" s="5" t="s">
        <v>29</v>
      </c>
      <c r="I130" s="5">
        <v>0.40300000000000002</v>
      </c>
      <c r="J130" s="5">
        <v>40</v>
      </c>
      <c r="K130" s="5" t="s">
        <v>37</v>
      </c>
      <c r="L130" s="15">
        <v>1</v>
      </c>
      <c r="M130" s="5" t="s">
        <v>57</v>
      </c>
      <c r="N130" s="5" t="s">
        <v>56</v>
      </c>
      <c r="O130" s="5" t="s">
        <v>31</v>
      </c>
      <c r="R130" s="5" t="e">
        <f>IF(diabetesoriginal[[#This Row],[Diabetes]]=$R$1,diabetesoriginal[[#This Row],[Skin Thickness]],NA())</f>
        <v>#N/A</v>
      </c>
      <c r="S130" s="5">
        <f>IF(diabetesoriginal[[#This Row],[Diabetes]]=$S$1,diabetesoriginal[[#This Row],[Skin Thickness]],NA())</f>
        <v>24</v>
      </c>
      <c r="U130" s="5" t="e">
        <f>IF(diabetesoriginal[[#This Row],[Diabetes]]=$U$1,diabetesoriginal[[#This Row],[Insulin]],NA())</f>
        <v>#N/A</v>
      </c>
      <c r="V130" s="5">
        <f>IF(diabetesoriginal[[#This Row],[Diabetes]]=$S$1,diabetesoriginal[[#This Row],[Insulin]],NA())</f>
        <v>145</v>
      </c>
    </row>
    <row r="131" spans="1:22" x14ac:dyDescent="0.25">
      <c r="A131" s="5">
        <v>0</v>
      </c>
      <c r="B131" s="5">
        <v>105</v>
      </c>
      <c r="C131" s="5">
        <v>84</v>
      </c>
      <c r="D131" s="5" t="s">
        <v>25</v>
      </c>
      <c r="E131" s="5">
        <v>29</v>
      </c>
      <c r="F131" s="5">
        <v>125</v>
      </c>
      <c r="G131" s="5">
        <v>27.9</v>
      </c>
      <c r="H131" s="5" t="s">
        <v>30</v>
      </c>
      <c r="I131" s="5">
        <v>0.74099999999999999</v>
      </c>
      <c r="J131" s="5">
        <v>62</v>
      </c>
      <c r="K131" s="5" t="s">
        <v>39</v>
      </c>
      <c r="L131" s="15">
        <v>1</v>
      </c>
      <c r="M131" s="5" t="s">
        <v>57</v>
      </c>
      <c r="N131" s="5" t="s">
        <v>56</v>
      </c>
      <c r="O131" s="5" t="s">
        <v>31</v>
      </c>
      <c r="R131" s="5" t="e">
        <f>IF(diabetesoriginal[[#This Row],[Diabetes]]=$R$1,diabetesoriginal[[#This Row],[Skin Thickness]],NA())</f>
        <v>#N/A</v>
      </c>
      <c r="S131" s="5">
        <f>IF(diabetesoriginal[[#This Row],[Diabetes]]=$S$1,diabetesoriginal[[#This Row],[Skin Thickness]],NA())</f>
        <v>29</v>
      </c>
      <c r="U131" s="5" t="e">
        <f>IF(diabetesoriginal[[#This Row],[Diabetes]]=$U$1,diabetesoriginal[[#This Row],[Insulin]],NA())</f>
        <v>#N/A</v>
      </c>
      <c r="V131" s="5">
        <f>IF(diabetesoriginal[[#This Row],[Diabetes]]=$S$1,diabetesoriginal[[#This Row],[Insulin]],NA())</f>
        <v>125</v>
      </c>
    </row>
    <row r="132" spans="1:22" x14ac:dyDescent="0.25">
      <c r="A132" s="5">
        <v>4</v>
      </c>
      <c r="B132" s="5">
        <v>173</v>
      </c>
      <c r="C132" s="5">
        <v>70</v>
      </c>
      <c r="D132" s="5" t="s">
        <v>23</v>
      </c>
      <c r="E132" s="5">
        <v>14</v>
      </c>
      <c r="F132" s="5">
        <v>168</v>
      </c>
      <c r="G132" s="5">
        <v>29.7</v>
      </c>
      <c r="H132" s="5" t="s">
        <v>30</v>
      </c>
      <c r="I132" s="5">
        <v>0.36099999999999999</v>
      </c>
      <c r="J132" s="5">
        <v>33</v>
      </c>
      <c r="K132" s="5" t="s">
        <v>36</v>
      </c>
      <c r="L132" s="15">
        <v>1</v>
      </c>
      <c r="M132" s="5" t="s">
        <v>22</v>
      </c>
      <c r="N132" s="5" t="s">
        <v>58</v>
      </c>
      <c r="O132" s="5" t="s">
        <v>59</v>
      </c>
      <c r="R132" s="5" t="e">
        <f>IF(diabetesoriginal[[#This Row],[Diabetes]]=$R$1,diabetesoriginal[[#This Row],[Skin Thickness]],NA())</f>
        <v>#N/A</v>
      </c>
      <c r="S132" s="5">
        <f>IF(diabetesoriginal[[#This Row],[Diabetes]]=$S$1,diabetesoriginal[[#This Row],[Skin Thickness]],NA())</f>
        <v>14</v>
      </c>
      <c r="U132" s="5" t="e">
        <f>IF(diabetesoriginal[[#This Row],[Diabetes]]=$U$1,diabetesoriginal[[#This Row],[Insulin]],NA())</f>
        <v>#N/A</v>
      </c>
      <c r="V132" s="5">
        <f>IF(diabetesoriginal[[#This Row],[Diabetes]]=$S$1,diabetesoriginal[[#This Row],[Insulin]],NA())</f>
        <v>168</v>
      </c>
    </row>
    <row r="133" spans="1:22" x14ac:dyDescent="0.25">
      <c r="A133" s="5">
        <v>9</v>
      </c>
      <c r="B133" s="5">
        <v>122</v>
      </c>
      <c r="C133" s="5">
        <v>56</v>
      </c>
      <c r="D133" s="5" t="s">
        <v>23</v>
      </c>
      <c r="E133" s="5">
        <v>29</v>
      </c>
      <c r="F133" s="5">
        <v>125</v>
      </c>
      <c r="G133" s="5">
        <v>33.299999999999997</v>
      </c>
      <c r="H133" s="5" t="s">
        <v>29</v>
      </c>
      <c r="I133" s="5">
        <v>1.1140000000000001</v>
      </c>
      <c r="J133" s="5">
        <v>33</v>
      </c>
      <c r="K133" s="5" t="s">
        <v>36</v>
      </c>
      <c r="L133" s="15">
        <v>1</v>
      </c>
      <c r="M133" s="5" t="s">
        <v>57</v>
      </c>
      <c r="N133" s="5" t="s">
        <v>56</v>
      </c>
      <c r="O133" s="5" t="s">
        <v>31</v>
      </c>
      <c r="R133" s="5" t="e">
        <f>IF(diabetesoriginal[[#This Row],[Diabetes]]=$R$1,diabetesoriginal[[#This Row],[Skin Thickness]],NA())</f>
        <v>#N/A</v>
      </c>
      <c r="S133" s="5">
        <f>IF(diabetesoriginal[[#This Row],[Diabetes]]=$S$1,diabetesoriginal[[#This Row],[Skin Thickness]],NA())</f>
        <v>29</v>
      </c>
      <c r="U133" s="5" t="e">
        <f>IF(diabetesoriginal[[#This Row],[Diabetes]]=$U$1,diabetesoriginal[[#This Row],[Insulin]],NA())</f>
        <v>#N/A</v>
      </c>
      <c r="V133" s="5">
        <f>IF(diabetesoriginal[[#This Row],[Diabetes]]=$S$1,diabetesoriginal[[#This Row],[Insulin]],NA())</f>
        <v>125</v>
      </c>
    </row>
    <row r="134" spans="1:22" x14ac:dyDescent="0.25">
      <c r="A134" s="5">
        <v>3</v>
      </c>
      <c r="B134" s="5">
        <v>170</v>
      </c>
      <c r="C134" s="5">
        <v>64</v>
      </c>
      <c r="D134" s="5" t="s">
        <v>23</v>
      </c>
      <c r="E134" s="5">
        <v>37</v>
      </c>
      <c r="F134" s="5">
        <v>225</v>
      </c>
      <c r="G134" s="5">
        <v>34.5</v>
      </c>
      <c r="H134" s="5" t="s">
        <v>29</v>
      </c>
      <c r="I134" s="5">
        <v>0.35599999999999998</v>
      </c>
      <c r="J134" s="5">
        <v>30</v>
      </c>
      <c r="K134" s="5" t="s">
        <v>36</v>
      </c>
      <c r="L134" s="15">
        <v>1</v>
      </c>
      <c r="M134" s="5" t="s">
        <v>22</v>
      </c>
      <c r="N134" s="5" t="s">
        <v>56</v>
      </c>
      <c r="O134" s="5" t="s">
        <v>59</v>
      </c>
      <c r="R134" s="5" t="e">
        <f>IF(diabetesoriginal[[#This Row],[Diabetes]]=$R$1,diabetesoriginal[[#This Row],[Skin Thickness]],NA())</f>
        <v>#N/A</v>
      </c>
      <c r="S134" s="5">
        <f>IF(diabetesoriginal[[#This Row],[Diabetes]]=$S$1,diabetesoriginal[[#This Row],[Skin Thickness]],NA())</f>
        <v>37</v>
      </c>
      <c r="U134" s="5" t="e">
        <f>IF(diabetesoriginal[[#This Row],[Diabetes]]=$U$1,diabetesoriginal[[#This Row],[Insulin]],NA())</f>
        <v>#N/A</v>
      </c>
      <c r="V134" s="5">
        <f>IF(diabetesoriginal[[#This Row],[Diabetes]]=$S$1,diabetesoriginal[[#This Row],[Insulin]],NA())</f>
        <v>225</v>
      </c>
    </row>
    <row r="135" spans="1:22" x14ac:dyDescent="0.25">
      <c r="A135" s="5">
        <v>8</v>
      </c>
      <c r="B135" s="5">
        <v>84</v>
      </c>
      <c r="C135" s="5">
        <v>74</v>
      </c>
      <c r="D135" s="5" t="s">
        <v>23</v>
      </c>
      <c r="E135" s="5">
        <v>31</v>
      </c>
      <c r="F135" s="5">
        <v>125</v>
      </c>
      <c r="G135" s="5">
        <v>38.299999999999997</v>
      </c>
      <c r="H135" s="5" t="s">
        <v>29</v>
      </c>
      <c r="I135" s="5">
        <v>0.45700000000000002</v>
      </c>
      <c r="J135" s="5">
        <v>39</v>
      </c>
      <c r="K135" s="5" t="s">
        <v>36</v>
      </c>
      <c r="L135" s="15">
        <v>0</v>
      </c>
      <c r="M135" s="5" t="s">
        <v>57</v>
      </c>
      <c r="N135" s="5" t="s">
        <v>56</v>
      </c>
      <c r="O135" s="5" t="s">
        <v>31</v>
      </c>
      <c r="R135" s="5">
        <f>IF(diabetesoriginal[[#This Row],[Diabetes]]=$R$1,diabetesoriginal[[#This Row],[Skin Thickness]],NA())</f>
        <v>31</v>
      </c>
      <c r="S135" s="5" t="e">
        <f>IF(diabetesoriginal[[#This Row],[Diabetes]]=$S$1,diabetesoriginal[[#This Row],[Skin Thickness]],NA())</f>
        <v>#N/A</v>
      </c>
      <c r="U135" s="5">
        <f>IF(diabetesoriginal[[#This Row],[Diabetes]]=$U$1,diabetesoriginal[[#This Row],[Insulin]],NA())</f>
        <v>125</v>
      </c>
      <c r="V135" s="5" t="e">
        <f>IF(diabetesoriginal[[#This Row],[Diabetes]]=$S$1,diabetesoriginal[[#This Row],[Insulin]],NA())</f>
        <v>#N/A</v>
      </c>
    </row>
    <row r="136" spans="1:22" x14ac:dyDescent="0.25">
      <c r="A136" s="5">
        <v>2</v>
      </c>
      <c r="B136" s="5">
        <v>96</v>
      </c>
      <c r="C136" s="5">
        <v>68</v>
      </c>
      <c r="D136" s="5" t="s">
        <v>23</v>
      </c>
      <c r="E136" s="5">
        <v>13</v>
      </c>
      <c r="F136" s="5">
        <v>49</v>
      </c>
      <c r="G136" s="5">
        <v>21.1</v>
      </c>
      <c r="H136" s="5" t="s">
        <v>31</v>
      </c>
      <c r="I136" s="5">
        <v>0.64700000000000002</v>
      </c>
      <c r="J136" s="5">
        <v>26</v>
      </c>
      <c r="K136" s="5" t="s">
        <v>35</v>
      </c>
      <c r="L136" s="15">
        <v>0</v>
      </c>
      <c r="M136" s="5" t="s">
        <v>57</v>
      </c>
      <c r="N136" s="5" t="s">
        <v>58</v>
      </c>
      <c r="O136" s="5" t="s">
        <v>31</v>
      </c>
      <c r="R136" s="5">
        <f>IF(diabetesoriginal[[#This Row],[Diabetes]]=$R$1,diabetesoriginal[[#This Row],[Skin Thickness]],NA())</f>
        <v>13</v>
      </c>
      <c r="S136" s="5" t="e">
        <f>IF(diabetesoriginal[[#This Row],[Diabetes]]=$S$1,diabetesoriginal[[#This Row],[Skin Thickness]],NA())</f>
        <v>#N/A</v>
      </c>
      <c r="U136" s="5">
        <f>IF(diabetesoriginal[[#This Row],[Diabetes]]=$U$1,diabetesoriginal[[#This Row],[Insulin]],NA())</f>
        <v>49</v>
      </c>
      <c r="V136" s="5" t="e">
        <f>IF(diabetesoriginal[[#This Row],[Diabetes]]=$S$1,diabetesoriginal[[#This Row],[Insulin]],NA())</f>
        <v>#N/A</v>
      </c>
    </row>
    <row r="137" spans="1:22" x14ac:dyDescent="0.25">
      <c r="A137" s="5">
        <v>2</v>
      </c>
      <c r="B137" s="5">
        <v>125</v>
      </c>
      <c r="C137" s="5">
        <v>60</v>
      </c>
      <c r="D137" s="5" t="s">
        <v>23</v>
      </c>
      <c r="E137" s="5">
        <v>20</v>
      </c>
      <c r="F137" s="5">
        <v>140</v>
      </c>
      <c r="G137" s="5">
        <v>33.799999999999997</v>
      </c>
      <c r="H137" s="5" t="s">
        <v>29</v>
      </c>
      <c r="I137" s="5">
        <v>8.7999999999999995E-2</v>
      </c>
      <c r="J137" s="5">
        <v>31</v>
      </c>
      <c r="K137" s="5" t="s">
        <v>36</v>
      </c>
      <c r="L137" s="15">
        <v>0</v>
      </c>
      <c r="M137" s="5" t="s">
        <v>57</v>
      </c>
      <c r="N137" s="5" t="s">
        <v>58</v>
      </c>
      <c r="O137" s="5" t="s">
        <v>31</v>
      </c>
      <c r="R137" s="5">
        <f>IF(diabetesoriginal[[#This Row],[Diabetes]]=$R$1,diabetesoriginal[[#This Row],[Skin Thickness]],NA())</f>
        <v>20</v>
      </c>
      <c r="S137" s="5" t="e">
        <f>IF(diabetesoriginal[[#This Row],[Diabetes]]=$S$1,diabetesoriginal[[#This Row],[Skin Thickness]],NA())</f>
        <v>#N/A</v>
      </c>
      <c r="U137" s="5">
        <f>IF(diabetesoriginal[[#This Row],[Diabetes]]=$U$1,diabetesoriginal[[#This Row],[Insulin]],NA())</f>
        <v>140</v>
      </c>
      <c r="V137" s="5" t="e">
        <f>IF(diabetesoriginal[[#This Row],[Diabetes]]=$S$1,diabetesoriginal[[#This Row],[Insulin]],NA())</f>
        <v>#N/A</v>
      </c>
    </row>
    <row r="138" spans="1:22" x14ac:dyDescent="0.25">
      <c r="A138" s="5">
        <v>0</v>
      </c>
      <c r="B138" s="5">
        <v>100</v>
      </c>
      <c r="C138" s="5">
        <v>70</v>
      </c>
      <c r="D138" s="5" t="s">
        <v>23</v>
      </c>
      <c r="E138" s="5">
        <v>26</v>
      </c>
      <c r="F138" s="5">
        <v>50</v>
      </c>
      <c r="G138" s="5">
        <v>30.8</v>
      </c>
      <c r="H138" s="5" t="s">
        <v>29</v>
      </c>
      <c r="I138" s="5">
        <v>0.59699999999999998</v>
      </c>
      <c r="J138" s="5">
        <v>21</v>
      </c>
      <c r="K138" s="5" t="s">
        <v>35</v>
      </c>
      <c r="L138" s="15">
        <v>0</v>
      </c>
      <c r="M138" s="5" t="s">
        <v>57</v>
      </c>
      <c r="N138" s="5" t="s">
        <v>56</v>
      </c>
      <c r="O138" s="5" t="s">
        <v>31</v>
      </c>
      <c r="R138" s="5">
        <f>IF(diabetesoriginal[[#This Row],[Diabetes]]=$R$1,diabetesoriginal[[#This Row],[Skin Thickness]],NA())</f>
        <v>26</v>
      </c>
      <c r="S138" s="5" t="e">
        <f>IF(diabetesoriginal[[#This Row],[Diabetes]]=$S$1,diabetesoriginal[[#This Row],[Skin Thickness]],NA())</f>
        <v>#N/A</v>
      </c>
      <c r="U138" s="5">
        <f>IF(diabetesoriginal[[#This Row],[Diabetes]]=$U$1,diabetesoriginal[[#This Row],[Insulin]],NA())</f>
        <v>50</v>
      </c>
      <c r="V138" s="5" t="e">
        <f>IF(diabetesoriginal[[#This Row],[Diabetes]]=$S$1,diabetesoriginal[[#This Row],[Insulin]],NA())</f>
        <v>#N/A</v>
      </c>
    </row>
    <row r="139" spans="1:22" x14ac:dyDescent="0.25">
      <c r="A139" s="5">
        <v>0</v>
      </c>
      <c r="B139" s="5">
        <v>93</v>
      </c>
      <c r="C139" s="5">
        <v>60</v>
      </c>
      <c r="D139" s="5" t="s">
        <v>23</v>
      </c>
      <c r="E139" s="5">
        <v>25</v>
      </c>
      <c r="F139" s="5">
        <v>92</v>
      </c>
      <c r="G139" s="5">
        <v>28.7</v>
      </c>
      <c r="H139" s="5" t="s">
        <v>30</v>
      </c>
      <c r="I139" s="5">
        <v>0.53200000000000003</v>
      </c>
      <c r="J139" s="5">
        <v>22</v>
      </c>
      <c r="K139" s="5" t="s">
        <v>35</v>
      </c>
      <c r="L139" s="15">
        <v>0</v>
      </c>
      <c r="M139" s="5" t="s">
        <v>57</v>
      </c>
      <c r="N139" s="5" t="s">
        <v>56</v>
      </c>
      <c r="O139" s="5" t="s">
        <v>31</v>
      </c>
      <c r="R139" s="5">
        <f>IF(diabetesoriginal[[#This Row],[Diabetes]]=$R$1,diabetesoriginal[[#This Row],[Skin Thickness]],NA())</f>
        <v>25</v>
      </c>
      <c r="S139" s="5" t="e">
        <f>IF(diabetesoriginal[[#This Row],[Diabetes]]=$S$1,diabetesoriginal[[#This Row],[Skin Thickness]],NA())</f>
        <v>#N/A</v>
      </c>
      <c r="U139" s="5">
        <f>IF(diabetesoriginal[[#This Row],[Diabetes]]=$U$1,diabetesoriginal[[#This Row],[Insulin]],NA())</f>
        <v>92</v>
      </c>
      <c r="V139" s="5" t="e">
        <f>IF(diabetesoriginal[[#This Row],[Diabetes]]=$S$1,diabetesoriginal[[#This Row],[Insulin]],NA())</f>
        <v>#N/A</v>
      </c>
    </row>
    <row r="140" spans="1:22" x14ac:dyDescent="0.25">
      <c r="A140" s="5">
        <v>0</v>
      </c>
      <c r="B140" s="5">
        <v>129</v>
      </c>
      <c r="C140" s="5">
        <v>80</v>
      </c>
      <c r="D140" s="5" t="s">
        <v>25</v>
      </c>
      <c r="E140" s="5">
        <v>29</v>
      </c>
      <c r="F140" s="5">
        <v>125</v>
      </c>
      <c r="G140" s="5">
        <v>31.2</v>
      </c>
      <c r="H140" s="5" t="s">
        <v>29</v>
      </c>
      <c r="I140" s="5">
        <v>0.70299999999999996</v>
      </c>
      <c r="J140" s="5">
        <v>29</v>
      </c>
      <c r="K140" s="5" t="s">
        <v>35</v>
      </c>
      <c r="L140" s="15">
        <v>0</v>
      </c>
      <c r="M140" s="5" t="s">
        <v>57</v>
      </c>
      <c r="N140" s="5" t="s">
        <v>56</v>
      </c>
      <c r="O140" s="5" t="s">
        <v>31</v>
      </c>
      <c r="R140" s="5">
        <f>IF(diabetesoriginal[[#This Row],[Diabetes]]=$R$1,diabetesoriginal[[#This Row],[Skin Thickness]],NA())</f>
        <v>29</v>
      </c>
      <c r="S140" s="5" t="e">
        <f>IF(diabetesoriginal[[#This Row],[Diabetes]]=$S$1,diabetesoriginal[[#This Row],[Skin Thickness]],NA())</f>
        <v>#N/A</v>
      </c>
      <c r="U140" s="5">
        <f>IF(diabetesoriginal[[#This Row],[Diabetes]]=$U$1,diabetesoriginal[[#This Row],[Insulin]],NA())</f>
        <v>125</v>
      </c>
      <c r="V140" s="5" t="e">
        <f>IF(diabetesoriginal[[#This Row],[Diabetes]]=$S$1,diabetesoriginal[[#This Row],[Insulin]],NA())</f>
        <v>#N/A</v>
      </c>
    </row>
    <row r="141" spans="1:22" x14ac:dyDescent="0.25">
      <c r="A141" s="5">
        <v>5</v>
      </c>
      <c r="B141" s="5">
        <v>105</v>
      </c>
      <c r="C141" s="5">
        <v>72</v>
      </c>
      <c r="D141" s="5" t="s">
        <v>23</v>
      </c>
      <c r="E141" s="5">
        <v>29</v>
      </c>
      <c r="F141" s="5">
        <v>325</v>
      </c>
      <c r="G141" s="5">
        <v>36.9</v>
      </c>
      <c r="H141" s="5" t="s">
        <v>29</v>
      </c>
      <c r="I141" s="5">
        <v>0.159</v>
      </c>
      <c r="J141" s="5">
        <v>28</v>
      </c>
      <c r="K141" s="5" t="s">
        <v>35</v>
      </c>
      <c r="L141" s="15">
        <v>0</v>
      </c>
      <c r="M141" s="5" t="s">
        <v>57</v>
      </c>
      <c r="N141" s="5" t="s">
        <v>56</v>
      </c>
      <c r="O141" s="5" t="s">
        <v>59</v>
      </c>
      <c r="R141" s="5">
        <f>IF(diabetesoriginal[[#This Row],[Diabetes]]=$R$1,diabetesoriginal[[#This Row],[Skin Thickness]],NA())</f>
        <v>29</v>
      </c>
      <c r="S141" s="5" t="e">
        <f>IF(diabetesoriginal[[#This Row],[Diabetes]]=$S$1,diabetesoriginal[[#This Row],[Skin Thickness]],NA())</f>
        <v>#N/A</v>
      </c>
      <c r="U141" s="5">
        <f>IF(diabetesoriginal[[#This Row],[Diabetes]]=$U$1,diabetesoriginal[[#This Row],[Insulin]],NA())</f>
        <v>325</v>
      </c>
      <c r="V141" s="5" t="e">
        <f>IF(diabetesoriginal[[#This Row],[Diabetes]]=$S$1,diabetesoriginal[[#This Row],[Insulin]],NA())</f>
        <v>#N/A</v>
      </c>
    </row>
    <row r="142" spans="1:22" x14ac:dyDescent="0.25">
      <c r="A142" s="5">
        <v>3</v>
      </c>
      <c r="B142" s="5">
        <v>128</v>
      </c>
      <c r="C142" s="5">
        <v>78</v>
      </c>
      <c r="D142" s="5" t="s">
        <v>23</v>
      </c>
      <c r="E142" s="5">
        <v>29</v>
      </c>
      <c r="F142" s="5">
        <v>125</v>
      </c>
      <c r="G142" s="5">
        <v>21.1</v>
      </c>
      <c r="H142" s="5" t="s">
        <v>31</v>
      </c>
      <c r="I142" s="5">
        <v>0.26800000000000002</v>
      </c>
      <c r="J142" s="5">
        <v>55</v>
      </c>
      <c r="K142" s="5" t="s">
        <v>38</v>
      </c>
      <c r="L142" s="15">
        <v>0</v>
      </c>
      <c r="M142" s="5" t="s">
        <v>57</v>
      </c>
      <c r="N142" s="5" t="s">
        <v>56</v>
      </c>
      <c r="O142" s="5" t="s">
        <v>31</v>
      </c>
      <c r="R142" s="5">
        <f>IF(diabetesoriginal[[#This Row],[Diabetes]]=$R$1,diabetesoriginal[[#This Row],[Skin Thickness]],NA())</f>
        <v>29</v>
      </c>
      <c r="S142" s="5" t="e">
        <f>IF(diabetesoriginal[[#This Row],[Diabetes]]=$S$1,diabetesoriginal[[#This Row],[Skin Thickness]],NA())</f>
        <v>#N/A</v>
      </c>
      <c r="U142" s="5">
        <f>IF(diabetesoriginal[[#This Row],[Diabetes]]=$U$1,diabetesoriginal[[#This Row],[Insulin]],NA())</f>
        <v>125</v>
      </c>
      <c r="V142" s="5" t="e">
        <f>IF(diabetesoriginal[[#This Row],[Diabetes]]=$S$1,diabetesoriginal[[#This Row],[Insulin]],NA())</f>
        <v>#N/A</v>
      </c>
    </row>
    <row r="143" spans="1:22" x14ac:dyDescent="0.25">
      <c r="A143" s="5">
        <v>5</v>
      </c>
      <c r="B143" s="5">
        <v>106</v>
      </c>
      <c r="C143" s="5">
        <v>82</v>
      </c>
      <c r="D143" s="5" t="s">
        <v>25</v>
      </c>
      <c r="E143" s="5">
        <v>30</v>
      </c>
      <c r="F143" s="5">
        <v>125</v>
      </c>
      <c r="G143" s="5">
        <v>39.5</v>
      </c>
      <c r="H143" s="5" t="s">
        <v>29</v>
      </c>
      <c r="I143" s="5">
        <v>0.28599999999999998</v>
      </c>
      <c r="J143" s="5">
        <v>38</v>
      </c>
      <c r="K143" s="5" t="s">
        <v>36</v>
      </c>
      <c r="L143" s="15">
        <v>0</v>
      </c>
      <c r="M143" s="5" t="s">
        <v>57</v>
      </c>
      <c r="N143" s="5" t="s">
        <v>56</v>
      </c>
      <c r="O143" s="5" t="s">
        <v>31</v>
      </c>
      <c r="R143" s="5">
        <f>IF(diabetesoriginal[[#This Row],[Diabetes]]=$R$1,diabetesoriginal[[#This Row],[Skin Thickness]],NA())</f>
        <v>30</v>
      </c>
      <c r="S143" s="5" t="e">
        <f>IF(diabetesoriginal[[#This Row],[Diabetes]]=$S$1,diabetesoriginal[[#This Row],[Skin Thickness]],NA())</f>
        <v>#N/A</v>
      </c>
      <c r="U143" s="5">
        <f>IF(diabetesoriginal[[#This Row],[Diabetes]]=$U$1,diabetesoriginal[[#This Row],[Insulin]],NA())</f>
        <v>125</v>
      </c>
      <c r="V143" s="5" t="e">
        <f>IF(diabetesoriginal[[#This Row],[Diabetes]]=$S$1,diabetesoriginal[[#This Row],[Insulin]],NA())</f>
        <v>#N/A</v>
      </c>
    </row>
    <row r="144" spans="1:22" x14ac:dyDescent="0.25">
      <c r="A144" s="5">
        <v>2</v>
      </c>
      <c r="B144" s="5">
        <v>108</v>
      </c>
      <c r="C144" s="5">
        <v>52</v>
      </c>
      <c r="D144" s="5" t="s">
        <v>23</v>
      </c>
      <c r="E144" s="5">
        <v>26</v>
      </c>
      <c r="F144" s="5">
        <v>63</v>
      </c>
      <c r="G144" s="5">
        <v>32.5</v>
      </c>
      <c r="H144" s="5" t="s">
        <v>29</v>
      </c>
      <c r="I144" s="5">
        <v>0.318</v>
      </c>
      <c r="J144" s="5">
        <v>22</v>
      </c>
      <c r="K144" s="5" t="s">
        <v>35</v>
      </c>
      <c r="L144" s="15">
        <v>0</v>
      </c>
      <c r="M144" s="5" t="s">
        <v>57</v>
      </c>
      <c r="N144" s="5" t="s">
        <v>56</v>
      </c>
      <c r="O144" s="5" t="s">
        <v>31</v>
      </c>
      <c r="R144" s="5">
        <f>IF(diabetesoriginal[[#This Row],[Diabetes]]=$R$1,diabetesoriginal[[#This Row],[Skin Thickness]],NA())</f>
        <v>26</v>
      </c>
      <c r="S144" s="5" t="e">
        <f>IF(diabetesoriginal[[#This Row],[Diabetes]]=$S$1,diabetesoriginal[[#This Row],[Skin Thickness]],NA())</f>
        <v>#N/A</v>
      </c>
      <c r="U144" s="5">
        <f>IF(diabetesoriginal[[#This Row],[Diabetes]]=$U$1,diabetesoriginal[[#This Row],[Insulin]],NA())</f>
        <v>63</v>
      </c>
      <c r="V144" s="5" t="e">
        <f>IF(diabetesoriginal[[#This Row],[Diabetes]]=$S$1,diabetesoriginal[[#This Row],[Insulin]],NA())</f>
        <v>#N/A</v>
      </c>
    </row>
    <row r="145" spans="1:22" x14ac:dyDescent="0.25">
      <c r="A145" s="5">
        <v>10</v>
      </c>
      <c r="B145" s="5">
        <v>108</v>
      </c>
      <c r="C145" s="5">
        <v>66</v>
      </c>
      <c r="D145" s="5" t="s">
        <v>23</v>
      </c>
      <c r="E145" s="5">
        <v>29</v>
      </c>
      <c r="F145" s="5">
        <v>125</v>
      </c>
      <c r="G145" s="5">
        <v>32.4</v>
      </c>
      <c r="H145" s="5" t="s">
        <v>29</v>
      </c>
      <c r="I145" s="5">
        <v>0.27200000000000002</v>
      </c>
      <c r="J145" s="5">
        <v>42</v>
      </c>
      <c r="K145" s="5" t="s">
        <v>37</v>
      </c>
      <c r="L145" s="15">
        <v>1</v>
      </c>
      <c r="M145" s="5" t="s">
        <v>57</v>
      </c>
      <c r="N145" s="5" t="s">
        <v>56</v>
      </c>
      <c r="O145" s="5" t="s">
        <v>31</v>
      </c>
      <c r="R145" s="5" t="e">
        <f>IF(diabetesoriginal[[#This Row],[Diabetes]]=$R$1,diabetesoriginal[[#This Row],[Skin Thickness]],NA())</f>
        <v>#N/A</v>
      </c>
      <c r="S145" s="5">
        <f>IF(diabetesoriginal[[#This Row],[Diabetes]]=$S$1,diabetesoriginal[[#This Row],[Skin Thickness]],NA())</f>
        <v>29</v>
      </c>
      <c r="U145" s="5" t="e">
        <f>IF(diabetesoriginal[[#This Row],[Diabetes]]=$U$1,diabetesoriginal[[#This Row],[Insulin]],NA())</f>
        <v>#N/A</v>
      </c>
      <c r="V145" s="5">
        <f>IF(diabetesoriginal[[#This Row],[Diabetes]]=$S$1,diabetesoriginal[[#This Row],[Insulin]],NA())</f>
        <v>125</v>
      </c>
    </row>
    <row r="146" spans="1:22" x14ac:dyDescent="0.25">
      <c r="A146" s="5">
        <v>4</v>
      </c>
      <c r="B146" s="5">
        <v>154</v>
      </c>
      <c r="C146" s="5">
        <v>62</v>
      </c>
      <c r="D146" s="5" t="s">
        <v>23</v>
      </c>
      <c r="E146" s="5">
        <v>31</v>
      </c>
      <c r="F146" s="5">
        <v>284</v>
      </c>
      <c r="G146" s="5">
        <v>32.799999999999997</v>
      </c>
      <c r="H146" s="5" t="s">
        <v>29</v>
      </c>
      <c r="I146" s="5">
        <v>0.23699999999999999</v>
      </c>
      <c r="J146" s="5">
        <v>23</v>
      </c>
      <c r="K146" s="5" t="s">
        <v>35</v>
      </c>
      <c r="L146" s="15">
        <v>0</v>
      </c>
      <c r="M146" s="5" t="s">
        <v>22</v>
      </c>
      <c r="N146" s="5" t="s">
        <v>56</v>
      </c>
      <c r="O146" s="5" t="s">
        <v>59</v>
      </c>
      <c r="R146" s="5">
        <f>IF(diabetesoriginal[[#This Row],[Diabetes]]=$R$1,diabetesoriginal[[#This Row],[Skin Thickness]],NA())</f>
        <v>31</v>
      </c>
      <c r="S146" s="5" t="e">
        <f>IF(diabetesoriginal[[#This Row],[Diabetes]]=$S$1,diabetesoriginal[[#This Row],[Skin Thickness]],NA())</f>
        <v>#N/A</v>
      </c>
      <c r="U146" s="5">
        <f>IF(diabetesoriginal[[#This Row],[Diabetes]]=$U$1,diabetesoriginal[[#This Row],[Insulin]],NA())</f>
        <v>284</v>
      </c>
      <c r="V146" s="5" t="e">
        <f>IF(diabetesoriginal[[#This Row],[Diabetes]]=$S$1,diabetesoriginal[[#This Row],[Insulin]],NA())</f>
        <v>#N/A</v>
      </c>
    </row>
    <row r="147" spans="1:22" x14ac:dyDescent="0.25">
      <c r="A147" s="5">
        <v>0</v>
      </c>
      <c r="B147" s="5">
        <v>102</v>
      </c>
      <c r="C147" s="5">
        <v>75</v>
      </c>
      <c r="D147" s="5" t="s">
        <v>23</v>
      </c>
      <c r="E147" s="5">
        <v>23</v>
      </c>
      <c r="F147" s="5">
        <v>125</v>
      </c>
      <c r="G147" s="5">
        <v>32.299999999999997</v>
      </c>
      <c r="H147" s="5" t="s">
        <v>29</v>
      </c>
      <c r="I147" s="5">
        <v>0.57199999999999995</v>
      </c>
      <c r="J147" s="5">
        <v>21</v>
      </c>
      <c r="K147" s="5" t="s">
        <v>35</v>
      </c>
      <c r="L147" s="15">
        <v>0</v>
      </c>
      <c r="M147" s="5" t="s">
        <v>57</v>
      </c>
      <c r="N147" s="5" t="s">
        <v>58</v>
      </c>
      <c r="O147" s="5" t="s">
        <v>31</v>
      </c>
      <c r="R147" s="5">
        <f>IF(diabetesoriginal[[#This Row],[Diabetes]]=$R$1,diabetesoriginal[[#This Row],[Skin Thickness]],NA())</f>
        <v>23</v>
      </c>
      <c r="S147" s="5" t="e">
        <f>IF(diabetesoriginal[[#This Row],[Diabetes]]=$S$1,diabetesoriginal[[#This Row],[Skin Thickness]],NA())</f>
        <v>#N/A</v>
      </c>
      <c r="U147" s="5">
        <f>IF(diabetesoriginal[[#This Row],[Diabetes]]=$U$1,diabetesoriginal[[#This Row],[Insulin]],NA())</f>
        <v>125</v>
      </c>
      <c r="V147" s="5" t="e">
        <f>IF(diabetesoriginal[[#This Row],[Diabetes]]=$S$1,diabetesoriginal[[#This Row],[Insulin]],NA())</f>
        <v>#N/A</v>
      </c>
    </row>
    <row r="148" spans="1:22" x14ac:dyDescent="0.25">
      <c r="A148" s="5">
        <v>9</v>
      </c>
      <c r="B148" s="5">
        <v>57</v>
      </c>
      <c r="C148" s="5">
        <v>80</v>
      </c>
      <c r="D148" s="5" t="s">
        <v>25</v>
      </c>
      <c r="E148" s="5">
        <v>37</v>
      </c>
      <c r="F148" s="5">
        <v>125</v>
      </c>
      <c r="G148" s="5">
        <v>32.799999999999997</v>
      </c>
      <c r="H148" s="5" t="s">
        <v>29</v>
      </c>
      <c r="I148" s="5">
        <v>9.6000000000000002E-2</v>
      </c>
      <c r="J148" s="5">
        <v>41</v>
      </c>
      <c r="K148" s="5" t="s">
        <v>37</v>
      </c>
      <c r="L148" s="15">
        <v>0</v>
      </c>
      <c r="M148" s="5" t="s">
        <v>57</v>
      </c>
      <c r="N148" s="5" t="s">
        <v>56</v>
      </c>
      <c r="O148" s="5" t="s">
        <v>31</v>
      </c>
      <c r="R148" s="5">
        <f>IF(diabetesoriginal[[#This Row],[Diabetes]]=$R$1,diabetesoriginal[[#This Row],[Skin Thickness]],NA())</f>
        <v>37</v>
      </c>
      <c r="S148" s="5" t="e">
        <f>IF(diabetesoriginal[[#This Row],[Diabetes]]=$S$1,diabetesoriginal[[#This Row],[Skin Thickness]],NA())</f>
        <v>#N/A</v>
      </c>
      <c r="U148" s="5">
        <f>IF(diabetesoriginal[[#This Row],[Diabetes]]=$U$1,diabetesoriginal[[#This Row],[Insulin]],NA())</f>
        <v>125</v>
      </c>
      <c r="V148" s="5" t="e">
        <f>IF(diabetesoriginal[[#This Row],[Diabetes]]=$S$1,diabetesoriginal[[#This Row],[Insulin]],NA())</f>
        <v>#N/A</v>
      </c>
    </row>
    <row r="149" spans="1:22" x14ac:dyDescent="0.25">
      <c r="A149" s="5">
        <v>2</v>
      </c>
      <c r="B149" s="5">
        <v>106</v>
      </c>
      <c r="C149" s="5">
        <v>64</v>
      </c>
      <c r="D149" s="5" t="s">
        <v>23</v>
      </c>
      <c r="E149" s="5">
        <v>35</v>
      </c>
      <c r="F149" s="5">
        <v>119</v>
      </c>
      <c r="G149" s="5">
        <v>30.5</v>
      </c>
      <c r="H149" s="5" t="s">
        <v>29</v>
      </c>
      <c r="I149" s="5">
        <v>1.4</v>
      </c>
      <c r="J149" s="5">
        <v>34</v>
      </c>
      <c r="K149" s="5" t="s">
        <v>36</v>
      </c>
      <c r="L149" s="15">
        <v>0</v>
      </c>
      <c r="M149" s="5" t="s">
        <v>57</v>
      </c>
      <c r="N149" s="5" t="s">
        <v>56</v>
      </c>
      <c r="O149" s="5" t="s">
        <v>31</v>
      </c>
      <c r="R149" s="5">
        <f>IF(diabetesoriginal[[#This Row],[Diabetes]]=$R$1,diabetesoriginal[[#This Row],[Skin Thickness]],NA())</f>
        <v>35</v>
      </c>
      <c r="S149" s="5" t="e">
        <f>IF(diabetesoriginal[[#This Row],[Diabetes]]=$S$1,diabetesoriginal[[#This Row],[Skin Thickness]],NA())</f>
        <v>#N/A</v>
      </c>
      <c r="U149" s="5">
        <f>IF(diabetesoriginal[[#This Row],[Diabetes]]=$U$1,diabetesoriginal[[#This Row],[Insulin]],NA())</f>
        <v>119</v>
      </c>
      <c r="V149" s="5" t="e">
        <f>IF(diabetesoriginal[[#This Row],[Diabetes]]=$S$1,diabetesoriginal[[#This Row],[Insulin]],NA())</f>
        <v>#N/A</v>
      </c>
    </row>
    <row r="150" spans="1:22" x14ac:dyDescent="0.25">
      <c r="A150" s="5">
        <v>5</v>
      </c>
      <c r="B150" s="5">
        <v>147</v>
      </c>
      <c r="C150" s="5">
        <v>78</v>
      </c>
      <c r="D150" s="5" t="s">
        <v>23</v>
      </c>
      <c r="E150" s="5">
        <v>29</v>
      </c>
      <c r="F150" s="5">
        <v>125</v>
      </c>
      <c r="G150" s="5">
        <v>33.700000000000003</v>
      </c>
      <c r="H150" s="5" t="s">
        <v>29</v>
      </c>
      <c r="I150" s="5">
        <v>0.218</v>
      </c>
      <c r="J150" s="5">
        <v>65</v>
      </c>
      <c r="K150" s="5" t="s">
        <v>39</v>
      </c>
      <c r="L150" s="15">
        <v>0</v>
      </c>
      <c r="M150" s="5" t="s">
        <v>22</v>
      </c>
      <c r="N150" s="5" t="s">
        <v>56</v>
      </c>
      <c r="O150" s="5" t="s">
        <v>31</v>
      </c>
      <c r="R150" s="5">
        <f>IF(diabetesoriginal[[#This Row],[Diabetes]]=$R$1,diabetesoriginal[[#This Row],[Skin Thickness]],NA())</f>
        <v>29</v>
      </c>
      <c r="S150" s="5" t="e">
        <f>IF(diabetesoriginal[[#This Row],[Diabetes]]=$S$1,diabetesoriginal[[#This Row],[Skin Thickness]],NA())</f>
        <v>#N/A</v>
      </c>
      <c r="U150" s="5">
        <f>IF(diabetesoriginal[[#This Row],[Diabetes]]=$U$1,diabetesoriginal[[#This Row],[Insulin]],NA())</f>
        <v>125</v>
      </c>
      <c r="V150" s="5" t="e">
        <f>IF(diabetesoriginal[[#This Row],[Diabetes]]=$S$1,diabetesoriginal[[#This Row],[Insulin]],NA())</f>
        <v>#N/A</v>
      </c>
    </row>
    <row r="151" spans="1:22" x14ac:dyDescent="0.25">
      <c r="A151" s="5">
        <v>2</v>
      </c>
      <c r="B151" s="5">
        <v>90</v>
      </c>
      <c r="C151" s="5">
        <v>70</v>
      </c>
      <c r="D151" s="5" t="s">
        <v>23</v>
      </c>
      <c r="E151" s="5">
        <v>17</v>
      </c>
      <c r="F151" s="5">
        <v>125</v>
      </c>
      <c r="G151" s="5">
        <v>27.3</v>
      </c>
      <c r="H151" s="5" t="s">
        <v>30</v>
      </c>
      <c r="I151" s="5">
        <v>8.5000000000000006E-2</v>
      </c>
      <c r="J151" s="5">
        <v>22</v>
      </c>
      <c r="K151" s="5" t="s">
        <v>35</v>
      </c>
      <c r="L151" s="15">
        <v>0</v>
      </c>
      <c r="M151" s="5" t="s">
        <v>57</v>
      </c>
      <c r="N151" s="5" t="s">
        <v>58</v>
      </c>
      <c r="O151" s="5" t="s">
        <v>31</v>
      </c>
      <c r="R151" s="5">
        <f>IF(diabetesoriginal[[#This Row],[Diabetes]]=$R$1,diabetesoriginal[[#This Row],[Skin Thickness]],NA())</f>
        <v>17</v>
      </c>
      <c r="S151" s="5" t="e">
        <f>IF(diabetesoriginal[[#This Row],[Diabetes]]=$S$1,diabetesoriginal[[#This Row],[Skin Thickness]],NA())</f>
        <v>#N/A</v>
      </c>
      <c r="U151" s="5">
        <f>IF(diabetesoriginal[[#This Row],[Diabetes]]=$U$1,diabetesoriginal[[#This Row],[Insulin]],NA())</f>
        <v>125</v>
      </c>
      <c r="V151" s="5" t="e">
        <f>IF(diabetesoriginal[[#This Row],[Diabetes]]=$S$1,diabetesoriginal[[#This Row],[Insulin]],NA())</f>
        <v>#N/A</v>
      </c>
    </row>
    <row r="152" spans="1:22" x14ac:dyDescent="0.25">
      <c r="A152" s="5">
        <v>1</v>
      </c>
      <c r="B152" s="5">
        <v>136</v>
      </c>
      <c r="C152" s="5">
        <v>74</v>
      </c>
      <c r="D152" s="5" t="s">
        <v>23</v>
      </c>
      <c r="E152" s="5">
        <v>50</v>
      </c>
      <c r="F152" s="5">
        <v>204</v>
      </c>
      <c r="G152" s="5">
        <v>37.4</v>
      </c>
      <c r="H152" s="5" t="s">
        <v>29</v>
      </c>
      <c r="I152" s="5">
        <v>0.39900000000000002</v>
      </c>
      <c r="J152" s="5">
        <v>24</v>
      </c>
      <c r="K152" s="5" t="s">
        <v>35</v>
      </c>
      <c r="L152" s="15">
        <v>0</v>
      </c>
      <c r="M152" s="5" t="s">
        <v>57</v>
      </c>
      <c r="N152" s="5" t="s">
        <v>56</v>
      </c>
      <c r="O152" s="5" t="s">
        <v>59</v>
      </c>
      <c r="R152" s="5">
        <f>IF(diabetesoriginal[[#This Row],[Diabetes]]=$R$1,diabetesoriginal[[#This Row],[Skin Thickness]],NA())</f>
        <v>50</v>
      </c>
      <c r="S152" s="5" t="e">
        <f>IF(diabetesoriginal[[#This Row],[Diabetes]]=$S$1,diabetesoriginal[[#This Row],[Skin Thickness]],NA())</f>
        <v>#N/A</v>
      </c>
      <c r="U152" s="5">
        <f>IF(diabetesoriginal[[#This Row],[Diabetes]]=$U$1,diabetesoriginal[[#This Row],[Insulin]],NA())</f>
        <v>204</v>
      </c>
      <c r="V152" s="5" t="e">
        <f>IF(diabetesoriginal[[#This Row],[Diabetes]]=$S$1,diabetesoriginal[[#This Row],[Insulin]],NA())</f>
        <v>#N/A</v>
      </c>
    </row>
    <row r="153" spans="1:22" x14ac:dyDescent="0.25">
      <c r="A153" s="5">
        <v>4</v>
      </c>
      <c r="B153" s="5">
        <v>114</v>
      </c>
      <c r="C153" s="5">
        <v>65</v>
      </c>
      <c r="D153" s="5" t="s">
        <v>23</v>
      </c>
      <c r="E153" s="5">
        <v>29</v>
      </c>
      <c r="F153" s="5">
        <v>125</v>
      </c>
      <c r="G153" s="5">
        <v>21.9</v>
      </c>
      <c r="H153" s="5" t="s">
        <v>31</v>
      </c>
      <c r="I153" s="5">
        <v>0.432</v>
      </c>
      <c r="J153" s="5">
        <v>37</v>
      </c>
      <c r="K153" s="5" t="s">
        <v>36</v>
      </c>
      <c r="L153" s="15">
        <v>0</v>
      </c>
      <c r="M153" s="5" t="s">
        <v>57</v>
      </c>
      <c r="N153" s="5" t="s">
        <v>56</v>
      </c>
      <c r="O153" s="5" t="s">
        <v>31</v>
      </c>
      <c r="R153" s="5">
        <f>IF(diabetesoriginal[[#This Row],[Diabetes]]=$R$1,diabetesoriginal[[#This Row],[Skin Thickness]],NA())</f>
        <v>29</v>
      </c>
      <c r="S153" s="5" t="e">
        <f>IF(diabetesoriginal[[#This Row],[Diabetes]]=$S$1,diabetesoriginal[[#This Row],[Skin Thickness]],NA())</f>
        <v>#N/A</v>
      </c>
      <c r="U153" s="5">
        <f>IF(diabetesoriginal[[#This Row],[Diabetes]]=$U$1,diabetesoriginal[[#This Row],[Insulin]],NA())</f>
        <v>125</v>
      </c>
      <c r="V153" s="5" t="e">
        <f>IF(diabetesoriginal[[#This Row],[Diabetes]]=$S$1,diabetesoriginal[[#This Row],[Insulin]],NA())</f>
        <v>#N/A</v>
      </c>
    </row>
    <row r="154" spans="1:22" x14ac:dyDescent="0.25">
      <c r="A154" s="5">
        <v>9</v>
      </c>
      <c r="B154" s="5">
        <v>156</v>
      </c>
      <c r="C154" s="5">
        <v>86</v>
      </c>
      <c r="D154" s="5" t="s">
        <v>25</v>
      </c>
      <c r="E154" s="5">
        <v>28</v>
      </c>
      <c r="F154" s="5">
        <v>155</v>
      </c>
      <c r="G154" s="5">
        <v>34.299999999999997</v>
      </c>
      <c r="H154" s="5" t="s">
        <v>29</v>
      </c>
      <c r="I154" s="5">
        <v>1.1890000000000001</v>
      </c>
      <c r="J154" s="5">
        <v>42</v>
      </c>
      <c r="K154" s="5" t="s">
        <v>37</v>
      </c>
      <c r="L154" s="15">
        <v>1</v>
      </c>
      <c r="M154" s="5" t="s">
        <v>22</v>
      </c>
      <c r="N154" s="5" t="s">
        <v>56</v>
      </c>
      <c r="O154" s="5" t="s">
        <v>31</v>
      </c>
      <c r="R154" s="5" t="e">
        <f>IF(diabetesoriginal[[#This Row],[Diabetes]]=$R$1,diabetesoriginal[[#This Row],[Skin Thickness]],NA())</f>
        <v>#N/A</v>
      </c>
      <c r="S154" s="5">
        <f>IF(diabetesoriginal[[#This Row],[Diabetes]]=$S$1,diabetesoriginal[[#This Row],[Skin Thickness]],NA())</f>
        <v>28</v>
      </c>
      <c r="U154" s="5" t="e">
        <f>IF(diabetesoriginal[[#This Row],[Diabetes]]=$U$1,diabetesoriginal[[#This Row],[Insulin]],NA())</f>
        <v>#N/A</v>
      </c>
      <c r="V154" s="5">
        <f>IF(diabetesoriginal[[#This Row],[Diabetes]]=$S$1,diabetesoriginal[[#This Row],[Insulin]],NA())</f>
        <v>155</v>
      </c>
    </row>
    <row r="155" spans="1:22" x14ac:dyDescent="0.25">
      <c r="A155" s="5">
        <v>1</v>
      </c>
      <c r="B155" s="5">
        <v>153</v>
      </c>
      <c r="C155" s="5">
        <v>82</v>
      </c>
      <c r="D155" s="5" t="s">
        <v>25</v>
      </c>
      <c r="E155" s="5">
        <v>42</v>
      </c>
      <c r="F155" s="5">
        <v>485</v>
      </c>
      <c r="G155" s="5">
        <v>40.6</v>
      </c>
      <c r="H155" s="5" t="s">
        <v>32</v>
      </c>
      <c r="I155" s="5">
        <v>0.68700000000000006</v>
      </c>
      <c r="J155" s="5">
        <v>23</v>
      </c>
      <c r="K155" s="5" t="s">
        <v>35</v>
      </c>
      <c r="L155" s="15">
        <v>0</v>
      </c>
      <c r="M155" s="5" t="s">
        <v>22</v>
      </c>
      <c r="N155" s="5" t="s">
        <v>56</v>
      </c>
      <c r="O155" s="5" t="s">
        <v>59</v>
      </c>
      <c r="R155" s="5">
        <f>IF(diabetesoriginal[[#This Row],[Diabetes]]=$R$1,diabetesoriginal[[#This Row],[Skin Thickness]],NA())</f>
        <v>42</v>
      </c>
      <c r="S155" s="5" t="e">
        <f>IF(diabetesoriginal[[#This Row],[Diabetes]]=$S$1,diabetesoriginal[[#This Row],[Skin Thickness]],NA())</f>
        <v>#N/A</v>
      </c>
      <c r="U155" s="5">
        <f>IF(diabetesoriginal[[#This Row],[Diabetes]]=$U$1,diabetesoriginal[[#This Row],[Insulin]],NA())</f>
        <v>485</v>
      </c>
      <c r="V155" s="5" t="e">
        <f>IF(diabetesoriginal[[#This Row],[Diabetes]]=$S$1,diabetesoriginal[[#This Row],[Insulin]],NA())</f>
        <v>#N/A</v>
      </c>
    </row>
    <row r="156" spans="1:22" x14ac:dyDescent="0.25">
      <c r="A156" s="5">
        <v>8</v>
      </c>
      <c r="B156" s="5">
        <v>188</v>
      </c>
      <c r="C156" s="5">
        <v>78</v>
      </c>
      <c r="D156" s="5" t="s">
        <v>23</v>
      </c>
      <c r="E156" s="5">
        <v>29</v>
      </c>
      <c r="F156" s="5">
        <v>125</v>
      </c>
      <c r="G156" s="5">
        <v>47.9</v>
      </c>
      <c r="H156" s="5" t="s">
        <v>32</v>
      </c>
      <c r="I156" s="5">
        <v>0.13700000000000001</v>
      </c>
      <c r="J156" s="5">
        <v>43</v>
      </c>
      <c r="K156" s="5" t="s">
        <v>37</v>
      </c>
      <c r="L156" s="15">
        <v>1</v>
      </c>
      <c r="M156" s="5" t="s">
        <v>22</v>
      </c>
      <c r="N156" s="5" t="s">
        <v>56</v>
      </c>
      <c r="O156" s="5" t="s">
        <v>31</v>
      </c>
      <c r="R156" s="5" t="e">
        <f>IF(diabetesoriginal[[#This Row],[Diabetes]]=$R$1,diabetesoriginal[[#This Row],[Skin Thickness]],NA())</f>
        <v>#N/A</v>
      </c>
      <c r="S156" s="5">
        <f>IF(diabetesoriginal[[#This Row],[Diabetes]]=$S$1,diabetesoriginal[[#This Row],[Skin Thickness]],NA())</f>
        <v>29</v>
      </c>
      <c r="U156" s="5" t="e">
        <f>IF(diabetesoriginal[[#This Row],[Diabetes]]=$U$1,diabetesoriginal[[#This Row],[Insulin]],NA())</f>
        <v>#N/A</v>
      </c>
      <c r="V156" s="5">
        <f>IF(diabetesoriginal[[#This Row],[Diabetes]]=$S$1,diabetesoriginal[[#This Row],[Insulin]],NA())</f>
        <v>125</v>
      </c>
    </row>
    <row r="157" spans="1:22" x14ac:dyDescent="0.25">
      <c r="A157" s="5">
        <v>7</v>
      </c>
      <c r="B157" s="5">
        <v>152</v>
      </c>
      <c r="C157" s="5">
        <v>88</v>
      </c>
      <c r="D157" s="5" t="s">
        <v>25</v>
      </c>
      <c r="E157" s="5">
        <v>44</v>
      </c>
      <c r="F157" s="5">
        <v>125</v>
      </c>
      <c r="G157" s="5">
        <v>50</v>
      </c>
      <c r="H157" s="5" t="s">
        <v>32</v>
      </c>
      <c r="I157" s="5">
        <v>0.33700000000000002</v>
      </c>
      <c r="J157" s="5">
        <v>36</v>
      </c>
      <c r="K157" s="5" t="s">
        <v>36</v>
      </c>
      <c r="L157" s="15">
        <v>1</v>
      </c>
      <c r="M157" s="5" t="s">
        <v>22</v>
      </c>
      <c r="N157" s="5" t="s">
        <v>56</v>
      </c>
      <c r="O157" s="5" t="s">
        <v>31</v>
      </c>
      <c r="R157" s="5" t="e">
        <f>IF(diabetesoriginal[[#This Row],[Diabetes]]=$R$1,diabetesoriginal[[#This Row],[Skin Thickness]],NA())</f>
        <v>#N/A</v>
      </c>
      <c r="S157" s="5">
        <f>IF(diabetesoriginal[[#This Row],[Diabetes]]=$S$1,diabetesoriginal[[#This Row],[Skin Thickness]],NA())</f>
        <v>44</v>
      </c>
      <c r="U157" s="5" t="e">
        <f>IF(diabetesoriginal[[#This Row],[Diabetes]]=$U$1,diabetesoriginal[[#This Row],[Insulin]],NA())</f>
        <v>#N/A</v>
      </c>
      <c r="V157" s="5">
        <f>IF(diabetesoriginal[[#This Row],[Diabetes]]=$S$1,diabetesoriginal[[#This Row],[Insulin]],NA())</f>
        <v>125</v>
      </c>
    </row>
    <row r="158" spans="1:22" x14ac:dyDescent="0.25">
      <c r="A158" s="5">
        <v>2</v>
      </c>
      <c r="B158" s="5">
        <v>99</v>
      </c>
      <c r="C158" s="5">
        <v>52</v>
      </c>
      <c r="D158" s="5" t="s">
        <v>23</v>
      </c>
      <c r="E158" s="5">
        <v>15</v>
      </c>
      <c r="F158" s="5">
        <v>94</v>
      </c>
      <c r="G158" s="5">
        <v>24.6</v>
      </c>
      <c r="H158" s="5" t="s">
        <v>31</v>
      </c>
      <c r="I158" s="5">
        <v>0.63700000000000001</v>
      </c>
      <c r="J158" s="5">
        <v>21</v>
      </c>
      <c r="K158" s="5" t="s">
        <v>35</v>
      </c>
      <c r="L158" s="15">
        <v>0</v>
      </c>
      <c r="M158" s="5" t="s">
        <v>57</v>
      </c>
      <c r="N158" s="5" t="s">
        <v>58</v>
      </c>
      <c r="O158" s="5" t="s">
        <v>31</v>
      </c>
      <c r="R158" s="5">
        <f>IF(diabetesoriginal[[#This Row],[Diabetes]]=$R$1,diabetesoriginal[[#This Row],[Skin Thickness]],NA())</f>
        <v>15</v>
      </c>
      <c r="S158" s="5" t="e">
        <f>IF(diabetesoriginal[[#This Row],[Diabetes]]=$S$1,diabetesoriginal[[#This Row],[Skin Thickness]],NA())</f>
        <v>#N/A</v>
      </c>
      <c r="U158" s="5">
        <f>IF(diabetesoriginal[[#This Row],[Diabetes]]=$U$1,diabetesoriginal[[#This Row],[Insulin]],NA())</f>
        <v>94</v>
      </c>
      <c r="V158" s="5" t="e">
        <f>IF(diabetesoriginal[[#This Row],[Diabetes]]=$S$1,diabetesoriginal[[#This Row],[Insulin]],NA())</f>
        <v>#N/A</v>
      </c>
    </row>
    <row r="159" spans="1:22" x14ac:dyDescent="0.25">
      <c r="A159" s="5">
        <v>1</v>
      </c>
      <c r="B159" s="5">
        <v>109</v>
      </c>
      <c r="C159" s="5">
        <v>56</v>
      </c>
      <c r="D159" s="5" t="s">
        <v>23</v>
      </c>
      <c r="E159" s="5">
        <v>21</v>
      </c>
      <c r="F159" s="5">
        <v>135</v>
      </c>
      <c r="G159" s="5">
        <v>25.2</v>
      </c>
      <c r="H159" s="5" t="s">
        <v>30</v>
      </c>
      <c r="I159" s="5">
        <v>0.83299999999999996</v>
      </c>
      <c r="J159" s="5">
        <v>23</v>
      </c>
      <c r="K159" s="5" t="s">
        <v>35</v>
      </c>
      <c r="L159" s="15">
        <v>0</v>
      </c>
      <c r="M159" s="5" t="s">
        <v>57</v>
      </c>
      <c r="N159" s="5" t="s">
        <v>58</v>
      </c>
      <c r="O159" s="5" t="s">
        <v>31</v>
      </c>
      <c r="R159" s="5">
        <f>IF(diabetesoriginal[[#This Row],[Diabetes]]=$R$1,diabetesoriginal[[#This Row],[Skin Thickness]],NA())</f>
        <v>21</v>
      </c>
      <c r="S159" s="5" t="e">
        <f>IF(diabetesoriginal[[#This Row],[Diabetes]]=$S$1,diabetesoriginal[[#This Row],[Skin Thickness]],NA())</f>
        <v>#N/A</v>
      </c>
      <c r="U159" s="5">
        <f>IF(diabetesoriginal[[#This Row],[Diabetes]]=$U$1,diabetesoriginal[[#This Row],[Insulin]],NA())</f>
        <v>135</v>
      </c>
      <c r="V159" s="5" t="e">
        <f>IF(diabetesoriginal[[#This Row],[Diabetes]]=$S$1,diabetesoriginal[[#This Row],[Insulin]],NA())</f>
        <v>#N/A</v>
      </c>
    </row>
    <row r="160" spans="1:22" x14ac:dyDescent="0.25">
      <c r="A160" s="5">
        <v>2</v>
      </c>
      <c r="B160" s="5">
        <v>88</v>
      </c>
      <c r="C160" s="5">
        <v>74</v>
      </c>
      <c r="D160" s="5" t="s">
        <v>23</v>
      </c>
      <c r="E160" s="5">
        <v>19</v>
      </c>
      <c r="F160" s="5">
        <v>53</v>
      </c>
      <c r="G160" s="5">
        <v>29</v>
      </c>
      <c r="H160" s="5" t="s">
        <v>30</v>
      </c>
      <c r="I160" s="5">
        <v>0.22900000000000001</v>
      </c>
      <c r="J160" s="5">
        <v>22</v>
      </c>
      <c r="K160" s="5" t="s">
        <v>35</v>
      </c>
      <c r="L160" s="15">
        <v>0</v>
      </c>
      <c r="M160" s="5" t="s">
        <v>57</v>
      </c>
      <c r="N160" s="5" t="s">
        <v>58</v>
      </c>
      <c r="O160" s="5" t="s">
        <v>31</v>
      </c>
      <c r="R160" s="5">
        <f>IF(diabetesoriginal[[#This Row],[Diabetes]]=$R$1,diabetesoriginal[[#This Row],[Skin Thickness]],NA())</f>
        <v>19</v>
      </c>
      <c r="S160" s="5" t="e">
        <f>IF(diabetesoriginal[[#This Row],[Diabetes]]=$S$1,diabetesoriginal[[#This Row],[Skin Thickness]],NA())</f>
        <v>#N/A</v>
      </c>
      <c r="U160" s="5">
        <f>IF(diabetesoriginal[[#This Row],[Diabetes]]=$U$1,diabetesoriginal[[#This Row],[Insulin]],NA())</f>
        <v>53</v>
      </c>
      <c r="V160" s="5" t="e">
        <f>IF(diabetesoriginal[[#This Row],[Diabetes]]=$S$1,diabetesoriginal[[#This Row],[Insulin]],NA())</f>
        <v>#N/A</v>
      </c>
    </row>
    <row r="161" spans="1:22" x14ac:dyDescent="0.25">
      <c r="A161" s="5">
        <v>17</v>
      </c>
      <c r="B161" s="5">
        <v>163</v>
      </c>
      <c r="C161" s="5">
        <v>72</v>
      </c>
      <c r="D161" s="5" t="s">
        <v>23</v>
      </c>
      <c r="E161" s="5">
        <v>41</v>
      </c>
      <c r="F161" s="5">
        <v>114</v>
      </c>
      <c r="G161" s="5">
        <v>40.9</v>
      </c>
      <c r="H161" s="5" t="s">
        <v>32</v>
      </c>
      <c r="I161" s="5">
        <v>0.81699999999999995</v>
      </c>
      <c r="J161" s="5">
        <v>47</v>
      </c>
      <c r="K161" s="5" t="s">
        <v>37</v>
      </c>
      <c r="L161" s="15">
        <v>1</v>
      </c>
      <c r="M161" s="5" t="s">
        <v>22</v>
      </c>
      <c r="N161" s="5" t="s">
        <v>56</v>
      </c>
      <c r="O161" s="5" t="s">
        <v>31</v>
      </c>
      <c r="R161" s="5" t="e">
        <f>IF(diabetesoriginal[[#This Row],[Diabetes]]=$R$1,diabetesoriginal[[#This Row],[Skin Thickness]],NA())</f>
        <v>#N/A</v>
      </c>
      <c r="S161" s="5">
        <f>IF(diabetesoriginal[[#This Row],[Diabetes]]=$S$1,diabetesoriginal[[#This Row],[Skin Thickness]],NA())</f>
        <v>41</v>
      </c>
      <c r="U161" s="5" t="e">
        <f>IF(diabetesoriginal[[#This Row],[Diabetes]]=$U$1,diabetesoriginal[[#This Row],[Insulin]],NA())</f>
        <v>#N/A</v>
      </c>
      <c r="V161" s="5">
        <f>IF(diabetesoriginal[[#This Row],[Diabetes]]=$S$1,diabetesoriginal[[#This Row],[Insulin]],NA())</f>
        <v>114</v>
      </c>
    </row>
    <row r="162" spans="1:22" x14ac:dyDescent="0.25">
      <c r="A162" s="5">
        <v>4</v>
      </c>
      <c r="B162" s="5">
        <v>151</v>
      </c>
      <c r="C162" s="5">
        <v>90</v>
      </c>
      <c r="D162" s="5" t="s">
        <v>24</v>
      </c>
      <c r="E162" s="5">
        <v>38</v>
      </c>
      <c r="F162" s="5">
        <v>125</v>
      </c>
      <c r="G162" s="5">
        <v>29.7</v>
      </c>
      <c r="H162" s="5" t="s">
        <v>30</v>
      </c>
      <c r="I162" s="5">
        <v>0.29399999999999998</v>
      </c>
      <c r="J162" s="5">
        <v>36</v>
      </c>
      <c r="K162" s="5" t="s">
        <v>36</v>
      </c>
      <c r="L162" s="15">
        <v>0</v>
      </c>
      <c r="M162" s="5" t="s">
        <v>22</v>
      </c>
      <c r="N162" s="5" t="s">
        <v>56</v>
      </c>
      <c r="O162" s="5" t="s">
        <v>31</v>
      </c>
      <c r="R162" s="5">
        <f>IF(diabetesoriginal[[#This Row],[Diabetes]]=$R$1,diabetesoriginal[[#This Row],[Skin Thickness]],NA())</f>
        <v>38</v>
      </c>
      <c r="S162" s="5" t="e">
        <f>IF(diabetesoriginal[[#This Row],[Diabetes]]=$S$1,diabetesoriginal[[#This Row],[Skin Thickness]],NA())</f>
        <v>#N/A</v>
      </c>
      <c r="U162" s="5">
        <f>IF(diabetesoriginal[[#This Row],[Diabetes]]=$U$1,diabetesoriginal[[#This Row],[Insulin]],NA())</f>
        <v>125</v>
      </c>
      <c r="V162" s="5" t="e">
        <f>IF(diabetesoriginal[[#This Row],[Diabetes]]=$S$1,diabetesoriginal[[#This Row],[Insulin]],NA())</f>
        <v>#N/A</v>
      </c>
    </row>
    <row r="163" spans="1:22" x14ac:dyDescent="0.25">
      <c r="A163" s="5">
        <v>7</v>
      </c>
      <c r="B163" s="5">
        <v>102</v>
      </c>
      <c r="C163" s="5">
        <v>74</v>
      </c>
      <c r="D163" s="5" t="s">
        <v>23</v>
      </c>
      <c r="E163" s="5">
        <v>40</v>
      </c>
      <c r="F163" s="5">
        <v>105</v>
      </c>
      <c r="G163" s="5">
        <v>37.200000000000003</v>
      </c>
      <c r="H163" s="5" t="s">
        <v>29</v>
      </c>
      <c r="I163" s="5">
        <v>0.20399999999999999</v>
      </c>
      <c r="J163" s="5">
        <v>45</v>
      </c>
      <c r="K163" s="5" t="s">
        <v>37</v>
      </c>
      <c r="L163" s="15">
        <v>0</v>
      </c>
      <c r="M163" s="5" t="s">
        <v>57</v>
      </c>
      <c r="N163" s="5" t="s">
        <v>56</v>
      </c>
      <c r="O163" s="5" t="s">
        <v>31</v>
      </c>
      <c r="R163" s="5">
        <f>IF(diabetesoriginal[[#This Row],[Diabetes]]=$R$1,diabetesoriginal[[#This Row],[Skin Thickness]],NA())</f>
        <v>40</v>
      </c>
      <c r="S163" s="5" t="e">
        <f>IF(diabetesoriginal[[#This Row],[Diabetes]]=$S$1,diabetesoriginal[[#This Row],[Skin Thickness]],NA())</f>
        <v>#N/A</v>
      </c>
      <c r="U163" s="5">
        <f>IF(diabetesoriginal[[#This Row],[Diabetes]]=$U$1,diabetesoriginal[[#This Row],[Insulin]],NA())</f>
        <v>105</v>
      </c>
      <c r="V163" s="5" t="e">
        <f>IF(diabetesoriginal[[#This Row],[Diabetes]]=$S$1,diabetesoriginal[[#This Row],[Insulin]],NA())</f>
        <v>#N/A</v>
      </c>
    </row>
    <row r="164" spans="1:22" x14ac:dyDescent="0.25">
      <c r="A164" s="5">
        <v>0</v>
      </c>
      <c r="B164" s="5">
        <v>114</v>
      </c>
      <c r="C164" s="5">
        <v>80</v>
      </c>
      <c r="D164" s="5" t="s">
        <v>25</v>
      </c>
      <c r="E164" s="5">
        <v>34</v>
      </c>
      <c r="F164" s="5">
        <v>285</v>
      </c>
      <c r="G164" s="5">
        <v>44.2</v>
      </c>
      <c r="H164" s="5" t="s">
        <v>32</v>
      </c>
      <c r="I164" s="5">
        <v>0.16700000000000001</v>
      </c>
      <c r="J164" s="5">
        <v>27</v>
      </c>
      <c r="K164" s="5" t="s">
        <v>35</v>
      </c>
      <c r="L164" s="15">
        <v>0</v>
      </c>
      <c r="M164" s="5" t="s">
        <v>57</v>
      </c>
      <c r="N164" s="5" t="s">
        <v>56</v>
      </c>
      <c r="O164" s="5" t="s">
        <v>59</v>
      </c>
      <c r="R164" s="5">
        <f>IF(diabetesoriginal[[#This Row],[Diabetes]]=$R$1,diabetesoriginal[[#This Row],[Skin Thickness]],NA())</f>
        <v>34</v>
      </c>
      <c r="S164" s="5" t="e">
        <f>IF(diabetesoriginal[[#This Row],[Diabetes]]=$S$1,diabetesoriginal[[#This Row],[Skin Thickness]],NA())</f>
        <v>#N/A</v>
      </c>
      <c r="U164" s="5">
        <f>IF(diabetesoriginal[[#This Row],[Diabetes]]=$U$1,diabetesoriginal[[#This Row],[Insulin]],NA())</f>
        <v>285</v>
      </c>
      <c r="V164" s="5" t="e">
        <f>IF(diabetesoriginal[[#This Row],[Diabetes]]=$S$1,diabetesoriginal[[#This Row],[Insulin]],NA())</f>
        <v>#N/A</v>
      </c>
    </row>
    <row r="165" spans="1:22" x14ac:dyDescent="0.25">
      <c r="A165" s="5">
        <v>2</v>
      </c>
      <c r="B165" s="5">
        <v>100</v>
      </c>
      <c r="C165" s="5">
        <v>64</v>
      </c>
      <c r="D165" s="5" t="s">
        <v>23</v>
      </c>
      <c r="E165" s="5">
        <v>23</v>
      </c>
      <c r="F165" s="5">
        <v>125</v>
      </c>
      <c r="G165" s="5">
        <v>29.7</v>
      </c>
      <c r="H165" s="5" t="s">
        <v>30</v>
      </c>
      <c r="I165" s="5">
        <v>0.36799999999999999</v>
      </c>
      <c r="J165" s="5">
        <v>21</v>
      </c>
      <c r="K165" s="5" t="s">
        <v>35</v>
      </c>
      <c r="L165" s="15">
        <v>0</v>
      </c>
      <c r="M165" s="5" t="s">
        <v>57</v>
      </c>
      <c r="N165" s="5" t="s">
        <v>58</v>
      </c>
      <c r="O165" s="5" t="s">
        <v>31</v>
      </c>
      <c r="R165" s="5">
        <f>IF(diabetesoriginal[[#This Row],[Diabetes]]=$R$1,diabetesoriginal[[#This Row],[Skin Thickness]],NA())</f>
        <v>23</v>
      </c>
      <c r="S165" s="5" t="e">
        <f>IF(diabetesoriginal[[#This Row],[Diabetes]]=$S$1,diabetesoriginal[[#This Row],[Skin Thickness]],NA())</f>
        <v>#N/A</v>
      </c>
      <c r="U165" s="5">
        <f>IF(diabetesoriginal[[#This Row],[Diabetes]]=$U$1,diabetesoriginal[[#This Row],[Insulin]],NA())</f>
        <v>125</v>
      </c>
      <c r="V165" s="5" t="e">
        <f>IF(diabetesoriginal[[#This Row],[Diabetes]]=$S$1,diabetesoriginal[[#This Row],[Insulin]],NA())</f>
        <v>#N/A</v>
      </c>
    </row>
    <row r="166" spans="1:22" x14ac:dyDescent="0.25">
      <c r="A166" s="5">
        <v>0</v>
      </c>
      <c r="B166" s="5">
        <v>131</v>
      </c>
      <c r="C166" s="5">
        <v>88</v>
      </c>
      <c r="D166" s="5" t="s">
        <v>25</v>
      </c>
      <c r="E166" s="5">
        <v>29</v>
      </c>
      <c r="F166" s="5">
        <v>125</v>
      </c>
      <c r="G166" s="5">
        <v>31.6</v>
      </c>
      <c r="H166" s="5" t="s">
        <v>29</v>
      </c>
      <c r="I166" s="5">
        <v>0.74299999999999999</v>
      </c>
      <c r="J166" s="5">
        <v>32</v>
      </c>
      <c r="K166" s="5" t="s">
        <v>36</v>
      </c>
      <c r="L166" s="15">
        <v>1</v>
      </c>
      <c r="M166" s="5" t="s">
        <v>57</v>
      </c>
      <c r="N166" s="5" t="s">
        <v>56</v>
      </c>
      <c r="O166" s="5" t="s">
        <v>31</v>
      </c>
      <c r="R166" s="5" t="e">
        <f>IF(diabetesoriginal[[#This Row],[Diabetes]]=$R$1,diabetesoriginal[[#This Row],[Skin Thickness]],NA())</f>
        <v>#N/A</v>
      </c>
      <c r="S166" s="5">
        <f>IF(diabetesoriginal[[#This Row],[Diabetes]]=$S$1,diabetesoriginal[[#This Row],[Skin Thickness]],NA())</f>
        <v>29</v>
      </c>
      <c r="U166" s="5" t="e">
        <f>IF(diabetesoriginal[[#This Row],[Diabetes]]=$U$1,diabetesoriginal[[#This Row],[Insulin]],NA())</f>
        <v>#N/A</v>
      </c>
      <c r="V166" s="5">
        <f>IF(diabetesoriginal[[#This Row],[Diabetes]]=$S$1,diabetesoriginal[[#This Row],[Insulin]],NA())</f>
        <v>125</v>
      </c>
    </row>
    <row r="167" spans="1:22" x14ac:dyDescent="0.25">
      <c r="A167" s="5">
        <v>6</v>
      </c>
      <c r="B167" s="5">
        <v>104</v>
      </c>
      <c r="C167" s="5">
        <v>74</v>
      </c>
      <c r="D167" s="5" t="s">
        <v>23</v>
      </c>
      <c r="E167" s="5">
        <v>18</v>
      </c>
      <c r="F167" s="5">
        <v>156</v>
      </c>
      <c r="G167" s="5">
        <v>29.9</v>
      </c>
      <c r="H167" s="5" t="s">
        <v>30</v>
      </c>
      <c r="I167" s="5">
        <v>0.72199999999999998</v>
      </c>
      <c r="J167" s="5">
        <v>41</v>
      </c>
      <c r="K167" s="5" t="s">
        <v>37</v>
      </c>
      <c r="L167" s="15">
        <v>1</v>
      </c>
      <c r="M167" s="5" t="s">
        <v>57</v>
      </c>
      <c r="N167" s="5" t="s">
        <v>58</v>
      </c>
      <c r="O167" s="5" t="s">
        <v>31</v>
      </c>
      <c r="R167" s="5" t="e">
        <f>IF(diabetesoriginal[[#This Row],[Diabetes]]=$R$1,diabetesoriginal[[#This Row],[Skin Thickness]],NA())</f>
        <v>#N/A</v>
      </c>
      <c r="S167" s="5">
        <f>IF(diabetesoriginal[[#This Row],[Diabetes]]=$S$1,diabetesoriginal[[#This Row],[Skin Thickness]],NA())</f>
        <v>18</v>
      </c>
      <c r="U167" s="5" t="e">
        <f>IF(diabetesoriginal[[#This Row],[Diabetes]]=$U$1,diabetesoriginal[[#This Row],[Insulin]],NA())</f>
        <v>#N/A</v>
      </c>
      <c r="V167" s="5">
        <f>IF(diabetesoriginal[[#This Row],[Diabetes]]=$S$1,diabetesoriginal[[#This Row],[Insulin]],NA())</f>
        <v>156</v>
      </c>
    </row>
    <row r="168" spans="1:22" x14ac:dyDescent="0.25">
      <c r="A168" s="5">
        <v>3</v>
      </c>
      <c r="B168" s="5">
        <v>148</v>
      </c>
      <c r="C168" s="5">
        <v>66</v>
      </c>
      <c r="D168" s="5" t="s">
        <v>23</v>
      </c>
      <c r="E168" s="5">
        <v>25</v>
      </c>
      <c r="F168" s="5">
        <v>125</v>
      </c>
      <c r="G168" s="5">
        <v>32.5</v>
      </c>
      <c r="H168" s="5" t="s">
        <v>29</v>
      </c>
      <c r="I168" s="5">
        <v>0.25600000000000001</v>
      </c>
      <c r="J168" s="5">
        <v>22</v>
      </c>
      <c r="K168" s="5" t="s">
        <v>35</v>
      </c>
      <c r="L168" s="15">
        <v>0</v>
      </c>
      <c r="M168" s="5" t="s">
        <v>22</v>
      </c>
      <c r="N168" s="5" t="s">
        <v>56</v>
      </c>
      <c r="O168" s="5" t="s">
        <v>31</v>
      </c>
      <c r="R168" s="5">
        <f>IF(diabetesoriginal[[#This Row],[Diabetes]]=$R$1,diabetesoriginal[[#This Row],[Skin Thickness]],NA())</f>
        <v>25</v>
      </c>
      <c r="S168" s="5" t="e">
        <f>IF(diabetesoriginal[[#This Row],[Diabetes]]=$S$1,diabetesoriginal[[#This Row],[Skin Thickness]],NA())</f>
        <v>#N/A</v>
      </c>
      <c r="U168" s="5">
        <f>IF(diabetesoriginal[[#This Row],[Diabetes]]=$U$1,diabetesoriginal[[#This Row],[Insulin]],NA())</f>
        <v>125</v>
      </c>
      <c r="V168" s="5" t="e">
        <f>IF(diabetesoriginal[[#This Row],[Diabetes]]=$S$1,diabetesoriginal[[#This Row],[Insulin]],NA())</f>
        <v>#N/A</v>
      </c>
    </row>
    <row r="169" spans="1:22" x14ac:dyDescent="0.25">
      <c r="A169" s="5">
        <v>4</v>
      </c>
      <c r="B169" s="5">
        <v>120</v>
      </c>
      <c r="C169" s="5">
        <v>68</v>
      </c>
      <c r="D169" s="5" t="s">
        <v>23</v>
      </c>
      <c r="E169" s="5">
        <v>29</v>
      </c>
      <c r="F169" s="5">
        <v>125</v>
      </c>
      <c r="G169" s="5">
        <v>29.6</v>
      </c>
      <c r="H169" s="5" t="s">
        <v>30</v>
      </c>
      <c r="I169" s="5">
        <v>0.70899999999999996</v>
      </c>
      <c r="J169" s="5">
        <v>34</v>
      </c>
      <c r="K169" s="5" t="s">
        <v>36</v>
      </c>
      <c r="L169" s="15">
        <v>0</v>
      </c>
      <c r="M169" s="5" t="s">
        <v>57</v>
      </c>
      <c r="N169" s="5" t="s">
        <v>56</v>
      </c>
      <c r="O169" s="5" t="s">
        <v>31</v>
      </c>
      <c r="R169" s="5">
        <f>IF(diabetesoriginal[[#This Row],[Diabetes]]=$R$1,diabetesoriginal[[#This Row],[Skin Thickness]],NA())</f>
        <v>29</v>
      </c>
      <c r="S169" s="5" t="e">
        <f>IF(diabetesoriginal[[#This Row],[Diabetes]]=$S$1,diabetesoriginal[[#This Row],[Skin Thickness]],NA())</f>
        <v>#N/A</v>
      </c>
      <c r="U169" s="5">
        <f>IF(diabetesoriginal[[#This Row],[Diabetes]]=$U$1,diabetesoriginal[[#This Row],[Insulin]],NA())</f>
        <v>125</v>
      </c>
      <c r="V169" s="5" t="e">
        <f>IF(diabetesoriginal[[#This Row],[Diabetes]]=$S$1,diabetesoriginal[[#This Row],[Insulin]],NA())</f>
        <v>#N/A</v>
      </c>
    </row>
    <row r="170" spans="1:22" x14ac:dyDescent="0.25">
      <c r="A170" s="5">
        <v>4</v>
      </c>
      <c r="B170" s="5">
        <v>110</v>
      </c>
      <c r="C170" s="5">
        <v>66</v>
      </c>
      <c r="D170" s="5" t="s">
        <v>23</v>
      </c>
      <c r="E170" s="5">
        <v>29</v>
      </c>
      <c r="F170" s="5">
        <v>125</v>
      </c>
      <c r="G170" s="5">
        <v>31.9</v>
      </c>
      <c r="H170" s="5" t="s">
        <v>29</v>
      </c>
      <c r="I170" s="5">
        <v>0.47099999999999997</v>
      </c>
      <c r="J170" s="5">
        <v>29</v>
      </c>
      <c r="K170" s="5" t="s">
        <v>35</v>
      </c>
      <c r="L170" s="15">
        <v>0</v>
      </c>
      <c r="M170" s="5" t="s">
        <v>57</v>
      </c>
      <c r="N170" s="5" t="s">
        <v>56</v>
      </c>
      <c r="O170" s="5" t="s">
        <v>31</v>
      </c>
      <c r="R170" s="5">
        <f>IF(diabetesoriginal[[#This Row],[Diabetes]]=$R$1,diabetesoriginal[[#This Row],[Skin Thickness]],NA())</f>
        <v>29</v>
      </c>
      <c r="S170" s="5" t="e">
        <f>IF(diabetesoriginal[[#This Row],[Diabetes]]=$S$1,diabetesoriginal[[#This Row],[Skin Thickness]],NA())</f>
        <v>#N/A</v>
      </c>
      <c r="U170" s="5">
        <f>IF(diabetesoriginal[[#This Row],[Diabetes]]=$U$1,diabetesoriginal[[#This Row],[Insulin]],NA())</f>
        <v>125</v>
      </c>
      <c r="V170" s="5" t="e">
        <f>IF(diabetesoriginal[[#This Row],[Diabetes]]=$S$1,diabetesoriginal[[#This Row],[Insulin]],NA())</f>
        <v>#N/A</v>
      </c>
    </row>
    <row r="171" spans="1:22" x14ac:dyDescent="0.25">
      <c r="A171" s="5">
        <v>3</v>
      </c>
      <c r="B171" s="5">
        <v>111</v>
      </c>
      <c r="C171" s="5">
        <v>90</v>
      </c>
      <c r="D171" s="5" t="s">
        <v>24</v>
      </c>
      <c r="E171" s="5">
        <v>12</v>
      </c>
      <c r="F171" s="5">
        <v>78</v>
      </c>
      <c r="G171" s="5">
        <v>28.4</v>
      </c>
      <c r="H171" s="5" t="s">
        <v>30</v>
      </c>
      <c r="I171" s="5">
        <v>0.495</v>
      </c>
      <c r="J171" s="5">
        <v>29</v>
      </c>
      <c r="K171" s="5" t="s">
        <v>35</v>
      </c>
      <c r="L171" s="15">
        <v>0</v>
      </c>
      <c r="M171" s="5" t="s">
        <v>57</v>
      </c>
      <c r="N171" s="5" t="s">
        <v>58</v>
      </c>
      <c r="O171" s="5" t="s">
        <v>31</v>
      </c>
      <c r="R171" s="5">
        <f>IF(diabetesoriginal[[#This Row],[Diabetes]]=$R$1,diabetesoriginal[[#This Row],[Skin Thickness]],NA())</f>
        <v>12</v>
      </c>
      <c r="S171" s="5" t="e">
        <f>IF(diabetesoriginal[[#This Row],[Diabetes]]=$S$1,diabetesoriginal[[#This Row],[Skin Thickness]],NA())</f>
        <v>#N/A</v>
      </c>
      <c r="U171" s="5">
        <f>IF(diabetesoriginal[[#This Row],[Diabetes]]=$U$1,diabetesoriginal[[#This Row],[Insulin]],NA())</f>
        <v>78</v>
      </c>
      <c r="V171" s="5" t="e">
        <f>IF(diabetesoriginal[[#This Row],[Diabetes]]=$S$1,diabetesoriginal[[#This Row],[Insulin]],NA())</f>
        <v>#N/A</v>
      </c>
    </row>
    <row r="172" spans="1:22" x14ac:dyDescent="0.25">
      <c r="A172" s="5">
        <v>6</v>
      </c>
      <c r="B172" s="5">
        <v>102</v>
      </c>
      <c r="C172" s="5">
        <v>82</v>
      </c>
      <c r="D172" s="5" t="s">
        <v>25</v>
      </c>
      <c r="E172" s="5">
        <v>29</v>
      </c>
      <c r="F172" s="5">
        <v>125</v>
      </c>
      <c r="G172" s="5">
        <v>30.8</v>
      </c>
      <c r="H172" s="5" t="s">
        <v>29</v>
      </c>
      <c r="I172" s="5">
        <v>0.18</v>
      </c>
      <c r="J172" s="5">
        <v>36</v>
      </c>
      <c r="K172" s="5" t="s">
        <v>36</v>
      </c>
      <c r="L172" s="15">
        <v>1</v>
      </c>
      <c r="M172" s="5" t="s">
        <v>57</v>
      </c>
      <c r="N172" s="5" t="s">
        <v>56</v>
      </c>
      <c r="O172" s="5" t="s">
        <v>31</v>
      </c>
      <c r="R172" s="5" t="e">
        <f>IF(diabetesoriginal[[#This Row],[Diabetes]]=$R$1,diabetesoriginal[[#This Row],[Skin Thickness]],NA())</f>
        <v>#N/A</v>
      </c>
      <c r="S172" s="5">
        <f>IF(diabetesoriginal[[#This Row],[Diabetes]]=$S$1,diabetesoriginal[[#This Row],[Skin Thickness]],NA())</f>
        <v>29</v>
      </c>
      <c r="U172" s="5" t="e">
        <f>IF(diabetesoriginal[[#This Row],[Diabetes]]=$U$1,diabetesoriginal[[#This Row],[Insulin]],NA())</f>
        <v>#N/A</v>
      </c>
      <c r="V172" s="5">
        <f>IF(diabetesoriginal[[#This Row],[Diabetes]]=$S$1,diabetesoriginal[[#This Row],[Insulin]],NA())</f>
        <v>125</v>
      </c>
    </row>
    <row r="173" spans="1:22" x14ac:dyDescent="0.25">
      <c r="A173" s="5">
        <v>6</v>
      </c>
      <c r="B173" s="5">
        <v>134</v>
      </c>
      <c r="C173" s="5">
        <v>70</v>
      </c>
      <c r="D173" s="5" t="s">
        <v>23</v>
      </c>
      <c r="E173" s="5">
        <v>23</v>
      </c>
      <c r="F173" s="5">
        <v>130</v>
      </c>
      <c r="G173" s="5">
        <v>35.4</v>
      </c>
      <c r="H173" s="5" t="s">
        <v>29</v>
      </c>
      <c r="I173" s="5">
        <v>0.54200000000000004</v>
      </c>
      <c r="J173" s="5">
        <v>29</v>
      </c>
      <c r="K173" s="5" t="s">
        <v>35</v>
      </c>
      <c r="L173" s="15">
        <v>1</v>
      </c>
      <c r="M173" s="5" t="s">
        <v>57</v>
      </c>
      <c r="N173" s="5" t="s">
        <v>58</v>
      </c>
      <c r="O173" s="5" t="s">
        <v>31</v>
      </c>
      <c r="R173" s="5" t="e">
        <f>IF(diabetesoriginal[[#This Row],[Diabetes]]=$R$1,diabetesoriginal[[#This Row],[Skin Thickness]],NA())</f>
        <v>#N/A</v>
      </c>
      <c r="S173" s="5">
        <f>IF(diabetesoriginal[[#This Row],[Diabetes]]=$S$1,diabetesoriginal[[#This Row],[Skin Thickness]],NA())</f>
        <v>23</v>
      </c>
      <c r="U173" s="5" t="e">
        <f>IF(diabetesoriginal[[#This Row],[Diabetes]]=$U$1,diabetesoriginal[[#This Row],[Insulin]],NA())</f>
        <v>#N/A</v>
      </c>
      <c r="V173" s="5">
        <f>IF(diabetesoriginal[[#This Row],[Diabetes]]=$S$1,diabetesoriginal[[#This Row],[Insulin]],NA())</f>
        <v>130</v>
      </c>
    </row>
    <row r="174" spans="1:22" x14ac:dyDescent="0.25">
      <c r="A174" s="5">
        <v>2</v>
      </c>
      <c r="B174" s="5">
        <v>87</v>
      </c>
      <c r="C174" s="5">
        <v>72</v>
      </c>
      <c r="D174" s="5" t="s">
        <v>23</v>
      </c>
      <c r="E174" s="5">
        <v>23</v>
      </c>
      <c r="F174" s="5">
        <v>125</v>
      </c>
      <c r="G174" s="5">
        <v>28.9</v>
      </c>
      <c r="H174" s="5" t="s">
        <v>30</v>
      </c>
      <c r="I174" s="5">
        <v>0.77300000000000002</v>
      </c>
      <c r="J174" s="5">
        <v>25</v>
      </c>
      <c r="K174" s="5" t="s">
        <v>35</v>
      </c>
      <c r="L174" s="15">
        <v>0</v>
      </c>
      <c r="M174" s="5" t="s">
        <v>57</v>
      </c>
      <c r="N174" s="5" t="s">
        <v>58</v>
      </c>
      <c r="O174" s="5" t="s">
        <v>31</v>
      </c>
      <c r="R174" s="5">
        <f>IF(diabetesoriginal[[#This Row],[Diabetes]]=$R$1,diabetesoriginal[[#This Row],[Skin Thickness]],NA())</f>
        <v>23</v>
      </c>
      <c r="S174" s="5" t="e">
        <f>IF(diabetesoriginal[[#This Row],[Diabetes]]=$S$1,diabetesoriginal[[#This Row],[Skin Thickness]],NA())</f>
        <v>#N/A</v>
      </c>
      <c r="U174" s="5">
        <f>IF(diabetesoriginal[[#This Row],[Diabetes]]=$U$1,diabetesoriginal[[#This Row],[Insulin]],NA())</f>
        <v>125</v>
      </c>
      <c r="V174" s="5" t="e">
        <f>IF(diabetesoriginal[[#This Row],[Diabetes]]=$S$1,diabetesoriginal[[#This Row],[Insulin]],NA())</f>
        <v>#N/A</v>
      </c>
    </row>
    <row r="175" spans="1:22" x14ac:dyDescent="0.25">
      <c r="A175" s="5">
        <v>1</v>
      </c>
      <c r="B175" s="5">
        <v>79</v>
      </c>
      <c r="C175" s="5">
        <v>60</v>
      </c>
      <c r="D175" s="5" t="s">
        <v>23</v>
      </c>
      <c r="E175" s="5">
        <v>42</v>
      </c>
      <c r="F175" s="5">
        <v>48</v>
      </c>
      <c r="G175" s="5">
        <v>43.5</v>
      </c>
      <c r="H175" s="5" t="s">
        <v>32</v>
      </c>
      <c r="I175" s="5">
        <v>0.67800000000000005</v>
      </c>
      <c r="J175" s="5">
        <v>23</v>
      </c>
      <c r="K175" s="5" t="s">
        <v>35</v>
      </c>
      <c r="L175" s="15">
        <v>0</v>
      </c>
      <c r="M175" s="5" t="s">
        <v>57</v>
      </c>
      <c r="N175" s="5" t="s">
        <v>56</v>
      </c>
      <c r="O175" s="5" t="s">
        <v>31</v>
      </c>
      <c r="R175" s="5">
        <f>IF(diabetesoriginal[[#This Row],[Diabetes]]=$R$1,diabetesoriginal[[#This Row],[Skin Thickness]],NA())</f>
        <v>42</v>
      </c>
      <c r="S175" s="5" t="e">
        <f>IF(diabetesoriginal[[#This Row],[Diabetes]]=$S$1,diabetesoriginal[[#This Row],[Skin Thickness]],NA())</f>
        <v>#N/A</v>
      </c>
      <c r="U175" s="5">
        <f>IF(diabetesoriginal[[#This Row],[Diabetes]]=$U$1,diabetesoriginal[[#This Row],[Insulin]],NA())</f>
        <v>48</v>
      </c>
      <c r="V175" s="5" t="e">
        <f>IF(diabetesoriginal[[#This Row],[Diabetes]]=$S$1,diabetesoriginal[[#This Row],[Insulin]],NA())</f>
        <v>#N/A</v>
      </c>
    </row>
    <row r="176" spans="1:22" x14ac:dyDescent="0.25">
      <c r="A176" s="5">
        <v>2</v>
      </c>
      <c r="B176" s="5">
        <v>75</v>
      </c>
      <c r="C176" s="5">
        <v>64</v>
      </c>
      <c r="D176" s="5" t="s">
        <v>23</v>
      </c>
      <c r="E176" s="5">
        <v>24</v>
      </c>
      <c r="F176" s="5">
        <v>55</v>
      </c>
      <c r="G176" s="5">
        <v>29.7</v>
      </c>
      <c r="H176" s="5" t="s">
        <v>30</v>
      </c>
      <c r="I176" s="5">
        <v>0.37</v>
      </c>
      <c r="J176" s="5">
        <v>33</v>
      </c>
      <c r="K176" s="5" t="s">
        <v>36</v>
      </c>
      <c r="L176" s="15">
        <v>0</v>
      </c>
      <c r="M176" s="5" t="s">
        <v>57</v>
      </c>
      <c r="N176" s="5" t="s">
        <v>56</v>
      </c>
      <c r="O176" s="5" t="s">
        <v>31</v>
      </c>
      <c r="R176" s="5">
        <f>IF(diabetesoriginal[[#This Row],[Diabetes]]=$R$1,diabetesoriginal[[#This Row],[Skin Thickness]],NA())</f>
        <v>24</v>
      </c>
      <c r="S176" s="5" t="e">
        <f>IF(diabetesoriginal[[#This Row],[Diabetes]]=$S$1,diabetesoriginal[[#This Row],[Skin Thickness]],NA())</f>
        <v>#N/A</v>
      </c>
      <c r="U176" s="5">
        <f>IF(diabetesoriginal[[#This Row],[Diabetes]]=$U$1,diabetesoriginal[[#This Row],[Insulin]],NA())</f>
        <v>55</v>
      </c>
      <c r="V176" s="5" t="e">
        <f>IF(diabetesoriginal[[#This Row],[Diabetes]]=$S$1,diabetesoriginal[[#This Row],[Insulin]],NA())</f>
        <v>#N/A</v>
      </c>
    </row>
    <row r="177" spans="1:22" x14ac:dyDescent="0.25">
      <c r="A177" s="5">
        <v>8</v>
      </c>
      <c r="B177" s="5">
        <v>179</v>
      </c>
      <c r="C177" s="5">
        <v>72</v>
      </c>
      <c r="D177" s="5" t="s">
        <v>23</v>
      </c>
      <c r="E177" s="5">
        <v>42</v>
      </c>
      <c r="F177" s="5">
        <v>130</v>
      </c>
      <c r="G177" s="5">
        <v>32.700000000000003</v>
      </c>
      <c r="H177" s="5" t="s">
        <v>29</v>
      </c>
      <c r="I177" s="5">
        <v>0.71899999999999997</v>
      </c>
      <c r="J177" s="5">
        <v>36</v>
      </c>
      <c r="K177" s="5" t="s">
        <v>36</v>
      </c>
      <c r="L177" s="15">
        <v>1</v>
      </c>
      <c r="M177" s="5" t="s">
        <v>22</v>
      </c>
      <c r="N177" s="5" t="s">
        <v>56</v>
      </c>
      <c r="O177" s="5" t="s">
        <v>31</v>
      </c>
      <c r="R177" s="5" t="e">
        <f>IF(diabetesoriginal[[#This Row],[Diabetes]]=$R$1,diabetesoriginal[[#This Row],[Skin Thickness]],NA())</f>
        <v>#N/A</v>
      </c>
      <c r="S177" s="5">
        <f>IF(diabetesoriginal[[#This Row],[Diabetes]]=$S$1,diabetesoriginal[[#This Row],[Skin Thickness]],NA())</f>
        <v>42</v>
      </c>
      <c r="U177" s="5" t="e">
        <f>IF(diabetesoriginal[[#This Row],[Diabetes]]=$U$1,diabetesoriginal[[#This Row],[Insulin]],NA())</f>
        <v>#N/A</v>
      </c>
      <c r="V177" s="5">
        <f>IF(diabetesoriginal[[#This Row],[Diabetes]]=$S$1,diabetesoriginal[[#This Row],[Insulin]],NA())</f>
        <v>130</v>
      </c>
    </row>
    <row r="178" spans="1:22" x14ac:dyDescent="0.25">
      <c r="A178" s="5">
        <v>6</v>
      </c>
      <c r="B178" s="5">
        <v>85</v>
      </c>
      <c r="C178" s="5">
        <v>78</v>
      </c>
      <c r="D178" s="5" t="s">
        <v>23</v>
      </c>
      <c r="E178" s="5">
        <v>29</v>
      </c>
      <c r="F178" s="5">
        <v>125</v>
      </c>
      <c r="G178" s="5">
        <v>31.2</v>
      </c>
      <c r="H178" s="5" t="s">
        <v>29</v>
      </c>
      <c r="I178" s="5">
        <v>0.38200000000000001</v>
      </c>
      <c r="J178" s="5">
        <v>42</v>
      </c>
      <c r="K178" s="5" t="s">
        <v>37</v>
      </c>
      <c r="L178" s="15">
        <v>0</v>
      </c>
      <c r="M178" s="5" t="s">
        <v>57</v>
      </c>
      <c r="N178" s="5" t="s">
        <v>56</v>
      </c>
      <c r="O178" s="5" t="s">
        <v>31</v>
      </c>
      <c r="R178" s="5">
        <f>IF(diabetesoriginal[[#This Row],[Diabetes]]=$R$1,diabetesoriginal[[#This Row],[Skin Thickness]],NA())</f>
        <v>29</v>
      </c>
      <c r="S178" s="5" t="e">
        <f>IF(diabetesoriginal[[#This Row],[Diabetes]]=$S$1,diabetesoriginal[[#This Row],[Skin Thickness]],NA())</f>
        <v>#N/A</v>
      </c>
      <c r="U178" s="5">
        <f>IF(diabetesoriginal[[#This Row],[Diabetes]]=$U$1,diabetesoriginal[[#This Row],[Insulin]],NA())</f>
        <v>125</v>
      </c>
      <c r="V178" s="5" t="e">
        <f>IF(diabetesoriginal[[#This Row],[Diabetes]]=$S$1,diabetesoriginal[[#This Row],[Insulin]],NA())</f>
        <v>#N/A</v>
      </c>
    </row>
    <row r="179" spans="1:22" x14ac:dyDescent="0.25">
      <c r="A179" s="5">
        <v>0</v>
      </c>
      <c r="B179" s="5">
        <v>129</v>
      </c>
      <c r="C179" s="5">
        <v>110</v>
      </c>
      <c r="D179" s="5" t="s">
        <v>26</v>
      </c>
      <c r="E179" s="5">
        <v>46</v>
      </c>
      <c r="F179" s="5">
        <v>130</v>
      </c>
      <c r="G179" s="5">
        <v>67.099999999999994</v>
      </c>
      <c r="H179" s="5" t="s">
        <v>32</v>
      </c>
      <c r="I179" s="5">
        <v>0.31900000000000001</v>
      </c>
      <c r="J179" s="5">
        <v>26</v>
      </c>
      <c r="K179" s="5" t="s">
        <v>35</v>
      </c>
      <c r="L179" s="15">
        <v>1</v>
      </c>
      <c r="M179" s="5" t="s">
        <v>57</v>
      </c>
      <c r="N179" s="5" t="s">
        <v>56</v>
      </c>
      <c r="O179" s="5" t="s">
        <v>31</v>
      </c>
      <c r="R179" s="5" t="e">
        <f>IF(diabetesoriginal[[#This Row],[Diabetes]]=$R$1,diabetesoriginal[[#This Row],[Skin Thickness]],NA())</f>
        <v>#N/A</v>
      </c>
      <c r="S179" s="5">
        <f>IF(diabetesoriginal[[#This Row],[Diabetes]]=$S$1,diabetesoriginal[[#This Row],[Skin Thickness]],NA())</f>
        <v>46</v>
      </c>
      <c r="U179" s="5" t="e">
        <f>IF(diabetesoriginal[[#This Row],[Diabetes]]=$U$1,diabetesoriginal[[#This Row],[Insulin]],NA())</f>
        <v>#N/A</v>
      </c>
      <c r="V179" s="5">
        <f>IF(diabetesoriginal[[#This Row],[Diabetes]]=$S$1,diabetesoriginal[[#This Row],[Insulin]],NA())</f>
        <v>130</v>
      </c>
    </row>
    <row r="180" spans="1:22" x14ac:dyDescent="0.25">
      <c r="A180" s="5">
        <v>5</v>
      </c>
      <c r="B180" s="5">
        <v>143</v>
      </c>
      <c r="C180" s="5">
        <v>78</v>
      </c>
      <c r="D180" s="5" t="s">
        <v>23</v>
      </c>
      <c r="E180" s="5">
        <v>29</v>
      </c>
      <c r="F180" s="5">
        <v>125</v>
      </c>
      <c r="G180" s="5">
        <v>45</v>
      </c>
      <c r="H180" s="5" t="s">
        <v>32</v>
      </c>
      <c r="I180" s="5">
        <v>0.19</v>
      </c>
      <c r="J180" s="5">
        <v>47</v>
      </c>
      <c r="K180" s="5" t="s">
        <v>37</v>
      </c>
      <c r="L180" s="15">
        <v>0</v>
      </c>
      <c r="M180" s="5" t="s">
        <v>22</v>
      </c>
      <c r="N180" s="5" t="s">
        <v>56</v>
      </c>
      <c r="O180" s="5" t="s">
        <v>31</v>
      </c>
      <c r="R180" s="5">
        <f>IF(diabetesoriginal[[#This Row],[Diabetes]]=$R$1,diabetesoriginal[[#This Row],[Skin Thickness]],NA())</f>
        <v>29</v>
      </c>
      <c r="S180" s="5" t="e">
        <f>IF(diabetesoriginal[[#This Row],[Diabetes]]=$S$1,diabetesoriginal[[#This Row],[Skin Thickness]],NA())</f>
        <v>#N/A</v>
      </c>
      <c r="U180" s="5">
        <f>IF(diabetesoriginal[[#This Row],[Diabetes]]=$U$1,diabetesoriginal[[#This Row],[Insulin]],NA())</f>
        <v>125</v>
      </c>
      <c r="V180" s="5" t="e">
        <f>IF(diabetesoriginal[[#This Row],[Diabetes]]=$S$1,diabetesoriginal[[#This Row],[Insulin]],NA())</f>
        <v>#N/A</v>
      </c>
    </row>
    <row r="181" spans="1:22" x14ac:dyDescent="0.25">
      <c r="A181" s="5">
        <v>5</v>
      </c>
      <c r="B181" s="5">
        <v>130</v>
      </c>
      <c r="C181" s="5">
        <v>82</v>
      </c>
      <c r="D181" s="5" t="s">
        <v>25</v>
      </c>
      <c r="E181" s="5">
        <v>29</v>
      </c>
      <c r="F181" s="5">
        <v>125</v>
      </c>
      <c r="G181" s="5">
        <v>39.1</v>
      </c>
      <c r="H181" s="5" t="s">
        <v>29</v>
      </c>
      <c r="I181" s="5">
        <v>0.95599999999999996</v>
      </c>
      <c r="J181" s="5">
        <v>37</v>
      </c>
      <c r="K181" s="5" t="s">
        <v>36</v>
      </c>
      <c r="L181" s="15">
        <v>1</v>
      </c>
      <c r="M181" s="5" t="s">
        <v>57</v>
      </c>
      <c r="N181" s="5" t="s">
        <v>56</v>
      </c>
      <c r="O181" s="5" t="s">
        <v>31</v>
      </c>
      <c r="R181" s="5" t="e">
        <f>IF(diabetesoriginal[[#This Row],[Diabetes]]=$R$1,diabetesoriginal[[#This Row],[Skin Thickness]],NA())</f>
        <v>#N/A</v>
      </c>
      <c r="S181" s="5">
        <f>IF(diabetesoriginal[[#This Row],[Diabetes]]=$S$1,diabetesoriginal[[#This Row],[Skin Thickness]],NA())</f>
        <v>29</v>
      </c>
      <c r="U181" s="5" t="e">
        <f>IF(diabetesoriginal[[#This Row],[Diabetes]]=$U$1,diabetesoriginal[[#This Row],[Insulin]],NA())</f>
        <v>#N/A</v>
      </c>
      <c r="V181" s="5">
        <f>IF(diabetesoriginal[[#This Row],[Diabetes]]=$S$1,diabetesoriginal[[#This Row],[Insulin]],NA())</f>
        <v>125</v>
      </c>
    </row>
    <row r="182" spans="1:22" x14ac:dyDescent="0.25">
      <c r="A182" s="5">
        <v>6</v>
      </c>
      <c r="B182" s="5">
        <v>87</v>
      </c>
      <c r="C182" s="5">
        <v>80</v>
      </c>
      <c r="D182" s="5" t="s">
        <v>25</v>
      </c>
      <c r="E182" s="5">
        <v>29</v>
      </c>
      <c r="F182" s="5">
        <v>125</v>
      </c>
      <c r="G182" s="5">
        <v>23.2</v>
      </c>
      <c r="H182" s="5" t="s">
        <v>31</v>
      </c>
      <c r="I182" s="5">
        <v>8.4000000000000005E-2</v>
      </c>
      <c r="J182" s="5">
        <v>32</v>
      </c>
      <c r="K182" s="5" t="s">
        <v>36</v>
      </c>
      <c r="L182" s="15">
        <v>0</v>
      </c>
      <c r="M182" s="5" t="s">
        <v>57</v>
      </c>
      <c r="N182" s="5" t="s">
        <v>56</v>
      </c>
      <c r="O182" s="5" t="s">
        <v>31</v>
      </c>
      <c r="R182" s="5">
        <f>IF(diabetesoriginal[[#This Row],[Diabetes]]=$R$1,diabetesoriginal[[#This Row],[Skin Thickness]],NA())</f>
        <v>29</v>
      </c>
      <c r="S182" s="5" t="e">
        <f>IF(diabetesoriginal[[#This Row],[Diabetes]]=$S$1,diabetesoriginal[[#This Row],[Skin Thickness]],NA())</f>
        <v>#N/A</v>
      </c>
      <c r="U182" s="5">
        <f>IF(diabetesoriginal[[#This Row],[Diabetes]]=$U$1,diabetesoriginal[[#This Row],[Insulin]],NA())</f>
        <v>125</v>
      </c>
      <c r="V182" s="5" t="e">
        <f>IF(diabetesoriginal[[#This Row],[Diabetes]]=$S$1,diabetesoriginal[[#This Row],[Insulin]],NA())</f>
        <v>#N/A</v>
      </c>
    </row>
    <row r="183" spans="1:22" x14ac:dyDescent="0.25">
      <c r="A183" s="5">
        <v>0</v>
      </c>
      <c r="B183" s="5">
        <v>119</v>
      </c>
      <c r="C183" s="5">
        <v>64</v>
      </c>
      <c r="D183" s="5" t="s">
        <v>23</v>
      </c>
      <c r="E183" s="5">
        <v>18</v>
      </c>
      <c r="F183" s="5">
        <v>92</v>
      </c>
      <c r="G183" s="5">
        <v>34.9</v>
      </c>
      <c r="H183" s="5" t="s">
        <v>29</v>
      </c>
      <c r="I183" s="5">
        <v>0.72499999999999998</v>
      </c>
      <c r="J183" s="5">
        <v>23</v>
      </c>
      <c r="K183" s="5" t="s">
        <v>35</v>
      </c>
      <c r="L183" s="15">
        <v>0</v>
      </c>
      <c r="M183" s="5" t="s">
        <v>57</v>
      </c>
      <c r="N183" s="5" t="s">
        <v>58</v>
      </c>
      <c r="O183" s="5" t="s">
        <v>31</v>
      </c>
      <c r="R183" s="5">
        <f>IF(diabetesoriginal[[#This Row],[Diabetes]]=$R$1,diabetesoriginal[[#This Row],[Skin Thickness]],NA())</f>
        <v>18</v>
      </c>
      <c r="S183" s="5" t="e">
        <f>IF(diabetesoriginal[[#This Row],[Diabetes]]=$S$1,diabetesoriginal[[#This Row],[Skin Thickness]],NA())</f>
        <v>#N/A</v>
      </c>
      <c r="U183" s="5">
        <f>IF(diabetesoriginal[[#This Row],[Diabetes]]=$U$1,diabetesoriginal[[#This Row],[Insulin]],NA())</f>
        <v>92</v>
      </c>
      <c r="V183" s="5" t="e">
        <f>IF(diabetesoriginal[[#This Row],[Diabetes]]=$S$1,diabetesoriginal[[#This Row],[Insulin]],NA())</f>
        <v>#N/A</v>
      </c>
    </row>
    <row r="184" spans="1:22" x14ac:dyDescent="0.25">
      <c r="A184" s="5">
        <v>1</v>
      </c>
      <c r="B184" s="5">
        <v>117</v>
      </c>
      <c r="C184" s="5">
        <v>74</v>
      </c>
      <c r="D184" s="5" t="s">
        <v>23</v>
      </c>
      <c r="E184" s="5">
        <v>20</v>
      </c>
      <c r="F184" s="5">
        <v>23</v>
      </c>
      <c r="G184" s="5">
        <v>27.7</v>
      </c>
      <c r="H184" s="5" t="s">
        <v>30</v>
      </c>
      <c r="I184" s="5">
        <v>0.29899999999999999</v>
      </c>
      <c r="J184" s="5">
        <v>21</v>
      </c>
      <c r="K184" s="5" t="s">
        <v>35</v>
      </c>
      <c r="L184" s="15">
        <v>0</v>
      </c>
      <c r="M184" s="5" t="s">
        <v>57</v>
      </c>
      <c r="N184" s="5" t="s">
        <v>58</v>
      </c>
      <c r="O184" s="5" t="s">
        <v>31</v>
      </c>
      <c r="R184" s="5">
        <f>IF(diabetesoriginal[[#This Row],[Diabetes]]=$R$1,diabetesoriginal[[#This Row],[Skin Thickness]],NA())</f>
        <v>20</v>
      </c>
      <c r="S184" s="5" t="e">
        <f>IF(diabetesoriginal[[#This Row],[Diabetes]]=$S$1,diabetesoriginal[[#This Row],[Skin Thickness]],NA())</f>
        <v>#N/A</v>
      </c>
      <c r="U184" s="5">
        <f>IF(diabetesoriginal[[#This Row],[Diabetes]]=$U$1,diabetesoriginal[[#This Row],[Insulin]],NA())</f>
        <v>23</v>
      </c>
      <c r="V184" s="5" t="e">
        <f>IF(diabetesoriginal[[#This Row],[Diabetes]]=$S$1,diabetesoriginal[[#This Row],[Insulin]],NA())</f>
        <v>#N/A</v>
      </c>
    </row>
    <row r="185" spans="1:22" x14ac:dyDescent="0.25">
      <c r="A185" s="5">
        <v>5</v>
      </c>
      <c r="B185" s="5">
        <v>73</v>
      </c>
      <c r="C185" s="5">
        <v>60</v>
      </c>
      <c r="D185" s="5" t="s">
        <v>23</v>
      </c>
      <c r="E185" s="5">
        <v>29</v>
      </c>
      <c r="F185" s="5">
        <v>125</v>
      </c>
      <c r="G185" s="5">
        <v>26.8</v>
      </c>
      <c r="H185" s="5" t="s">
        <v>30</v>
      </c>
      <c r="I185" s="5">
        <v>0.26800000000000002</v>
      </c>
      <c r="J185" s="5">
        <v>27</v>
      </c>
      <c r="K185" s="5" t="s">
        <v>35</v>
      </c>
      <c r="L185" s="15">
        <v>0</v>
      </c>
      <c r="M185" s="5" t="s">
        <v>57</v>
      </c>
      <c r="N185" s="5" t="s">
        <v>56</v>
      </c>
      <c r="O185" s="5" t="s">
        <v>31</v>
      </c>
      <c r="R185" s="5">
        <f>IF(diabetesoriginal[[#This Row],[Diabetes]]=$R$1,diabetesoriginal[[#This Row],[Skin Thickness]],NA())</f>
        <v>29</v>
      </c>
      <c r="S185" s="5" t="e">
        <f>IF(diabetesoriginal[[#This Row],[Diabetes]]=$S$1,diabetesoriginal[[#This Row],[Skin Thickness]],NA())</f>
        <v>#N/A</v>
      </c>
      <c r="U185" s="5">
        <f>IF(diabetesoriginal[[#This Row],[Diabetes]]=$U$1,diabetesoriginal[[#This Row],[Insulin]],NA())</f>
        <v>125</v>
      </c>
      <c r="V185" s="5" t="e">
        <f>IF(diabetesoriginal[[#This Row],[Diabetes]]=$S$1,diabetesoriginal[[#This Row],[Insulin]],NA())</f>
        <v>#N/A</v>
      </c>
    </row>
    <row r="186" spans="1:22" x14ac:dyDescent="0.25">
      <c r="A186" s="5">
        <v>4</v>
      </c>
      <c r="B186" s="5">
        <v>141</v>
      </c>
      <c r="C186" s="5">
        <v>74</v>
      </c>
      <c r="D186" s="5" t="s">
        <v>23</v>
      </c>
      <c r="E186" s="5">
        <v>29</v>
      </c>
      <c r="F186" s="5">
        <v>125</v>
      </c>
      <c r="G186" s="5">
        <v>27.6</v>
      </c>
      <c r="H186" s="5" t="s">
        <v>30</v>
      </c>
      <c r="I186" s="5">
        <v>0.24399999999999999</v>
      </c>
      <c r="J186" s="5">
        <v>40</v>
      </c>
      <c r="K186" s="5" t="s">
        <v>37</v>
      </c>
      <c r="L186" s="15">
        <v>0</v>
      </c>
      <c r="M186" s="5" t="s">
        <v>22</v>
      </c>
      <c r="N186" s="5" t="s">
        <v>56</v>
      </c>
      <c r="O186" s="5" t="s">
        <v>31</v>
      </c>
      <c r="R186" s="5">
        <f>IF(diabetesoriginal[[#This Row],[Diabetes]]=$R$1,diabetesoriginal[[#This Row],[Skin Thickness]],NA())</f>
        <v>29</v>
      </c>
      <c r="S186" s="5" t="e">
        <f>IF(diabetesoriginal[[#This Row],[Diabetes]]=$S$1,diabetesoriginal[[#This Row],[Skin Thickness]],NA())</f>
        <v>#N/A</v>
      </c>
      <c r="U186" s="5">
        <f>IF(diabetesoriginal[[#This Row],[Diabetes]]=$U$1,diabetesoriginal[[#This Row],[Insulin]],NA())</f>
        <v>125</v>
      </c>
      <c r="V186" s="5" t="e">
        <f>IF(diabetesoriginal[[#This Row],[Diabetes]]=$S$1,diabetesoriginal[[#This Row],[Insulin]],NA())</f>
        <v>#N/A</v>
      </c>
    </row>
    <row r="187" spans="1:22" x14ac:dyDescent="0.25">
      <c r="A187" s="5">
        <v>7</v>
      </c>
      <c r="B187" s="5">
        <v>194</v>
      </c>
      <c r="C187" s="5">
        <v>68</v>
      </c>
      <c r="D187" s="5" t="s">
        <v>23</v>
      </c>
      <c r="E187" s="5">
        <v>28</v>
      </c>
      <c r="F187" s="5">
        <v>125</v>
      </c>
      <c r="G187" s="5">
        <v>35.9</v>
      </c>
      <c r="H187" s="5" t="s">
        <v>29</v>
      </c>
      <c r="I187" s="5">
        <v>0.745</v>
      </c>
      <c r="J187" s="5">
        <v>41</v>
      </c>
      <c r="K187" s="5" t="s">
        <v>37</v>
      </c>
      <c r="L187" s="15">
        <v>1</v>
      </c>
      <c r="M187" s="5" t="s">
        <v>22</v>
      </c>
      <c r="N187" s="5" t="s">
        <v>56</v>
      </c>
      <c r="O187" s="5" t="s">
        <v>31</v>
      </c>
      <c r="R187" s="5" t="e">
        <f>IF(diabetesoriginal[[#This Row],[Diabetes]]=$R$1,diabetesoriginal[[#This Row],[Skin Thickness]],NA())</f>
        <v>#N/A</v>
      </c>
      <c r="S187" s="5">
        <f>IF(diabetesoriginal[[#This Row],[Diabetes]]=$S$1,diabetesoriginal[[#This Row],[Skin Thickness]],NA())</f>
        <v>28</v>
      </c>
      <c r="U187" s="5" t="e">
        <f>IF(diabetesoriginal[[#This Row],[Diabetes]]=$U$1,diabetesoriginal[[#This Row],[Insulin]],NA())</f>
        <v>#N/A</v>
      </c>
      <c r="V187" s="5">
        <f>IF(diabetesoriginal[[#This Row],[Diabetes]]=$S$1,diabetesoriginal[[#This Row],[Insulin]],NA())</f>
        <v>125</v>
      </c>
    </row>
    <row r="188" spans="1:22" x14ac:dyDescent="0.25">
      <c r="A188" s="5">
        <v>8</v>
      </c>
      <c r="B188" s="5">
        <v>181</v>
      </c>
      <c r="C188" s="5">
        <v>68</v>
      </c>
      <c r="D188" s="5" t="s">
        <v>23</v>
      </c>
      <c r="E188" s="5">
        <v>36</v>
      </c>
      <c r="F188" s="5">
        <v>495</v>
      </c>
      <c r="G188" s="5">
        <v>30.1</v>
      </c>
      <c r="H188" s="5" t="s">
        <v>29</v>
      </c>
      <c r="I188" s="5">
        <v>0.61499999999999999</v>
      </c>
      <c r="J188" s="5">
        <v>60</v>
      </c>
      <c r="K188" s="5" t="s">
        <v>39</v>
      </c>
      <c r="L188" s="15">
        <v>1</v>
      </c>
      <c r="M188" s="5" t="s">
        <v>22</v>
      </c>
      <c r="N188" s="5" t="s">
        <v>56</v>
      </c>
      <c r="O188" s="5" t="s">
        <v>59</v>
      </c>
      <c r="R188" s="5" t="e">
        <f>IF(diabetesoriginal[[#This Row],[Diabetes]]=$R$1,diabetesoriginal[[#This Row],[Skin Thickness]],NA())</f>
        <v>#N/A</v>
      </c>
      <c r="S188" s="5">
        <f>IF(diabetesoriginal[[#This Row],[Diabetes]]=$S$1,diabetesoriginal[[#This Row],[Skin Thickness]],NA())</f>
        <v>36</v>
      </c>
      <c r="U188" s="5" t="e">
        <f>IF(diabetesoriginal[[#This Row],[Diabetes]]=$U$1,diabetesoriginal[[#This Row],[Insulin]],NA())</f>
        <v>#N/A</v>
      </c>
      <c r="V188" s="5">
        <f>IF(diabetesoriginal[[#This Row],[Diabetes]]=$S$1,diabetesoriginal[[#This Row],[Insulin]],NA())</f>
        <v>495</v>
      </c>
    </row>
    <row r="189" spans="1:22" x14ac:dyDescent="0.25">
      <c r="A189" s="5">
        <v>1</v>
      </c>
      <c r="B189" s="5">
        <v>128</v>
      </c>
      <c r="C189" s="5">
        <v>98</v>
      </c>
      <c r="D189" s="5" t="s">
        <v>24</v>
      </c>
      <c r="E189" s="5">
        <v>41</v>
      </c>
      <c r="F189" s="5">
        <v>58</v>
      </c>
      <c r="G189" s="5">
        <v>32</v>
      </c>
      <c r="H189" s="5" t="s">
        <v>29</v>
      </c>
      <c r="I189" s="5">
        <v>1.321</v>
      </c>
      <c r="J189" s="5">
        <v>33</v>
      </c>
      <c r="K189" s="5" t="s">
        <v>36</v>
      </c>
      <c r="L189" s="15">
        <v>1</v>
      </c>
      <c r="M189" s="5" t="s">
        <v>57</v>
      </c>
      <c r="N189" s="5" t="s">
        <v>56</v>
      </c>
      <c r="O189" s="5" t="s">
        <v>31</v>
      </c>
      <c r="R189" s="5" t="e">
        <f>IF(diabetesoriginal[[#This Row],[Diabetes]]=$R$1,diabetesoriginal[[#This Row],[Skin Thickness]],NA())</f>
        <v>#N/A</v>
      </c>
      <c r="S189" s="5">
        <f>IF(diabetesoriginal[[#This Row],[Diabetes]]=$S$1,diabetesoriginal[[#This Row],[Skin Thickness]],NA())</f>
        <v>41</v>
      </c>
      <c r="U189" s="5" t="e">
        <f>IF(diabetesoriginal[[#This Row],[Diabetes]]=$U$1,diabetesoriginal[[#This Row],[Insulin]],NA())</f>
        <v>#N/A</v>
      </c>
      <c r="V189" s="5">
        <f>IF(diabetesoriginal[[#This Row],[Diabetes]]=$S$1,diabetesoriginal[[#This Row],[Insulin]],NA())</f>
        <v>58</v>
      </c>
    </row>
    <row r="190" spans="1:22" x14ac:dyDescent="0.25">
      <c r="A190" s="5">
        <v>8</v>
      </c>
      <c r="B190" s="5">
        <v>109</v>
      </c>
      <c r="C190" s="5">
        <v>76</v>
      </c>
      <c r="D190" s="5" t="s">
        <v>23</v>
      </c>
      <c r="E190" s="5">
        <v>39</v>
      </c>
      <c r="F190" s="5">
        <v>114</v>
      </c>
      <c r="G190" s="5">
        <v>27.9</v>
      </c>
      <c r="H190" s="5" t="s">
        <v>30</v>
      </c>
      <c r="I190" s="5">
        <v>0.64</v>
      </c>
      <c r="J190" s="5">
        <v>31</v>
      </c>
      <c r="K190" s="5" t="s">
        <v>36</v>
      </c>
      <c r="L190" s="15">
        <v>1</v>
      </c>
      <c r="M190" s="5" t="s">
        <v>57</v>
      </c>
      <c r="N190" s="5" t="s">
        <v>56</v>
      </c>
      <c r="O190" s="5" t="s">
        <v>31</v>
      </c>
      <c r="R190" s="5" t="e">
        <f>IF(diabetesoriginal[[#This Row],[Diabetes]]=$R$1,diabetesoriginal[[#This Row],[Skin Thickness]],NA())</f>
        <v>#N/A</v>
      </c>
      <c r="S190" s="5">
        <f>IF(diabetesoriginal[[#This Row],[Diabetes]]=$S$1,diabetesoriginal[[#This Row],[Skin Thickness]],NA())</f>
        <v>39</v>
      </c>
      <c r="U190" s="5" t="e">
        <f>IF(diabetesoriginal[[#This Row],[Diabetes]]=$U$1,diabetesoriginal[[#This Row],[Insulin]],NA())</f>
        <v>#N/A</v>
      </c>
      <c r="V190" s="5">
        <f>IF(diabetesoriginal[[#This Row],[Diabetes]]=$S$1,diabetesoriginal[[#This Row],[Insulin]],NA())</f>
        <v>114</v>
      </c>
    </row>
    <row r="191" spans="1:22" x14ac:dyDescent="0.25">
      <c r="A191" s="5">
        <v>5</v>
      </c>
      <c r="B191" s="5">
        <v>139</v>
      </c>
      <c r="C191" s="5">
        <v>80</v>
      </c>
      <c r="D191" s="5" t="s">
        <v>25</v>
      </c>
      <c r="E191" s="5">
        <v>35</v>
      </c>
      <c r="F191" s="5">
        <v>160</v>
      </c>
      <c r="G191" s="5">
        <v>31.6</v>
      </c>
      <c r="H191" s="5" t="s">
        <v>29</v>
      </c>
      <c r="I191" s="5">
        <v>0.36099999999999999</v>
      </c>
      <c r="J191" s="5">
        <v>25</v>
      </c>
      <c r="K191" s="5" t="s">
        <v>35</v>
      </c>
      <c r="L191" s="15">
        <v>1</v>
      </c>
      <c r="M191" s="5" t="s">
        <v>57</v>
      </c>
      <c r="N191" s="5" t="s">
        <v>56</v>
      </c>
      <c r="O191" s="5" t="s">
        <v>31</v>
      </c>
      <c r="R191" s="5" t="e">
        <f>IF(diabetesoriginal[[#This Row],[Diabetes]]=$R$1,diabetesoriginal[[#This Row],[Skin Thickness]],NA())</f>
        <v>#N/A</v>
      </c>
      <c r="S191" s="5">
        <f>IF(diabetesoriginal[[#This Row],[Diabetes]]=$S$1,diabetesoriginal[[#This Row],[Skin Thickness]],NA())</f>
        <v>35</v>
      </c>
      <c r="U191" s="5" t="e">
        <f>IF(diabetesoriginal[[#This Row],[Diabetes]]=$U$1,diabetesoriginal[[#This Row],[Insulin]],NA())</f>
        <v>#N/A</v>
      </c>
      <c r="V191" s="5">
        <f>IF(diabetesoriginal[[#This Row],[Diabetes]]=$S$1,diabetesoriginal[[#This Row],[Insulin]],NA())</f>
        <v>160</v>
      </c>
    </row>
    <row r="192" spans="1:22" x14ac:dyDescent="0.25">
      <c r="A192" s="5">
        <v>3</v>
      </c>
      <c r="B192" s="5">
        <v>111</v>
      </c>
      <c r="C192" s="5">
        <v>62</v>
      </c>
      <c r="D192" s="5" t="s">
        <v>23</v>
      </c>
      <c r="E192" s="5">
        <v>29</v>
      </c>
      <c r="F192" s="5">
        <v>125</v>
      </c>
      <c r="G192" s="5">
        <v>22.6</v>
      </c>
      <c r="H192" s="5" t="s">
        <v>31</v>
      </c>
      <c r="I192" s="5">
        <v>0.14199999999999999</v>
      </c>
      <c r="J192" s="5">
        <v>21</v>
      </c>
      <c r="K192" s="5" t="s">
        <v>35</v>
      </c>
      <c r="L192" s="15">
        <v>0</v>
      </c>
      <c r="M192" s="5" t="s">
        <v>57</v>
      </c>
      <c r="N192" s="5" t="s">
        <v>56</v>
      </c>
      <c r="O192" s="5" t="s">
        <v>31</v>
      </c>
      <c r="R192" s="5">
        <f>IF(diabetesoriginal[[#This Row],[Diabetes]]=$R$1,diabetesoriginal[[#This Row],[Skin Thickness]],NA())</f>
        <v>29</v>
      </c>
      <c r="S192" s="5" t="e">
        <f>IF(diabetesoriginal[[#This Row],[Diabetes]]=$S$1,diabetesoriginal[[#This Row],[Skin Thickness]],NA())</f>
        <v>#N/A</v>
      </c>
      <c r="U192" s="5">
        <f>IF(diabetesoriginal[[#This Row],[Diabetes]]=$U$1,diabetesoriginal[[#This Row],[Insulin]],NA())</f>
        <v>125</v>
      </c>
      <c r="V192" s="5" t="e">
        <f>IF(diabetesoriginal[[#This Row],[Diabetes]]=$S$1,diabetesoriginal[[#This Row],[Insulin]],NA())</f>
        <v>#N/A</v>
      </c>
    </row>
    <row r="193" spans="1:22" x14ac:dyDescent="0.25">
      <c r="A193" s="5">
        <v>9</v>
      </c>
      <c r="B193" s="5">
        <v>123</v>
      </c>
      <c r="C193" s="5">
        <v>70</v>
      </c>
      <c r="D193" s="5" t="s">
        <v>23</v>
      </c>
      <c r="E193" s="5">
        <v>44</v>
      </c>
      <c r="F193" s="5">
        <v>94</v>
      </c>
      <c r="G193" s="5">
        <v>33.1</v>
      </c>
      <c r="H193" s="5" t="s">
        <v>29</v>
      </c>
      <c r="I193" s="5">
        <v>0.374</v>
      </c>
      <c r="J193" s="5">
        <v>40</v>
      </c>
      <c r="K193" s="5" t="s">
        <v>37</v>
      </c>
      <c r="L193" s="15">
        <v>0</v>
      </c>
      <c r="M193" s="5" t="s">
        <v>57</v>
      </c>
      <c r="N193" s="5" t="s">
        <v>56</v>
      </c>
      <c r="O193" s="5" t="s">
        <v>31</v>
      </c>
      <c r="R193" s="5">
        <f>IF(diabetesoriginal[[#This Row],[Diabetes]]=$R$1,diabetesoriginal[[#This Row],[Skin Thickness]],NA())</f>
        <v>44</v>
      </c>
      <c r="S193" s="5" t="e">
        <f>IF(diabetesoriginal[[#This Row],[Diabetes]]=$S$1,diabetesoriginal[[#This Row],[Skin Thickness]],NA())</f>
        <v>#N/A</v>
      </c>
      <c r="U193" s="5">
        <f>IF(diabetesoriginal[[#This Row],[Diabetes]]=$U$1,diabetesoriginal[[#This Row],[Insulin]],NA())</f>
        <v>94</v>
      </c>
      <c r="V193" s="5" t="e">
        <f>IF(diabetesoriginal[[#This Row],[Diabetes]]=$S$1,diabetesoriginal[[#This Row],[Insulin]],NA())</f>
        <v>#N/A</v>
      </c>
    </row>
    <row r="194" spans="1:22" x14ac:dyDescent="0.25">
      <c r="A194" s="5">
        <v>7</v>
      </c>
      <c r="B194" s="5">
        <v>159</v>
      </c>
      <c r="C194" s="5">
        <v>66</v>
      </c>
      <c r="D194" s="5" t="s">
        <v>23</v>
      </c>
      <c r="E194" s="5">
        <v>29</v>
      </c>
      <c r="F194" s="5">
        <v>125</v>
      </c>
      <c r="G194" s="5">
        <v>30.4</v>
      </c>
      <c r="H194" s="5" t="s">
        <v>29</v>
      </c>
      <c r="I194" s="5">
        <v>0.38300000000000001</v>
      </c>
      <c r="J194" s="5">
        <v>36</v>
      </c>
      <c r="K194" s="5" t="s">
        <v>36</v>
      </c>
      <c r="L194" s="15">
        <v>1</v>
      </c>
      <c r="M194" s="5" t="s">
        <v>22</v>
      </c>
      <c r="N194" s="5" t="s">
        <v>56</v>
      </c>
      <c r="O194" s="5" t="s">
        <v>31</v>
      </c>
      <c r="R194" s="5" t="e">
        <f>IF(diabetesoriginal[[#This Row],[Diabetes]]=$R$1,diabetesoriginal[[#This Row],[Skin Thickness]],NA())</f>
        <v>#N/A</v>
      </c>
      <c r="S194" s="5">
        <f>IF(diabetesoriginal[[#This Row],[Diabetes]]=$S$1,diabetesoriginal[[#This Row],[Skin Thickness]],NA())</f>
        <v>29</v>
      </c>
      <c r="U194" s="5" t="e">
        <f>IF(diabetesoriginal[[#This Row],[Diabetes]]=$U$1,diabetesoriginal[[#This Row],[Insulin]],NA())</f>
        <v>#N/A</v>
      </c>
      <c r="V194" s="5">
        <f>IF(diabetesoriginal[[#This Row],[Diabetes]]=$S$1,diabetesoriginal[[#This Row],[Insulin]],NA())</f>
        <v>125</v>
      </c>
    </row>
    <row r="195" spans="1:22" x14ac:dyDescent="0.25">
      <c r="A195" s="5">
        <v>11</v>
      </c>
      <c r="B195" s="5">
        <v>135</v>
      </c>
      <c r="C195" s="5">
        <v>72</v>
      </c>
      <c r="D195" s="5" t="s">
        <v>23</v>
      </c>
      <c r="E195" s="5">
        <v>29</v>
      </c>
      <c r="F195" s="5">
        <v>125</v>
      </c>
      <c r="G195" s="5">
        <v>52.3</v>
      </c>
      <c r="H195" s="5" t="s">
        <v>32</v>
      </c>
      <c r="I195" s="5">
        <v>0.57799999999999996</v>
      </c>
      <c r="J195" s="5">
        <v>40</v>
      </c>
      <c r="K195" s="5" t="s">
        <v>37</v>
      </c>
      <c r="L195" s="15">
        <v>1</v>
      </c>
      <c r="M195" s="5" t="s">
        <v>57</v>
      </c>
      <c r="N195" s="5" t="s">
        <v>56</v>
      </c>
      <c r="O195" s="5" t="s">
        <v>31</v>
      </c>
      <c r="R195" s="5" t="e">
        <f>IF(diabetesoriginal[[#This Row],[Diabetes]]=$R$1,diabetesoriginal[[#This Row],[Skin Thickness]],NA())</f>
        <v>#N/A</v>
      </c>
      <c r="S195" s="5">
        <f>IF(diabetesoriginal[[#This Row],[Diabetes]]=$S$1,diabetesoriginal[[#This Row],[Skin Thickness]],NA())</f>
        <v>29</v>
      </c>
      <c r="U195" s="5" t="e">
        <f>IF(diabetesoriginal[[#This Row],[Diabetes]]=$U$1,diabetesoriginal[[#This Row],[Insulin]],NA())</f>
        <v>#N/A</v>
      </c>
      <c r="V195" s="5">
        <f>IF(diabetesoriginal[[#This Row],[Diabetes]]=$S$1,diabetesoriginal[[#This Row],[Insulin]],NA())</f>
        <v>125</v>
      </c>
    </row>
    <row r="196" spans="1:22" x14ac:dyDescent="0.25">
      <c r="A196" s="5">
        <v>8</v>
      </c>
      <c r="B196" s="5">
        <v>85</v>
      </c>
      <c r="C196" s="5">
        <v>55</v>
      </c>
      <c r="D196" s="5" t="s">
        <v>23</v>
      </c>
      <c r="E196" s="5">
        <v>20</v>
      </c>
      <c r="F196" s="5">
        <v>125</v>
      </c>
      <c r="G196" s="5">
        <v>24.4</v>
      </c>
      <c r="H196" s="5" t="s">
        <v>31</v>
      </c>
      <c r="I196" s="5">
        <v>0.13600000000000001</v>
      </c>
      <c r="J196" s="5">
        <v>42</v>
      </c>
      <c r="K196" s="5" t="s">
        <v>37</v>
      </c>
      <c r="L196" s="15">
        <v>0</v>
      </c>
      <c r="M196" s="5" t="s">
        <v>57</v>
      </c>
      <c r="N196" s="5" t="s">
        <v>58</v>
      </c>
      <c r="O196" s="5" t="s">
        <v>31</v>
      </c>
      <c r="R196" s="5">
        <f>IF(diabetesoriginal[[#This Row],[Diabetes]]=$R$1,diabetesoriginal[[#This Row],[Skin Thickness]],NA())</f>
        <v>20</v>
      </c>
      <c r="S196" s="5" t="e">
        <f>IF(diabetesoriginal[[#This Row],[Diabetes]]=$S$1,diabetesoriginal[[#This Row],[Skin Thickness]],NA())</f>
        <v>#N/A</v>
      </c>
      <c r="U196" s="5">
        <f>IF(diabetesoriginal[[#This Row],[Diabetes]]=$U$1,diabetesoriginal[[#This Row],[Insulin]],NA())</f>
        <v>125</v>
      </c>
      <c r="V196" s="5" t="e">
        <f>IF(diabetesoriginal[[#This Row],[Diabetes]]=$S$1,diabetesoriginal[[#This Row],[Insulin]],NA())</f>
        <v>#N/A</v>
      </c>
    </row>
    <row r="197" spans="1:22" x14ac:dyDescent="0.25">
      <c r="A197" s="5">
        <v>5</v>
      </c>
      <c r="B197" s="5">
        <v>158</v>
      </c>
      <c r="C197" s="5">
        <v>84</v>
      </c>
      <c r="D197" s="5" t="s">
        <v>25</v>
      </c>
      <c r="E197" s="5">
        <v>41</v>
      </c>
      <c r="F197" s="5">
        <v>210</v>
      </c>
      <c r="G197" s="5">
        <v>39.4</v>
      </c>
      <c r="H197" s="5" t="s">
        <v>29</v>
      </c>
      <c r="I197" s="5">
        <v>0.39500000000000002</v>
      </c>
      <c r="J197" s="5">
        <v>29</v>
      </c>
      <c r="K197" s="5" t="s">
        <v>35</v>
      </c>
      <c r="L197" s="15">
        <v>1</v>
      </c>
      <c r="M197" s="5" t="s">
        <v>22</v>
      </c>
      <c r="N197" s="5" t="s">
        <v>56</v>
      </c>
      <c r="O197" s="5" t="s">
        <v>59</v>
      </c>
      <c r="R197" s="5" t="e">
        <f>IF(diabetesoriginal[[#This Row],[Diabetes]]=$R$1,diabetesoriginal[[#This Row],[Skin Thickness]],NA())</f>
        <v>#N/A</v>
      </c>
      <c r="S197" s="5">
        <f>IF(diabetesoriginal[[#This Row],[Diabetes]]=$S$1,diabetesoriginal[[#This Row],[Skin Thickness]],NA())</f>
        <v>41</v>
      </c>
      <c r="U197" s="5" t="e">
        <f>IF(diabetesoriginal[[#This Row],[Diabetes]]=$U$1,diabetesoriginal[[#This Row],[Insulin]],NA())</f>
        <v>#N/A</v>
      </c>
      <c r="V197" s="5">
        <f>IF(diabetesoriginal[[#This Row],[Diabetes]]=$S$1,diabetesoriginal[[#This Row],[Insulin]],NA())</f>
        <v>210</v>
      </c>
    </row>
    <row r="198" spans="1:22" x14ac:dyDescent="0.25">
      <c r="A198" s="5">
        <v>1</v>
      </c>
      <c r="B198" s="5">
        <v>105</v>
      </c>
      <c r="C198" s="5">
        <v>58</v>
      </c>
      <c r="D198" s="5" t="s">
        <v>23</v>
      </c>
      <c r="E198" s="5">
        <v>29</v>
      </c>
      <c r="F198" s="5">
        <v>125</v>
      </c>
      <c r="G198" s="5">
        <v>24.3</v>
      </c>
      <c r="H198" s="5" t="s">
        <v>31</v>
      </c>
      <c r="I198" s="5">
        <v>0.187</v>
      </c>
      <c r="J198" s="5">
        <v>21</v>
      </c>
      <c r="K198" s="5" t="s">
        <v>35</v>
      </c>
      <c r="L198" s="15">
        <v>0</v>
      </c>
      <c r="M198" s="5" t="s">
        <v>57</v>
      </c>
      <c r="N198" s="5" t="s">
        <v>56</v>
      </c>
      <c r="O198" s="5" t="s">
        <v>31</v>
      </c>
      <c r="R198" s="5">
        <f>IF(diabetesoriginal[[#This Row],[Diabetes]]=$R$1,diabetesoriginal[[#This Row],[Skin Thickness]],NA())</f>
        <v>29</v>
      </c>
      <c r="S198" s="5" t="e">
        <f>IF(diabetesoriginal[[#This Row],[Diabetes]]=$S$1,diabetesoriginal[[#This Row],[Skin Thickness]],NA())</f>
        <v>#N/A</v>
      </c>
      <c r="U198" s="5">
        <f>IF(diabetesoriginal[[#This Row],[Diabetes]]=$U$1,diabetesoriginal[[#This Row],[Insulin]],NA())</f>
        <v>125</v>
      </c>
      <c r="V198" s="5" t="e">
        <f>IF(diabetesoriginal[[#This Row],[Diabetes]]=$S$1,diabetesoriginal[[#This Row],[Insulin]],NA())</f>
        <v>#N/A</v>
      </c>
    </row>
    <row r="199" spans="1:22" x14ac:dyDescent="0.25">
      <c r="A199" s="5">
        <v>3</v>
      </c>
      <c r="B199" s="5">
        <v>107</v>
      </c>
      <c r="C199" s="5">
        <v>62</v>
      </c>
      <c r="D199" s="5" t="s">
        <v>23</v>
      </c>
      <c r="E199" s="5">
        <v>13</v>
      </c>
      <c r="F199" s="5">
        <v>48</v>
      </c>
      <c r="G199" s="5">
        <v>22.9</v>
      </c>
      <c r="H199" s="5" t="s">
        <v>31</v>
      </c>
      <c r="I199" s="5">
        <v>0.67800000000000005</v>
      </c>
      <c r="J199" s="5">
        <v>23</v>
      </c>
      <c r="K199" s="5" t="s">
        <v>35</v>
      </c>
      <c r="L199" s="15">
        <v>1</v>
      </c>
      <c r="M199" s="5" t="s">
        <v>57</v>
      </c>
      <c r="N199" s="5" t="s">
        <v>58</v>
      </c>
      <c r="O199" s="5" t="s">
        <v>31</v>
      </c>
      <c r="R199" s="5" t="e">
        <f>IF(diabetesoriginal[[#This Row],[Diabetes]]=$R$1,diabetesoriginal[[#This Row],[Skin Thickness]],NA())</f>
        <v>#N/A</v>
      </c>
      <c r="S199" s="5">
        <f>IF(diabetesoriginal[[#This Row],[Diabetes]]=$S$1,diabetesoriginal[[#This Row],[Skin Thickness]],NA())</f>
        <v>13</v>
      </c>
      <c r="U199" s="5" t="e">
        <f>IF(diabetesoriginal[[#This Row],[Diabetes]]=$U$1,diabetesoriginal[[#This Row],[Insulin]],NA())</f>
        <v>#N/A</v>
      </c>
      <c r="V199" s="5">
        <f>IF(diabetesoriginal[[#This Row],[Diabetes]]=$S$1,diabetesoriginal[[#This Row],[Insulin]],NA())</f>
        <v>48</v>
      </c>
    </row>
    <row r="200" spans="1:22" x14ac:dyDescent="0.25">
      <c r="A200" s="5">
        <v>4</v>
      </c>
      <c r="B200" s="5">
        <v>109</v>
      </c>
      <c r="C200" s="5">
        <v>64</v>
      </c>
      <c r="D200" s="5" t="s">
        <v>23</v>
      </c>
      <c r="E200" s="5">
        <v>44</v>
      </c>
      <c r="F200" s="5">
        <v>99</v>
      </c>
      <c r="G200" s="5">
        <v>34.799999999999997</v>
      </c>
      <c r="H200" s="5" t="s">
        <v>29</v>
      </c>
      <c r="I200" s="5">
        <v>0.90500000000000003</v>
      </c>
      <c r="J200" s="5">
        <v>26</v>
      </c>
      <c r="K200" s="5" t="s">
        <v>35</v>
      </c>
      <c r="L200" s="15">
        <v>1</v>
      </c>
      <c r="M200" s="5" t="s">
        <v>57</v>
      </c>
      <c r="N200" s="5" t="s">
        <v>56</v>
      </c>
      <c r="O200" s="5" t="s">
        <v>31</v>
      </c>
      <c r="R200" s="5" t="e">
        <f>IF(diabetesoriginal[[#This Row],[Diabetes]]=$R$1,diabetesoriginal[[#This Row],[Skin Thickness]],NA())</f>
        <v>#N/A</v>
      </c>
      <c r="S200" s="5">
        <f>IF(diabetesoriginal[[#This Row],[Diabetes]]=$S$1,diabetesoriginal[[#This Row],[Skin Thickness]],NA())</f>
        <v>44</v>
      </c>
      <c r="U200" s="5" t="e">
        <f>IF(diabetesoriginal[[#This Row],[Diabetes]]=$U$1,diabetesoriginal[[#This Row],[Insulin]],NA())</f>
        <v>#N/A</v>
      </c>
      <c r="V200" s="5">
        <f>IF(diabetesoriginal[[#This Row],[Diabetes]]=$S$1,diabetesoriginal[[#This Row],[Insulin]],NA())</f>
        <v>99</v>
      </c>
    </row>
    <row r="201" spans="1:22" x14ac:dyDescent="0.25">
      <c r="A201" s="5">
        <v>4</v>
      </c>
      <c r="B201" s="5">
        <v>148</v>
      </c>
      <c r="C201" s="5">
        <v>60</v>
      </c>
      <c r="D201" s="5" t="s">
        <v>23</v>
      </c>
      <c r="E201" s="5">
        <v>27</v>
      </c>
      <c r="F201" s="5">
        <v>318</v>
      </c>
      <c r="G201" s="5">
        <v>30.9</v>
      </c>
      <c r="H201" s="5" t="s">
        <v>29</v>
      </c>
      <c r="I201" s="5">
        <v>0.15</v>
      </c>
      <c r="J201" s="5">
        <v>29</v>
      </c>
      <c r="K201" s="5" t="s">
        <v>35</v>
      </c>
      <c r="L201" s="15">
        <v>1</v>
      </c>
      <c r="M201" s="5" t="s">
        <v>22</v>
      </c>
      <c r="N201" s="5" t="s">
        <v>56</v>
      </c>
      <c r="O201" s="5" t="s">
        <v>59</v>
      </c>
      <c r="R201" s="5" t="e">
        <f>IF(diabetesoriginal[[#This Row],[Diabetes]]=$R$1,diabetesoriginal[[#This Row],[Skin Thickness]],NA())</f>
        <v>#N/A</v>
      </c>
      <c r="S201" s="5">
        <f>IF(diabetesoriginal[[#This Row],[Diabetes]]=$S$1,diabetesoriginal[[#This Row],[Skin Thickness]],NA())</f>
        <v>27</v>
      </c>
      <c r="U201" s="5" t="e">
        <f>IF(diabetesoriginal[[#This Row],[Diabetes]]=$U$1,diabetesoriginal[[#This Row],[Insulin]],NA())</f>
        <v>#N/A</v>
      </c>
      <c r="V201" s="5">
        <f>IF(diabetesoriginal[[#This Row],[Diabetes]]=$S$1,diabetesoriginal[[#This Row],[Insulin]],NA())</f>
        <v>318</v>
      </c>
    </row>
    <row r="202" spans="1:22" x14ac:dyDescent="0.25">
      <c r="A202" s="5">
        <v>0</v>
      </c>
      <c r="B202" s="5">
        <v>113</v>
      </c>
      <c r="C202" s="5">
        <v>80</v>
      </c>
      <c r="D202" s="5" t="s">
        <v>25</v>
      </c>
      <c r="E202" s="5">
        <v>16</v>
      </c>
      <c r="F202" s="5">
        <v>125</v>
      </c>
      <c r="G202" s="5">
        <v>31</v>
      </c>
      <c r="H202" s="5" t="s">
        <v>29</v>
      </c>
      <c r="I202" s="5">
        <v>0.874</v>
      </c>
      <c r="J202" s="5">
        <v>21</v>
      </c>
      <c r="K202" s="5" t="s">
        <v>35</v>
      </c>
      <c r="L202" s="15">
        <v>0</v>
      </c>
      <c r="M202" s="5" t="s">
        <v>57</v>
      </c>
      <c r="N202" s="5" t="s">
        <v>58</v>
      </c>
      <c r="O202" s="5" t="s">
        <v>31</v>
      </c>
      <c r="R202" s="5">
        <f>IF(diabetesoriginal[[#This Row],[Diabetes]]=$R$1,diabetesoriginal[[#This Row],[Skin Thickness]],NA())</f>
        <v>16</v>
      </c>
      <c r="S202" s="5" t="e">
        <f>IF(diabetesoriginal[[#This Row],[Diabetes]]=$S$1,diabetesoriginal[[#This Row],[Skin Thickness]],NA())</f>
        <v>#N/A</v>
      </c>
      <c r="U202" s="5">
        <f>IF(diabetesoriginal[[#This Row],[Diabetes]]=$U$1,diabetesoriginal[[#This Row],[Insulin]],NA())</f>
        <v>125</v>
      </c>
      <c r="V202" s="5" t="e">
        <f>IF(diabetesoriginal[[#This Row],[Diabetes]]=$S$1,diabetesoriginal[[#This Row],[Insulin]],NA())</f>
        <v>#N/A</v>
      </c>
    </row>
    <row r="203" spans="1:22" x14ac:dyDescent="0.25">
      <c r="A203" s="5">
        <v>1</v>
      </c>
      <c r="B203" s="5">
        <v>138</v>
      </c>
      <c r="C203" s="5">
        <v>82</v>
      </c>
      <c r="D203" s="5" t="s">
        <v>25</v>
      </c>
      <c r="E203" s="5">
        <v>29</v>
      </c>
      <c r="F203" s="5">
        <v>125</v>
      </c>
      <c r="G203" s="5">
        <v>40.1</v>
      </c>
      <c r="H203" s="5" t="s">
        <v>32</v>
      </c>
      <c r="I203" s="5">
        <v>0.23599999999999999</v>
      </c>
      <c r="J203" s="5">
        <v>28</v>
      </c>
      <c r="K203" s="5" t="s">
        <v>35</v>
      </c>
      <c r="L203" s="15">
        <v>0</v>
      </c>
      <c r="M203" s="5" t="s">
        <v>57</v>
      </c>
      <c r="N203" s="5" t="s">
        <v>56</v>
      </c>
      <c r="O203" s="5" t="s">
        <v>31</v>
      </c>
      <c r="R203" s="5">
        <f>IF(diabetesoriginal[[#This Row],[Diabetes]]=$R$1,diabetesoriginal[[#This Row],[Skin Thickness]],NA())</f>
        <v>29</v>
      </c>
      <c r="S203" s="5" t="e">
        <f>IF(diabetesoriginal[[#This Row],[Diabetes]]=$S$1,diabetesoriginal[[#This Row],[Skin Thickness]],NA())</f>
        <v>#N/A</v>
      </c>
      <c r="U203" s="5">
        <f>IF(diabetesoriginal[[#This Row],[Diabetes]]=$U$1,diabetesoriginal[[#This Row],[Insulin]],NA())</f>
        <v>125</v>
      </c>
      <c r="V203" s="5" t="e">
        <f>IF(diabetesoriginal[[#This Row],[Diabetes]]=$S$1,diabetesoriginal[[#This Row],[Insulin]],NA())</f>
        <v>#N/A</v>
      </c>
    </row>
    <row r="204" spans="1:22" x14ac:dyDescent="0.25">
      <c r="A204" s="5">
        <v>0</v>
      </c>
      <c r="B204" s="5">
        <v>108</v>
      </c>
      <c r="C204" s="5">
        <v>68</v>
      </c>
      <c r="D204" s="5" t="s">
        <v>23</v>
      </c>
      <c r="E204" s="5">
        <v>20</v>
      </c>
      <c r="F204" s="5">
        <v>125</v>
      </c>
      <c r="G204" s="5">
        <v>27.3</v>
      </c>
      <c r="H204" s="5" t="s">
        <v>30</v>
      </c>
      <c r="I204" s="5">
        <v>0.78700000000000003</v>
      </c>
      <c r="J204" s="5">
        <v>32</v>
      </c>
      <c r="K204" s="5" t="s">
        <v>36</v>
      </c>
      <c r="L204" s="15">
        <v>0</v>
      </c>
      <c r="M204" s="5" t="s">
        <v>57</v>
      </c>
      <c r="N204" s="5" t="s">
        <v>58</v>
      </c>
      <c r="O204" s="5" t="s">
        <v>31</v>
      </c>
      <c r="R204" s="5">
        <f>IF(diabetesoriginal[[#This Row],[Diabetes]]=$R$1,diabetesoriginal[[#This Row],[Skin Thickness]],NA())</f>
        <v>20</v>
      </c>
      <c r="S204" s="5" t="e">
        <f>IF(diabetesoriginal[[#This Row],[Diabetes]]=$S$1,diabetesoriginal[[#This Row],[Skin Thickness]],NA())</f>
        <v>#N/A</v>
      </c>
      <c r="U204" s="5">
        <f>IF(diabetesoriginal[[#This Row],[Diabetes]]=$U$1,diabetesoriginal[[#This Row],[Insulin]],NA())</f>
        <v>125</v>
      </c>
      <c r="V204" s="5" t="e">
        <f>IF(diabetesoriginal[[#This Row],[Diabetes]]=$S$1,diabetesoriginal[[#This Row],[Insulin]],NA())</f>
        <v>#N/A</v>
      </c>
    </row>
    <row r="205" spans="1:22" x14ac:dyDescent="0.25">
      <c r="A205" s="5">
        <v>2</v>
      </c>
      <c r="B205" s="5">
        <v>99</v>
      </c>
      <c r="C205" s="5">
        <v>70</v>
      </c>
      <c r="D205" s="5" t="s">
        <v>23</v>
      </c>
      <c r="E205" s="5">
        <v>16</v>
      </c>
      <c r="F205" s="5">
        <v>44</v>
      </c>
      <c r="G205" s="5">
        <v>20.399999999999999</v>
      </c>
      <c r="H205" s="5" t="s">
        <v>31</v>
      </c>
      <c r="I205" s="5">
        <v>0.23499999999999999</v>
      </c>
      <c r="J205" s="5">
        <v>27</v>
      </c>
      <c r="K205" s="5" t="s">
        <v>35</v>
      </c>
      <c r="L205" s="15">
        <v>0</v>
      </c>
      <c r="M205" s="5" t="s">
        <v>57</v>
      </c>
      <c r="N205" s="5" t="s">
        <v>58</v>
      </c>
      <c r="O205" s="5" t="s">
        <v>31</v>
      </c>
      <c r="R205" s="5">
        <f>IF(diabetesoriginal[[#This Row],[Diabetes]]=$R$1,diabetesoriginal[[#This Row],[Skin Thickness]],NA())</f>
        <v>16</v>
      </c>
      <c r="S205" s="5" t="e">
        <f>IF(diabetesoriginal[[#This Row],[Diabetes]]=$S$1,diabetesoriginal[[#This Row],[Skin Thickness]],NA())</f>
        <v>#N/A</v>
      </c>
      <c r="U205" s="5">
        <f>IF(diabetesoriginal[[#This Row],[Diabetes]]=$U$1,diabetesoriginal[[#This Row],[Insulin]],NA())</f>
        <v>44</v>
      </c>
      <c r="V205" s="5" t="e">
        <f>IF(diabetesoriginal[[#This Row],[Diabetes]]=$S$1,diabetesoriginal[[#This Row],[Insulin]],NA())</f>
        <v>#N/A</v>
      </c>
    </row>
    <row r="206" spans="1:22" x14ac:dyDescent="0.25">
      <c r="A206" s="5">
        <v>6</v>
      </c>
      <c r="B206" s="5">
        <v>103</v>
      </c>
      <c r="C206" s="5">
        <v>72</v>
      </c>
      <c r="D206" s="5" t="s">
        <v>23</v>
      </c>
      <c r="E206" s="5">
        <v>32</v>
      </c>
      <c r="F206" s="5">
        <v>190</v>
      </c>
      <c r="G206" s="5">
        <v>37.700000000000003</v>
      </c>
      <c r="H206" s="5" t="s">
        <v>29</v>
      </c>
      <c r="I206" s="5">
        <v>0.32400000000000001</v>
      </c>
      <c r="J206" s="5">
        <v>55</v>
      </c>
      <c r="K206" s="5" t="s">
        <v>38</v>
      </c>
      <c r="L206" s="15">
        <v>0</v>
      </c>
      <c r="M206" s="5" t="s">
        <v>57</v>
      </c>
      <c r="N206" s="5" t="s">
        <v>56</v>
      </c>
      <c r="O206" s="5" t="s">
        <v>59</v>
      </c>
      <c r="R206" s="5">
        <f>IF(diabetesoriginal[[#This Row],[Diabetes]]=$R$1,diabetesoriginal[[#This Row],[Skin Thickness]],NA())</f>
        <v>32</v>
      </c>
      <c r="S206" s="5" t="e">
        <f>IF(diabetesoriginal[[#This Row],[Diabetes]]=$S$1,diabetesoriginal[[#This Row],[Skin Thickness]],NA())</f>
        <v>#N/A</v>
      </c>
      <c r="U206" s="5">
        <f>IF(diabetesoriginal[[#This Row],[Diabetes]]=$U$1,diabetesoriginal[[#This Row],[Insulin]],NA())</f>
        <v>190</v>
      </c>
      <c r="V206" s="5" t="e">
        <f>IF(diabetesoriginal[[#This Row],[Diabetes]]=$S$1,diabetesoriginal[[#This Row],[Insulin]],NA())</f>
        <v>#N/A</v>
      </c>
    </row>
    <row r="207" spans="1:22" x14ac:dyDescent="0.25">
      <c r="A207" s="5">
        <v>5</v>
      </c>
      <c r="B207" s="5">
        <v>111</v>
      </c>
      <c r="C207" s="5">
        <v>72</v>
      </c>
      <c r="D207" s="5" t="s">
        <v>23</v>
      </c>
      <c r="E207" s="5">
        <v>28</v>
      </c>
      <c r="F207" s="5">
        <v>125</v>
      </c>
      <c r="G207" s="5">
        <v>23.9</v>
      </c>
      <c r="H207" s="5" t="s">
        <v>31</v>
      </c>
      <c r="I207" s="5">
        <v>0.40699999999999997</v>
      </c>
      <c r="J207" s="5">
        <v>27</v>
      </c>
      <c r="K207" s="5" t="s">
        <v>35</v>
      </c>
      <c r="L207" s="15">
        <v>0</v>
      </c>
      <c r="M207" s="5" t="s">
        <v>57</v>
      </c>
      <c r="N207" s="5" t="s">
        <v>56</v>
      </c>
      <c r="O207" s="5" t="s">
        <v>31</v>
      </c>
      <c r="R207" s="5">
        <f>IF(diabetesoriginal[[#This Row],[Diabetes]]=$R$1,diabetesoriginal[[#This Row],[Skin Thickness]],NA())</f>
        <v>28</v>
      </c>
      <c r="S207" s="5" t="e">
        <f>IF(diabetesoriginal[[#This Row],[Diabetes]]=$S$1,diabetesoriginal[[#This Row],[Skin Thickness]],NA())</f>
        <v>#N/A</v>
      </c>
      <c r="U207" s="5">
        <f>IF(diabetesoriginal[[#This Row],[Diabetes]]=$U$1,diabetesoriginal[[#This Row],[Insulin]],NA())</f>
        <v>125</v>
      </c>
      <c r="V207" s="5" t="e">
        <f>IF(diabetesoriginal[[#This Row],[Diabetes]]=$S$1,diabetesoriginal[[#This Row],[Insulin]],NA())</f>
        <v>#N/A</v>
      </c>
    </row>
    <row r="208" spans="1:22" x14ac:dyDescent="0.25">
      <c r="A208" s="5">
        <v>8</v>
      </c>
      <c r="B208" s="5">
        <v>196</v>
      </c>
      <c r="C208" s="5">
        <v>76</v>
      </c>
      <c r="D208" s="5" t="s">
        <v>23</v>
      </c>
      <c r="E208" s="5">
        <v>29</v>
      </c>
      <c r="F208" s="5">
        <v>280</v>
      </c>
      <c r="G208" s="5">
        <v>37.5</v>
      </c>
      <c r="H208" s="5" t="s">
        <v>29</v>
      </c>
      <c r="I208" s="5">
        <v>0.60499999999999998</v>
      </c>
      <c r="J208" s="5">
        <v>57</v>
      </c>
      <c r="K208" s="5" t="s">
        <v>38</v>
      </c>
      <c r="L208" s="15">
        <v>1</v>
      </c>
      <c r="M208" s="5" t="s">
        <v>22</v>
      </c>
      <c r="N208" s="5" t="s">
        <v>56</v>
      </c>
      <c r="O208" s="5" t="s">
        <v>59</v>
      </c>
      <c r="R208" s="5" t="e">
        <f>IF(diabetesoriginal[[#This Row],[Diabetes]]=$R$1,diabetesoriginal[[#This Row],[Skin Thickness]],NA())</f>
        <v>#N/A</v>
      </c>
      <c r="S208" s="5">
        <f>IF(diabetesoriginal[[#This Row],[Diabetes]]=$S$1,diabetesoriginal[[#This Row],[Skin Thickness]],NA())</f>
        <v>29</v>
      </c>
      <c r="U208" s="5" t="e">
        <f>IF(diabetesoriginal[[#This Row],[Diabetes]]=$U$1,diabetesoriginal[[#This Row],[Insulin]],NA())</f>
        <v>#N/A</v>
      </c>
      <c r="V208" s="5">
        <f>IF(diabetesoriginal[[#This Row],[Diabetes]]=$S$1,diabetesoriginal[[#This Row],[Insulin]],NA())</f>
        <v>280</v>
      </c>
    </row>
    <row r="209" spans="1:22" x14ac:dyDescent="0.25">
      <c r="A209" s="5">
        <v>5</v>
      </c>
      <c r="B209" s="5">
        <v>162</v>
      </c>
      <c r="C209" s="5">
        <v>104</v>
      </c>
      <c r="D209" s="5" t="s">
        <v>26</v>
      </c>
      <c r="E209" s="5">
        <v>29</v>
      </c>
      <c r="F209" s="5">
        <v>125</v>
      </c>
      <c r="G209" s="5">
        <v>37.700000000000003</v>
      </c>
      <c r="H209" s="5" t="s">
        <v>29</v>
      </c>
      <c r="I209" s="5">
        <v>0.151</v>
      </c>
      <c r="J209" s="5">
        <v>52</v>
      </c>
      <c r="K209" s="5" t="s">
        <v>38</v>
      </c>
      <c r="L209" s="15">
        <v>1</v>
      </c>
      <c r="M209" s="5" t="s">
        <v>22</v>
      </c>
      <c r="N209" s="5" t="s">
        <v>56</v>
      </c>
      <c r="O209" s="5" t="s">
        <v>31</v>
      </c>
      <c r="R209" s="5" t="e">
        <f>IF(diabetesoriginal[[#This Row],[Diabetes]]=$R$1,diabetesoriginal[[#This Row],[Skin Thickness]],NA())</f>
        <v>#N/A</v>
      </c>
      <c r="S209" s="5">
        <f>IF(diabetesoriginal[[#This Row],[Diabetes]]=$S$1,diabetesoriginal[[#This Row],[Skin Thickness]],NA())</f>
        <v>29</v>
      </c>
      <c r="U209" s="5" t="e">
        <f>IF(diabetesoriginal[[#This Row],[Diabetes]]=$U$1,diabetesoriginal[[#This Row],[Insulin]],NA())</f>
        <v>#N/A</v>
      </c>
      <c r="V209" s="5">
        <f>IF(diabetesoriginal[[#This Row],[Diabetes]]=$S$1,diabetesoriginal[[#This Row],[Insulin]],NA())</f>
        <v>125</v>
      </c>
    </row>
    <row r="210" spans="1:22" x14ac:dyDescent="0.25">
      <c r="A210" s="5">
        <v>1</v>
      </c>
      <c r="B210" s="5">
        <v>96</v>
      </c>
      <c r="C210" s="5">
        <v>64</v>
      </c>
      <c r="D210" s="5" t="s">
        <v>23</v>
      </c>
      <c r="E210" s="5">
        <v>27</v>
      </c>
      <c r="F210" s="5">
        <v>87</v>
      </c>
      <c r="G210" s="5">
        <v>33.200000000000003</v>
      </c>
      <c r="H210" s="5" t="s">
        <v>29</v>
      </c>
      <c r="I210" s="5">
        <v>0.28899999999999998</v>
      </c>
      <c r="J210" s="5">
        <v>21</v>
      </c>
      <c r="K210" s="5" t="s">
        <v>35</v>
      </c>
      <c r="L210" s="15">
        <v>0</v>
      </c>
      <c r="M210" s="5" t="s">
        <v>57</v>
      </c>
      <c r="N210" s="5" t="s">
        <v>56</v>
      </c>
      <c r="O210" s="5" t="s">
        <v>31</v>
      </c>
      <c r="R210" s="5">
        <f>IF(diabetesoriginal[[#This Row],[Diabetes]]=$R$1,diabetesoriginal[[#This Row],[Skin Thickness]],NA())</f>
        <v>27</v>
      </c>
      <c r="S210" s="5" t="e">
        <f>IF(diabetesoriginal[[#This Row],[Diabetes]]=$S$1,diabetesoriginal[[#This Row],[Skin Thickness]],NA())</f>
        <v>#N/A</v>
      </c>
      <c r="U210" s="5">
        <f>IF(diabetesoriginal[[#This Row],[Diabetes]]=$U$1,diabetesoriginal[[#This Row],[Insulin]],NA())</f>
        <v>87</v>
      </c>
      <c r="V210" s="5" t="e">
        <f>IF(diabetesoriginal[[#This Row],[Diabetes]]=$S$1,diabetesoriginal[[#This Row],[Insulin]],NA())</f>
        <v>#N/A</v>
      </c>
    </row>
    <row r="211" spans="1:22" x14ac:dyDescent="0.25">
      <c r="A211" s="5">
        <v>7</v>
      </c>
      <c r="B211" s="5">
        <v>184</v>
      </c>
      <c r="C211" s="5">
        <v>84</v>
      </c>
      <c r="D211" s="5" t="s">
        <v>25</v>
      </c>
      <c r="E211" s="5">
        <v>33</v>
      </c>
      <c r="F211" s="5">
        <v>125</v>
      </c>
      <c r="G211" s="5">
        <v>35.5</v>
      </c>
      <c r="H211" s="5" t="s">
        <v>29</v>
      </c>
      <c r="I211" s="5">
        <v>0.35499999999999998</v>
      </c>
      <c r="J211" s="5">
        <v>41</v>
      </c>
      <c r="K211" s="5" t="s">
        <v>37</v>
      </c>
      <c r="L211" s="15">
        <v>1</v>
      </c>
      <c r="M211" s="5" t="s">
        <v>22</v>
      </c>
      <c r="N211" s="5" t="s">
        <v>56</v>
      </c>
      <c r="O211" s="5" t="s">
        <v>31</v>
      </c>
      <c r="R211" s="5" t="e">
        <f>IF(diabetesoriginal[[#This Row],[Diabetes]]=$R$1,diabetesoriginal[[#This Row],[Skin Thickness]],NA())</f>
        <v>#N/A</v>
      </c>
      <c r="S211" s="5">
        <f>IF(diabetesoriginal[[#This Row],[Diabetes]]=$S$1,diabetesoriginal[[#This Row],[Skin Thickness]],NA())</f>
        <v>33</v>
      </c>
      <c r="U211" s="5" t="e">
        <f>IF(diabetesoriginal[[#This Row],[Diabetes]]=$U$1,diabetesoriginal[[#This Row],[Insulin]],NA())</f>
        <v>#N/A</v>
      </c>
      <c r="V211" s="5">
        <f>IF(diabetesoriginal[[#This Row],[Diabetes]]=$S$1,diabetesoriginal[[#This Row],[Insulin]],NA())</f>
        <v>125</v>
      </c>
    </row>
    <row r="212" spans="1:22" x14ac:dyDescent="0.25">
      <c r="A212" s="5">
        <v>2</v>
      </c>
      <c r="B212" s="5">
        <v>81</v>
      </c>
      <c r="C212" s="5">
        <v>60</v>
      </c>
      <c r="D212" s="5" t="s">
        <v>23</v>
      </c>
      <c r="E212" s="5">
        <v>22</v>
      </c>
      <c r="F212" s="5">
        <v>125</v>
      </c>
      <c r="G212" s="5">
        <v>27.7</v>
      </c>
      <c r="H212" s="5" t="s">
        <v>30</v>
      </c>
      <c r="I212" s="5">
        <v>0.28999999999999998</v>
      </c>
      <c r="J212" s="5">
        <v>25</v>
      </c>
      <c r="K212" s="5" t="s">
        <v>35</v>
      </c>
      <c r="L212" s="15">
        <v>0</v>
      </c>
      <c r="M212" s="5" t="s">
        <v>57</v>
      </c>
      <c r="N212" s="5" t="s">
        <v>58</v>
      </c>
      <c r="O212" s="5" t="s">
        <v>31</v>
      </c>
      <c r="R212" s="5">
        <f>IF(diabetesoriginal[[#This Row],[Diabetes]]=$R$1,diabetesoriginal[[#This Row],[Skin Thickness]],NA())</f>
        <v>22</v>
      </c>
      <c r="S212" s="5" t="e">
        <f>IF(diabetesoriginal[[#This Row],[Diabetes]]=$S$1,diabetesoriginal[[#This Row],[Skin Thickness]],NA())</f>
        <v>#N/A</v>
      </c>
      <c r="U212" s="5">
        <f>IF(diabetesoriginal[[#This Row],[Diabetes]]=$U$1,diabetesoriginal[[#This Row],[Insulin]],NA())</f>
        <v>125</v>
      </c>
      <c r="V212" s="5" t="e">
        <f>IF(diabetesoriginal[[#This Row],[Diabetes]]=$S$1,diabetesoriginal[[#This Row],[Insulin]],NA())</f>
        <v>#N/A</v>
      </c>
    </row>
    <row r="213" spans="1:22" x14ac:dyDescent="0.25">
      <c r="A213" s="5">
        <v>0</v>
      </c>
      <c r="B213" s="5">
        <v>147</v>
      </c>
      <c r="C213" s="5">
        <v>85</v>
      </c>
      <c r="D213" s="5" t="s">
        <v>25</v>
      </c>
      <c r="E213" s="5">
        <v>54</v>
      </c>
      <c r="F213" s="5">
        <v>125</v>
      </c>
      <c r="G213" s="5">
        <v>42.8</v>
      </c>
      <c r="H213" s="5" t="s">
        <v>32</v>
      </c>
      <c r="I213" s="5">
        <v>0.375</v>
      </c>
      <c r="J213" s="5">
        <v>24</v>
      </c>
      <c r="K213" s="5" t="s">
        <v>35</v>
      </c>
      <c r="L213" s="15">
        <v>0</v>
      </c>
      <c r="M213" s="5" t="s">
        <v>22</v>
      </c>
      <c r="N213" s="5" t="s">
        <v>56</v>
      </c>
      <c r="O213" s="5" t="s">
        <v>31</v>
      </c>
      <c r="R213" s="5">
        <f>IF(diabetesoriginal[[#This Row],[Diabetes]]=$R$1,diabetesoriginal[[#This Row],[Skin Thickness]],NA())</f>
        <v>54</v>
      </c>
      <c r="S213" s="5" t="e">
        <f>IF(diabetesoriginal[[#This Row],[Diabetes]]=$S$1,diabetesoriginal[[#This Row],[Skin Thickness]],NA())</f>
        <v>#N/A</v>
      </c>
      <c r="U213" s="5">
        <f>IF(diabetesoriginal[[#This Row],[Diabetes]]=$U$1,diabetesoriginal[[#This Row],[Insulin]],NA())</f>
        <v>125</v>
      </c>
      <c r="V213" s="5" t="e">
        <f>IF(diabetesoriginal[[#This Row],[Diabetes]]=$S$1,diabetesoriginal[[#This Row],[Insulin]],NA())</f>
        <v>#N/A</v>
      </c>
    </row>
    <row r="214" spans="1:22" x14ac:dyDescent="0.25">
      <c r="A214" s="5">
        <v>7</v>
      </c>
      <c r="B214" s="5">
        <v>179</v>
      </c>
      <c r="C214" s="5">
        <v>95</v>
      </c>
      <c r="D214" s="5" t="s">
        <v>24</v>
      </c>
      <c r="E214" s="5">
        <v>31</v>
      </c>
      <c r="F214" s="5">
        <v>125</v>
      </c>
      <c r="G214" s="5">
        <v>34.200000000000003</v>
      </c>
      <c r="H214" s="5" t="s">
        <v>29</v>
      </c>
      <c r="I214" s="5">
        <v>0.16400000000000001</v>
      </c>
      <c r="J214" s="5">
        <v>60</v>
      </c>
      <c r="K214" s="5" t="s">
        <v>39</v>
      </c>
      <c r="L214" s="15">
        <v>0</v>
      </c>
      <c r="M214" s="5" t="s">
        <v>22</v>
      </c>
      <c r="N214" s="5" t="s">
        <v>56</v>
      </c>
      <c r="O214" s="5" t="s">
        <v>31</v>
      </c>
      <c r="R214" s="5">
        <f>IF(diabetesoriginal[[#This Row],[Diabetes]]=$R$1,diabetesoriginal[[#This Row],[Skin Thickness]],NA())</f>
        <v>31</v>
      </c>
      <c r="S214" s="5" t="e">
        <f>IF(diabetesoriginal[[#This Row],[Diabetes]]=$S$1,diabetesoriginal[[#This Row],[Skin Thickness]],NA())</f>
        <v>#N/A</v>
      </c>
      <c r="U214" s="5">
        <f>IF(diabetesoriginal[[#This Row],[Diabetes]]=$U$1,diabetesoriginal[[#This Row],[Insulin]],NA())</f>
        <v>125</v>
      </c>
      <c r="V214" s="5" t="e">
        <f>IF(diabetesoriginal[[#This Row],[Diabetes]]=$S$1,diabetesoriginal[[#This Row],[Insulin]],NA())</f>
        <v>#N/A</v>
      </c>
    </row>
    <row r="215" spans="1:22" x14ac:dyDescent="0.25">
      <c r="A215" s="5">
        <v>0</v>
      </c>
      <c r="B215" s="5">
        <v>140</v>
      </c>
      <c r="C215" s="5">
        <v>65</v>
      </c>
      <c r="D215" s="5" t="s">
        <v>23</v>
      </c>
      <c r="E215" s="5">
        <v>26</v>
      </c>
      <c r="F215" s="5">
        <v>130</v>
      </c>
      <c r="G215" s="5">
        <v>42.6</v>
      </c>
      <c r="H215" s="5" t="s">
        <v>32</v>
      </c>
      <c r="I215" s="5">
        <v>0.43099999999999999</v>
      </c>
      <c r="J215" s="5">
        <v>24</v>
      </c>
      <c r="K215" s="5" t="s">
        <v>35</v>
      </c>
      <c r="L215" s="15">
        <v>1</v>
      </c>
      <c r="M215" s="5" t="s">
        <v>22</v>
      </c>
      <c r="N215" s="5" t="s">
        <v>56</v>
      </c>
      <c r="O215" s="5" t="s">
        <v>31</v>
      </c>
      <c r="R215" s="5" t="e">
        <f>IF(diabetesoriginal[[#This Row],[Diabetes]]=$R$1,diabetesoriginal[[#This Row],[Skin Thickness]],NA())</f>
        <v>#N/A</v>
      </c>
      <c r="S215" s="5">
        <f>IF(diabetesoriginal[[#This Row],[Diabetes]]=$S$1,diabetesoriginal[[#This Row],[Skin Thickness]],NA())</f>
        <v>26</v>
      </c>
      <c r="U215" s="5" t="e">
        <f>IF(diabetesoriginal[[#This Row],[Diabetes]]=$U$1,diabetesoriginal[[#This Row],[Insulin]],NA())</f>
        <v>#N/A</v>
      </c>
      <c r="V215" s="5">
        <f>IF(diabetesoriginal[[#This Row],[Diabetes]]=$S$1,diabetesoriginal[[#This Row],[Insulin]],NA())</f>
        <v>130</v>
      </c>
    </row>
    <row r="216" spans="1:22" x14ac:dyDescent="0.25">
      <c r="A216" s="5">
        <v>9</v>
      </c>
      <c r="B216" s="5">
        <v>112</v>
      </c>
      <c r="C216" s="5">
        <v>82</v>
      </c>
      <c r="D216" s="5" t="s">
        <v>25</v>
      </c>
      <c r="E216" s="5">
        <v>32</v>
      </c>
      <c r="F216" s="5">
        <v>175</v>
      </c>
      <c r="G216" s="5">
        <v>34.200000000000003</v>
      </c>
      <c r="H216" s="5" t="s">
        <v>29</v>
      </c>
      <c r="I216" s="5">
        <v>0.26</v>
      </c>
      <c r="J216" s="5">
        <v>36</v>
      </c>
      <c r="K216" s="5" t="s">
        <v>36</v>
      </c>
      <c r="L216" s="15">
        <v>1</v>
      </c>
      <c r="M216" s="5" t="s">
        <v>57</v>
      </c>
      <c r="N216" s="5" t="s">
        <v>56</v>
      </c>
      <c r="O216" s="5" t="s">
        <v>59</v>
      </c>
      <c r="R216" s="5" t="e">
        <f>IF(diabetesoriginal[[#This Row],[Diabetes]]=$R$1,diabetesoriginal[[#This Row],[Skin Thickness]],NA())</f>
        <v>#N/A</v>
      </c>
      <c r="S216" s="5">
        <f>IF(diabetesoriginal[[#This Row],[Diabetes]]=$S$1,diabetesoriginal[[#This Row],[Skin Thickness]],NA())</f>
        <v>32</v>
      </c>
      <c r="U216" s="5" t="e">
        <f>IF(diabetesoriginal[[#This Row],[Diabetes]]=$U$1,diabetesoriginal[[#This Row],[Insulin]],NA())</f>
        <v>#N/A</v>
      </c>
      <c r="V216" s="5">
        <f>IF(diabetesoriginal[[#This Row],[Diabetes]]=$S$1,diabetesoriginal[[#This Row],[Insulin]],NA())</f>
        <v>175</v>
      </c>
    </row>
    <row r="217" spans="1:22" x14ac:dyDescent="0.25">
      <c r="A217" s="5">
        <v>12</v>
      </c>
      <c r="B217" s="5">
        <v>151</v>
      </c>
      <c r="C217" s="5">
        <v>70</v>
      </c>
      <c r="D217" s="5" t="s">
        <v>23</v>
      </c>
      <c r="E217" s="5">
        <v>40</v>
      </c>
      <c r="F217" s="5">
        <v>271</v>
      </c>
      <c r="G217" s="5">
        <v>41.8</v>
      </c>
      <c r="H217" s="5" t="s">
        <v>32</v>
      </c>
      <c r="I217" s="5">
        <v>0.74199999999999999</v>
      </c>
      <c r="J217" s="5">
        <v>38</v>
      </c>
      <c r="K217" s="5" t="s">
        <v>36</v>
      </c>
      <c r="L217" s="15">
        <v>1</v>
      </c>
      <c r="M217" s="5" t="s">
        <v>22</v>
      </c>
      <c r="N217" s="5" t="s">
        <v>56</v>
      </c>
      <c r="O217" s="5" t="s">
        <v>59</v>
      </c>
      <c r="R217" s="5" t="e">
        <f>IF(diabetesoriginal[[#This Row],[Diabetes]]=$R$1,diabetesoriginal[[#This Row],[Skin Thickness]],NA())</f>
        <v>#N/A</v>
      </c>
      <c r="S217" s="5">
        <f>IF(diabetesoriginal[[#This Row],[Diabetes]]=$S$1,diabetesoriginal[[#This Row],[Skin Thickness]],NA())</f>
        <v>40</v>
      </c>
      <c r="U217" s="5" t="e">
        <f>IF(diabetesoriginal[[#This Row],[Diabetes]]=$U$1,diabetesoriginal[[#This Row],[Insulin]],NA())</f>
        <v>#N/A</v>
      </c>
      <c r="V217" s="5">
        <f>IF(diabetesoriginal[[#This Row],[Diabetes]]=$S$1,diabetesoriginal[[#This Row],[Insulin]],NA())</f>
        <v>271</v>
      </c>
    </row>
    <row r="218" spans="1:22" x14ac:dyDescent="0.25">
      <c r="A218" s="5">
        <v>5</v>
      </c>
      <c r="B218" s="5">
        <v>109</v>
      </c>
      <c r="C218" s="5">
        <v>62</v>
      </c>
      <c r="D218" s="5" t="s">
        <v>23</v>
      </c>
      <c r="E218" s="5">
        <v>41</v>
      </c>
      <c r="F218" s="5">
        <v>129</v>
      </c>
      <c r="G218" s="5">
        <v>35.799999999999997</v>
      </c>
      <c r="H218" s="5" t="s">
        <v>29</v>
      </c>
      <c r="I218" s="5">
        <v>0.51400000000000001</v>
      </c>
      <c r="J218" s="5">
        <v>25</v>
      </c>
      <c r="K218" s="5" t="s">
        <v>35</v>
      </c>
      <c r="L218" s="15">
        <v>1</v>
      </c>
      <c r="M218" s="5" t="s">
        <v>57</v>
      </c>
      <c r="N218" s="5" t="s">
        <v>56</v>
      </c>
      <c r="O218" s="5" t="s">
        <v>31</v>
      </c>
      <c r="R218" s="5" t="e">
        <f>IF(diabetesoriginal[[#This Row],[Diabetes]]=$R$1,diabetesoriginal[[#This Row],[Skin Thickness]],NA())</f>
        <v>#N/A</v>
      </c>
      <c r="S218" s="5">
        <f>IF(diabetesoriginal[[#This Row],[Diabetes]]=$S$1,diabetesoriginal[[#This Row],[Skin Thickness]],NA())</f>
        <v>41</v>
      </c>
      <c r="U218" s="5" t="e">
        <f>IF(diabetesoriginal[[#This Row],[Diabetes]]=$U$1,diabetesoriginal[[#This Row],[Insulin]],NA())</f>
        <v>#N/A</v>
      </c>
      <c r="V218" s="5">
        <f>IF(diabetesoriginal[[#This Row],[Diabetes]]=$S$1,diabetesoriginal[[#This Row],[Insulin]],NA())</f>
        <v>129</v>
      </c>
    </row>
    <row r="219" spans="1:22" x14ac:dyDescent="0.25">
      <c r="A219" s="5">
        <v>6</v>
      </c>
      <c r="B219" s="5">
        <v>125</v>
      </c>
      <c r="C219" s="5">
        <v>68</v>
      </c>
      <c r="D219" s="5" t="s">
        <v>23</v>
      </c>
      <c r="E219" s="5">
        <v>30</v>
      </c>
      <c r="F219" s="5">
        <v>120</v>
      </c>
      <c r="G219" s="5">
        <v>30</v>
      </c>
      <c r="H219" s="5" t="s">
        <v>29</v>
      </c>
      <c r="I219" s="5">
        <v>0.46400000000000002</v>
      </c>
      <c r="J219" s="5">
        <v>32</v>
      </c>
      <c r="K219" s="5" t="s">
        <v>36</v>
      </c>
      <c r="L219" s="15">
        <v>0</v>
      </c>
      <c r="M219" s="5" t="s">
        <v>57</v>
      </c>
      <c r="N219" s="5" t="s">
        <v>56</v>
      </c>
      <c r="O219" s="5" t="s">
        <v>31</v>
      </c>
      <c r="R219" s="5">
        <f>IF(diabetesoriginal[[#This Row],[Diabetes]]=$R$1,diabetesoriginal[[#This Row],[Skin Thickness]],NA())</f>
        <v>30</v>
      </c>
      <c r="S219" s="5" t="e">
        <f>IF(diabetesoriginal[[#This Row],[Diabetes]]=$S$1,diabetesoriginal[[#This Row],[Skin Thickness]],NA())</f>
        <v>#N/A</v>
      </c>
      <c r="U219" s="5">
        <f>IF(diabetesoriginal[[#This Row],[Diabetes]]=$U$1,diabetesoriginal[[#This Row],[Insulin]],NA())</f>
        <v>120</v>
      </c>
      <c r="V219" s="5" t="e">
        <f>IF(diabetesoriginal[[#This Row],[Diabetes]]=$S$1,diabetesoriginal[[#This Row],[Insulin]],NA())</f>
        <v>#N/A</v>
      </c>
    </row>
    <row r="220" spans="1:22" x14ac:dyDescent="0.25">
      <c r="A220" s="5">
        <v>5</v>
      </c>
      <c r="B220" s="5">
        <v>85</v>
      </c>
      <c r="C220" s="5">
        <v>74</v>
      </c>
      <c r="D220" s="5" t="s">
        <v>23</v>
      </c>
      <c r="E220" s="5">
        <v>22</v>
      </c>
      <c r="F220" s="5">
        <v>125</v>
      </c>
      <c r="G220" s="5">
        <v>29</v>
      </c>
      <c r="H220" s="5" t="s">
        <v>30</v>
      </c>
      <c r="I220" s="5">
        <v>1.224</v>
      </c>
      <c r="J220" s="5">
        <v>32</v>
      </c>
      <c r="K220" s="5" t="s">
        <v>36</v>
      </c>
      <c r="L220" s="15">
        <v>1</v>
      </c>
      <c r="M220" s="5" t="s">
        <v>57</v>
      </c>
      <c r="N220" s="5" t="s">
        <v>58</v>
      </c>
      <c r="O220" s="5" t="s">
        <v>31</v>
      </c>
      <c r="R220" s="5" t="e">
        <f>IF(diabetesoriginal[[#This Row],[Diabetes]]=$R$1,diabetesoriginal[[#This Row],[Skin Thickness]],NA())</f>
        <v>#N/A</v>
      </c>
      <c r="S220" s="5">
        <f>IF(diabetesoriginal[[#This Row],[Diabetes]]=$S$1,diabetesoriginal[[#This Row],[Skin Thickness]],NA())</f>
        <v>22</v>
      </c>
      <c r="U220" s="5" t="e">
        <f>IF(diabetesoriginal[[#This Row],[Diabetes]]=$U$1,diabetesoriginal[[#This Row],[Insulin]],NA())</f>
        <v>#N/A</v>
      </c>
      <c r="V220" s="5">
        <f>IF(diabetesoriginal[[#This Row],[Diabetes]]=$S$1,diabetesoriginal[[#This Row],[Insulin]],NA())</f>
        <v>125</v>
      </c>
    </row>
    <row r="221" spans="1:22" x14ac:dyDescent="0.25">
      <c r="A221" s="5">
        <v>5</v>
      </c>
      <c r="B221" s="5">
        <v>112</v>
      </c>
      <c r="C221" s="5">
        <v>66</v>
      </c>
      <c r="D221" s="5" t="s">
        <v>23</v>
      </c>
      <c r="E221" s="5">
        <v>29</v>
      </c>
      <c r="F221" s="5">
        <v>125</v>
      </c>
      <c r="G221" s="5">
        <v>37.799999999999997</v>
      </c>
      <c r="H221" s="5" t="s">
        <v>29</v>
      </c>
      <c r="I221" s="5">
        <v>0.26100000000000001</v>
      </c>
      <c r="J221" s="5">
        <v>41</v>
      </c>
      <c r="K221" s="5" t="s">
        <v>37</v>
      </c>
      <c r="L221" s="15">
        <v>1</v>
      </c>
      <c r="M221" s="5" t="s">
        <v>57</v>
      </c>
      <c r="N221" s="5" t="s">
        <v>56</v>
      </c>
      <c r="O221" s="5" t="s">
        <v>31</v>
      </c>
      <c r="R221" s="5" t="e">
        <f>IF(diabetesoriginal[[#This Row],[Diabetes]]=$R$1,diabetesoriginal[[#This Row],[Skin Thickness]],NA())</f>
        <v>#N/A</v>
      </c>
      <c r="S221" s="5">
        <f>IF(diabetesoriginal[[#This Row],[Diabetes]]=$S$1,diabetesoriginal[[#This Row],[Skin Thickness]],NA())</f>
        <v>29</v>
      </c>
      <c r="U221" s="5" t="e">
        <f>IF(diabetesoriginal[[#This Row],[Diabetes]]=$U$1,diabetesoriginal[[#This Row],[Insulin]],NA())</f>
        <v>#N/A</v>
      </c>
      <c r="V221" s="5">
        <f>IF(diabetesoriginal[[#This Row],[Diabetes]]=$S$1,diabetesoriginal[[#This Row],[Insulin]],NA())</f>
        <v>125</v>
      </c>
    </row>
    <row r="222" spans="1:22" x14ac:dyDescent="0.25">
      <c r="A222" s="5">
        <v>0</v>
      </c>
      <c r="B222" s="5">
        <v>177</v>
      </c>
      <c r="C222" s="5">
        <v>60</v>
      </c>
      <c r="D222" s="5" t="s">
        <v>23</v>
      </c>
      <c r="E222" s="5">
        <v>29</v>
      </c>
      <c r="F222" s="5">
        <v>478</v>
      </c>
      <c r="G222" s="5">
        <v>34.6</v>
      </c>
      <c r="H222" s="5" t="s">
        <v>29</v>
      </c>
      <c r="I222" s="5">
        <v>1.0720000000000001</v>
      </c>
      <c r="J222" s="5">
        <v>21</v>
      </c>
      <c r="K222" s="5" t="s">
        <v>35</v>
      </c>
      <c r="L222" s="15">
        <v>1</v>
      </c>
      <c r="M222" s="5" t="s">
        <v>22</v>
      </c>
      <c r="N222" s="5" t="s">
        <v>56</v>
      </c>
      <c r="O222" s="5" t="s">
        <v>59</v>
      </c>
      <c r="R222" s="5" t="e">
        <f>IF(diabetesoriginal[[#This Row],[Diabetes]]=$R$1,diabetesoriginal[[#This Row],[Skin Thickness]],NA())</f>
        <v>#N/A</v>
      </c>
      <c r="S222" s="5">
        <f>IF(diabetesoriginal[[#This Row],[Diabetes]]=$S$1,diabetesoriginal[[#This Row],[Skin Thickness]],NA())</f>
        <v>29</v>
      </c>
      <c r="U222" s="5" t="e">
        <f>IF(diabetesoriginal[[#This Row],[Diabetes]]=$U$1,diabetesoriginal[[#This Row],[Insulin]],NA())</f>
        <v>#N/A</v>
      </c>
      <c r="V222" s="5">
        <f>IF(diabetesoriginal[[#This Row],[Diabetes]]=$S$1,diabetesoriginal[[#This Row],[Insulin]],NA())</f>
        <v>478</v>
      </c>
    </row>
    <row r="223" spans="1:22" x14ac:dyDescent="0.25">
      <c r="A223" s="5">
        <v>2</v>
      </c>
      <c r="B223" s="5">
        <v>158</v>
      </c>
      <c r="C223" s="5">
        <v>90</v>
      </c>
      <c r="D223" s="5" t="s">
        <v>24</v>
      </c>
      <c r="E223" s="5">
        <v>29</v>
      </c>
      <c r="F223" s="5">
        <v>125</v>
      </c>
      <c r="G223" s="5">
        <v>31.6</v>
      </c>
      <c r="H223" s="5" t="s">
        <v>29</v>
      </c>
      <c r="I223" s="5">
        <v>0.80500000000000005</v>
      </c>
      <c r="J223" s="5">
        <v>66</v>
      </c>
      <c r="K223" s="5" t="s">
        <v>39</v>
      </c>
      <c r="L223" s="15">
        <v>1</v>
      </c>
      <c r="M223" s="5" t="s">
        <v>22</v>
      </c>
      <c r="N223" s="5" t="s">
        <v>56</v>
      </c>
      <c r="O223" s="5" t="s">
        <v>31</v>
      </c>
      <c r="R223" s="5" t="e">
        <f>IF(diabetesoriginal[[#This Row],[Diabetes]]=$R$1,diabetesoriginal[[#This Row],[Skin Thickness]],NA())</f>
        <v>#N/A</v>
      </c>
      <c r="S223" s="5">
        <f>IF(diabetesoriginal[[#This Row],[Diabetes]]=$S$1,diabetesoriginal[[#This Row],[Skin Thickness]],NA())</f>
        <v>29</v>
      </c>
      <c r="U223" s="5" t="e">
        <f>IF(diabetesoriginal[[#This Row],[Diabetes]]=$U$1,diabetesoriginal[[#This Row],[Insulin]],NA())</f>
        <v>#N/A</v>
      </c>
      <c r="V223" s="5">
        <f>IF(diabetesoriginal[[#This Row],[Diabetes]]=$S$1,diabetesoriginal[[#This Row],[Insulin]],NA())</f>
        <v>125</v>
      </c>
    </row>
    <row r="224" spans="1:22" x14ac:dyDescent="0.25">
      <c r="A224" s="5">
        <v>7</v>
      </c>
      <c r="B224" s="5">
        <v>119</v>
      </c>
      <c r="C224" s="5">
        <v>72</v>
      </c>
      <c r="D224" s="5" t="s">
        <v>23</v>
      </c>
      <c r="E224" s="5">
        <v>29</v>
      </c>
      <c r="F224" s="5">
        <v>125</v>
      </c>
      <c r="G224" s="5">
        <v>25.2</v>
      </c>
      <c r="H224" s="5" t="s">
        <v>30</v>
      </c>
      <c r="I224" s="5">
        <v>0.20899999999999999</v>
      </c>
      <c r="J224" s="5">
        <v>37</v>
      </c>
      <c r="K224" s="5" t="s">
        <v>36</v>
      </c>
      <c r="L224" s="15">
        <v>0</v>
      </c>
      <c r="M224" s="5" t="s">
        <v>57</v>
      </c>
      <c r="N224" s="5" t="s">
        <v>56</v>
      </c>
      <c r="O224" s="5" t="s">
        <v>31</v>
      </c>
      <c r="R224" s="5">
        <f>IF(diabetesoriginal[[#This Row],[Diabetes]]=$R$1,diabetesoriginal[[#This Row],[Skin Thickness]],NA())</f>
        <v>29</v>
      </c>
      <c r="S224" s="5" t="e">
        <f>IF(diabetesoriginal[[#This Row],[Diabetes]]=$S$1,diabetesoriginal[[#This Row],[Skin Thickness]],NA())</f>
        <v>#N/A</v>
      </c>
      <c r="U224" s="5">
        <f>IF(diabetesoriginal[[#This Row],[Diabetes]]=$U$1,diabetesoriginal[[#This Row],[Insulin]],NA())</f>
        <v>125</v>
      </c>
      <c r="V224" s="5" t="e">
        <f>IF(diabetesoriginal[[#This Row],[Diabetes]]=$S$1,diabetesoriginal[[#This Row],[Insulin]],NA())</f>
        <v>#N/A</v>
      </c>
    </row>
    <row r="225" spans="1:22" x14ac:dyDescent="0.25">
      <c r="A225" s="5">
        <v>7</v>
      </c>
      <c r="B225" s="5">
        <v>142</v>
      </c>
      <c r="C225" s="5">
        <v>60</v>
      </c>
      <c r="D225" s="5" t="s">
        <v>23</v>
      </c>
      <c r="E225" s="5">
        <v>33</v>
      </c>
      <c r="F225" s="5">
        <v>190</v>
      </c>
      <c r="G225" s="5">
        <v>28.8</v>
      </c>
      <c r="H225" s="5" t="s">
        <v>30</v>
      </c>
      <c r="I225" s="5">
        <v>0.68700000000000006</v>
      </c>
      <c r="J225" s="5">
        <v>61</v>
      </c>
      <c r="K225" s="5" t="s">
        <v>39</v>
      </c>
      <c r="L225" s="15">
        <v>0</v>
      </c>
      <c r="M225" s="5" t="s">
        <v>22</v>
      </c>
      <c r="N225" s="5" t="s">
        <v>56</v>
      </c>
      <c r="O225" s="5" t="s">
        <v>59</v>
      </c>
      <c r="R225" s="5">
        <f>IF(diabetesoriginal[[#This Row],[Diabetes]]=$R$1,diabetesoriginal[[#This Row],[Skin Thickness]],NA())</f>
        <v>33</v>
      </c>
      <c r="S225" s="5" t="e">
        <f>IF(diabetesoriginal[[#This Row],[Diabetes]]=$S$1,diabetesoriginal[[#This Row],[Skin Thickness]],NA())</f>
        <v>#N/A</v>
      </c>
      <c r="U225" s="5">
        <f>IF(diabetesoriginal[[#This Row],[Diabetes]]=$U$1,diabetesoriginal[[#This Row],[Insulin]],NA())</f>
        <v>190</v>
      </c>
      <c r="V225" s="5" t="e">
        <f>IF(diabetesoriginal[[#This Row],[Diabetes]]=$S$1,diabetesoriginal[[#This Row],[Insulin]],NA())</f>
        <v>#N/A</v>
      </c>
    </row>
    <row r="226" spans="1:22" x14ac:dyDescent="0.25">
      <c r="A226" s="5">
        <v>1</v>
      </c>
      <c r="B226" s="5">
        <v>100</v>
      </c>
      <c r="C226" s="5">
        <v>66</v>
      </c>
      <c r="D226" s="5" t="s">
        <v>23</v>
      </c>
      <c r="E226" s="5">
        <v>15</v>
      </c>
      <c r="F226" s="5">
        <v>56</v>
      </c>
      <c r="G226" s="5">
        <v>23.6</v>
      </c>
      <c r="H226" s="5" t="s">
        <v>31</v>
      </c>
      <c r="I226" s="5">
        <v>0.66600000000000004</v>
      </c>
      <c r="J226" s="5">
        <v>26</v>
      </c>
      <c r="K226" s="5" t="s">
        <v>35</v>
      </c>
      <c r="L226" s="15">
        <v>0</v>
      </c>
      <c r="M226" s="5" t="s">
        <v>57</v>
      </c>
      <c r="N226" s="5" t="s">
        <v>58</v>
      </c>
      <c r="O226" s="5" t="s">
        <v>31</v>
      </c>
      <c r="R226" s="5">
        <f>IF(diabetesoriginal[[#This Row],[Diabetes]]=$R$1,diabetesoriginal[[#This Row],[Skin Thickness]],NA())</f>
        <v>15</v>
      </c>
      <c r="S226" s="5" t="e">
        <f>IF(diabetesoriginal[[#This Row],[Diabetes]]=$S$1,diabetesoriginal[[#This Row],[Skin Thickness]],NA())</f>
        <v>#N/A</v>
      </c>
      <c r="U226" s="5">
        <f>IF(diabetesoriginal[[#This Row],[Diabetes]]=$U$1,diabetesoriginal[[#This Row],[Insulin]],NA())</f>
        <v>56</v>
      </c>
      <c r="V226" s="5" t="e">
        <f>IF(diabetesoriginal[[#This Row],[Diabetes]]=$S$1,diabetesoriginal[[#This Row],[Insulin]],NA())</f>
        <v>#N/A</v>
      </c>
    </row>
    <row r="227" spans="1:22" x14ac:dyDescent="0.25">
      <c r="A227" s="5">
        <v>1</v>
      </c>
      <c r="B227" s="5">
        <v>87</v>
      </c>
      <c r="C227" s="5">
        <v>78</v>
      </c>
      <c r="D227" s="5" t="s">
        <v>23</v>
      </c>
      <c r="E227" s="5">
        <v>27</v>
      </c>
      <c r="F227" s="5">
        <v>32</v>
      </c>
      <c r="G227" s="5">
        <v>34.6</v>
      </c>
      <c r="H227" s="5" t="s">
        <v>29</v>
      </c>
      <c r="I227" s="5">
        <v>0.10100000000000001</v>
      </c>
      <c r="J227" s="5">
        <v>22</v>
      </c>
      <c r="K227" s="5" t="s">
        <v>35</v>
      </c>
      <c r="L227" s="15">
        <v>0</v>
      </c>
      <c r="M227" s="5" t="s">
        <v>57</v>
      </c>
      <c r="N227" s="5" t="s">
        <v>56</v>
      </c>
      <c r="O227" s="5" t="s">
        <v>31</v>
      </c>
      <c r="R227" s="5">
        <f>IF(diabetesoriginal[[#This Row],[Diabetes]]=$R$1,diabetesoriginal[[#This Row],[Skin Thickness]],NA())</f>
        <v>27</v>
      </c>
      <c r="S227" s="5" t="e">
        <f>IF(diabetesoriginal[[#This Row],[Diabetes]]=$S$1,diabetesoriginal[[#This Row],[Skin Thickness]],NA())</f>
        <v>#N/A</v>
      </c>
      <c r="U227" s="5">
        <f>IF(diabetesoriginal[[#This Row],[Diabetes]]=$U$1,diabetesoriginal[[#This Row],[Insulin]],NA())</f>
        <v>32</v>
      </c>
      <c r="V227" s="5" t="e">
        <f>IF(diabetesoriginal[[#This Row],[Diabetes]]=$S$1,diabetesoriginal[[#This Row],[Insulin]],NA())</f>
        <v>#N/A</v>
      </c>
    </row>
    <row r="228" spans="1:22" x14ac:dyDescent="0.25">
      <c r="A228" s="5">
        <v>0</v>
      </c>
      <c r="B228" s="5">
        <v>101</v>
      </c>
      <c r="C228" s="5">
        <v>76</v>
      </c>
      <c r="D228" s="5" t="s">
        <v>23</v>
      </c>
      <c r="E228" s="5">
        <v>29</v>
      </c>
      <c r="F228" s="5">
        <v>125</v>
      </c>
      <c r="G228" s="5">
        <v>35.700000000000003</v>
      </c>
      <c r="H228" s="5" t="s">
        <v>29</v>
      </c>
      <c r="I228" s="5">
        <v>0.19800000000000001</v>
      </c>
      <c r="J228" s="5">
        <v>26</v>
      </c>
      <c r="K228" s="5" t="s">
        <v>35</v>
      </c>
      <c r="L228" s="15">
        <v>0</v>
      </c>
      <c r="M228" s="5" t="s">
        <v>57</v>
      </c>
      <c r="N228" s="5" t="s">
        <v>56</v>
      </c>
      <c r="O228" s="5" t="s">
        <v>31</v>
      </c>
      <c r="R228" s="5">
        <f>IF(diabetesoriginal[[#This Row],[Diabetes]]=$R$1,diabetesoriginal[[#This Row],[Skin Thickness]],NA())</f>
        <v>29</v>
      </c>
      <c r="S228" s="5" t="e">
        <f>IF(diabetesoriginal[[#This Row],[Diabetes]]=$S$1,diabetesoriginal[[#This Row],[Skin Thickness]],NA())</f>
        <v>#N/A</v>
      </c>
      <c r="U228" s="5">
        <f>IF(diabetesoriginal[[#This Row],[Diabetes]]=$U$1,diabetesoriginal[[#This Row],[Insulin]],NA())</f>
        <v>125</v>
      </c>
      <c r="V228" s="5" t="e">
        <f>IF(diabetesoriginal[[#This Row],[Diabetes]]=$S$1,diabetesoriginal[[#This Row],[Insulin]],NA())</f>
        <v>#N/A</v>
      </c>
    </row>
    <row r="229" spans="1:22" x14ac:dyDescent="0.25">
      <c r="A229" s="5">
        <v>3</v>
      </c>
      <c r="B229" s="5">
        <v>162</v>
      </c>
      <c r="C229" s="5">
        <v>52</v>
      </c>
      <c r="D229" s="5" t="s">
        <v>23</v>
      </c>
      <c r="E229" s="5">
        <v>38</v>
      </c>
      <c r="F229" s="5">
        <v>125</v>
      </c>
      <c r="G229" s="5">
        <v>37.200000000000003</v>
      </c>
      <c r="H229" s="5" t="s">
        <v>29</v>
      </c>
      <c r="I229" s="5">
        <v>0.65200000000000002</v>
      </c>
      <c r="J229" s="5">
        <v>24</v>
      </c>
      <c r="K229" s="5" t="s">
        <v>35</v>
      </c>
      <c r="L229" s="15">
        <v>1</v>
      </c>
      <c r="M229" s="5" t="s">
        <v>22</v>
      </c>
      <c r="N229" s="5" t="s">
        <v>56</v>
      </c>
      <c r="O229" s="5" t="s">
        <v>31</v>
      </c>
      <c r="R229" s="5" t="e">
        <f>IF(diabetesoriginal[[#This Row],[Diabetes]]=$R$1,diabetesoriginal[[#This Row],[Skin Thickness]],NA())</f>
        <v>#N/A</v>
      </c>
      <c r="S229" s="5">
        <f>IF(diabetesoriginal[[#This Row],[Diabetes]]=$S$1,diabetesoriginal[[#This Row],[Skin Thickness]],NA())</f>
        <v>38</v>
      </c>
      <c r="U229" s="5" t="e">
        <f>IF(diabetesoriginal[[#This Row],[Diabetes]]=$U$1,diabetesoriginal[[#This Row],[Insulin]],NA())</f>
        <v>#N/A</v>
      </c>
      <c r="V229" s="5">
        <f>IF(diabetesoriginal[[#This Row],[Diabetes]]=$S$1,diabetesoriginal[[#This Row],[Insulin]],NA())</f>
        <v>125</v>
      </c>
    </row>
    <row r="230" spans="1:22" x14ac:dyDescent="0.25">
      <c r="A230" s="5">
        <v>4</v>
      </c>
      <c r="B230" s="5">
        <v>197</v>
      </c>
      <c r="C230" s="5">
        <v>70</v>
      </c>
      <c r="D230" s="5" t="s">
        <v>23</v>
      </c>
      <c r="E230" s="5">
        <v>39</v>
      </c>
      <c r="F230" s="5">
        <v>744</v>
      </c>
      <c r="G230" s="5">
        <v>36.700000000000003</v>
      </c>
      <c r="H230" s="5" t="s">
        <v>29</v>
      </c>
      <c r="I230" s="5">
        <v>2.3290000000000002</v>
      </c>
      <c r="J230" s="5">
        <v>31</v>
      </c>
      <c r="K230" s="5" t="s">
        <v>36</v>
      </c>
      <c r="L230" s="15">
        <v>0</v>
      </c>
      <c r="M230" s="5" t="s">
        <v>22</v>
      </c>
      <c r="N230" s="5" t="s">
        <v>56</v>
      </c>
      <c r="O230" s="5" t="s">
        <v>59</v>
      </c>
      <c r="R230" s="5">
        <f>IF(diabetesoriginal[[#This Row],[Diabetes]]=$R$1,diabetesoriginal[[#This Row],[Skin Thickness]],NA())</f>
        <v>39</v>
      </c>
      <c r="S230" s="5" t="e">
        <f>IF(diabetesoriginal[[#This Row],[Diabetes]]=$S$1,diabetesoriginal[[#This Row],[Skin Thickness]],NA())</f>
        <v>#N/A</v>
      </c>
      <c r="U230" s="5">
        <f>IF(diabetesoriginal[[#This Row],[Diabetes]]=$U$1,diabetesoriginal[[#This Row],[Insulin]],NA())</f>
        <v>744</v>
      </c>
      <c r="V230" s="5" t="e">
        <f>IF(diabetesoriginal[[#This Row],[Diabetes]]=$S$1,diabetesoriginal[[#This Row],[Insulin]],NA())</f>
        <v>#N/A</v>
      </c>
    </row>
    <row r="231" spans="1:22" x14ac:dyDescent="0.25">
      <c r="A231" s="5">
        <v>0</v>
      </c>
      <c r="B231" s="5">
        <v>117</v>
      </c>
      <c r="C231" s="5">
        <v>80</v>
      </c>
      <c r="D231" s="5" t="s">
        <v>25</v>
      </c>
      <c r="E231" s="5">
        <v>31</v>
      </c>
      <c r="F231" s="5">
        <v>53</v>
      </c>
      <c r="G231" s="5">
        <v>45.2</v>
      </c>
      <c r="H231" s="5" t="s">
        <v>32</v>
      </c>
      <c r="I231" s="5">
        <v>8.8999999999999996E-2</v>
      </c>
      <c r="J231" s="5">
        <v>24</v>
      </c>
      <c r="K231" s="5" t="s">
        <v>35</v>
      </c>
      <c r="L231" s="15">
        <v>0</v>
      </c>
      <c r="M231" s="5" t="s">
        <v>57</v>
      </c>
      <c r="N231" s="5" t="s">
        <v>56</v>
      </c>
      <c r="O231" s="5" t="s">
        <v>31</v>
      </c>
      <c r="R231" s="5">
        <f>IF(diabetesoriginal[[#This Row],[Diabetes]]=$R$1,diabetesoriginal[[#This Row],[Skin Thickness]],NA())</f>
        <v>31</v>
      </c>
      <c r="S231" s="5" t="e">
        <f>IF(diabetesoriginal[[#This Row],[Diabetes]]=$S$1,diabetesoriginal[[#This Row],[Skin Thickness]],NA())</f>
        <v>#N/A</v>
      </c>
      <c r="U231" s="5">
        <f>IF(diabetesoriginal[[#This Row],[Diabetes]]=$U$1,diabetesoriginal[[#This Row],[Insulin]],NA())</f>
        <v>53</v>
      </c>
      <c r="V231" s="5" t="e">
        <f>IF(diabetesoriginal[[#This Row],[Diabetes]]=$S$1,diabetesoriginal[[#This Row],[Insulin]],NA())</f>
        <v>#N/A</v>
      </c>
    </row>
    <row r="232" spans="1:22" x14ac:dyDescent="0.25">
      <c r="A232" s="5">
        <v>4</v>
      </c>
      <c r="B232" s="5">
        <v>142</v>
      </c>
      <c r="C232" s="5">
        <v>86</v>
      </c>
      <c r="D232" s="5" t="s">
        <v>25</v>
      </c>
      <c r="E232" s="5">
        <v>29</v>
      </c>
      <c r="F232" s="5">
        <v>125</v>
      </c>
      <c r="G232" s="5">
        <v>44</v>
      </c>
      <c r="H232" s="5" t="s">
        <v>32</v>
      </c>
      <c r="I232" s="5">
        <v>0.64500000000000002</v>
      </c>
      <c r="J232" s="5">
        <v>22</v>
      </c>
      <c r="K232" s="5" t="s">
        <v>35</v>
      </c>
      <c r="L232" s="15">
        <v>1</v>
      </c>
      <c r="M232" s="5" t="s">
        <v>22</v>
      </c>
      <c r="N232" s="5" t="s">
        <v>56</v>
      </c>
      <c r="O232" s="5" t="s">
        <v>31</v>
      </c>
      <c r="R232" s="5" t="e">
        <f>IF(diabetesoriginal[[#This Row],[Diabetes]]=$R$1,diabetesoriginal[[#This Row],[Skin Thickness]],NA())</f>
        <v>#N/A</v>
      </c>
      <c r="S232" s="5">
        <f>IF(diabetesoriginal[[#This Row],[Diabetes]]=$S$1,diabetesoriginal[[#This Row],[Skin Thickness]],NA())</f>
        <v>29</v>
      </c>
      <c r="U232" s="5" t="e">
        <f>IF(diabetesoriginal[[#This Row],[Diabetes]]=$U$1,diabetesoriginal[[#This Row],[Insulin]],NA())</f>
        <v>#N/A</v>
      </c>
      <c r="V232" s="5">
        <f>IF(diabetesoriginal[[#This Row],[Diabetes]]=$S$1,diabetesoriginal[[#This Row],[Insulin]],NA())</f>
        <v>125</v>
      </c>
    </row>
    <row r="233" spans="1:22" x14ac:dyDescent="0.25">
      <c r="A233" s="5">
        <v>6</v>
      </c>
      <c r="B233" s="5">
        <v>134</v>
      </c>
      <c r="C233" s="5">
        <v>80</v>
      </c>
      <c r="D233" s="5" t="s">
        <v>25</v>
      </c>
      <c r="E233" s="5">
        <v>37</v>
      </c>
      <c r="F233" s="5">
        <v>370</v>
      </c>
      <c r="G233" s="5">
        <v>46.2</v>
      </c>
      <c r="H233" s="5" t="s">
        <v>32</v>
      </c>
      <c r="I233" s="5">
        <v>0.23799999999999999</v>
      </c>
      <c r="J233" s="5">
        <v>46</v>
      </c>
      <c r="K233" s="5" t="s">
        <v>37</v>
      </c>
      <c r="L233" s="15">
        <v>1</v>
      </c>
      <c r="M233" s="5" t="s">
        <v>57</v>
      </c>
      <c r="N233" s="5" t="s">
        <v>56</v>
      </c>
      <c r="O233" s="5" t="s">
        <v>59</v>
      </c>
      <c r="R233" s="5" t="e">
        <f>IF(diabetesoriginal[[#This Row],[Diabetes]]=$R$1,diabetesoriginal[[#This Row],[Skin Thickness]],NA())</f>
        <v>#N/A</v>
      </c>
      <c r="S233" s="5">
        <f>IF(diabetesoriginal[[#This Row],[Diabetes]]=$S$1,diabetesoriginal[[#This Row],[Skin Thickness]],NA())</f>
        <v>37</v>
      </c>
      <c r="U233" s="5" t="e">
        <f>IF(diabetesoriginal[[#This Row],[Diabetes]]=$U$1,diabetesoriginal[[#This Row],[Insulin]],NA())</f>
        <v>#N/A</v>
      </c>
      <c r="V233" s="5">
        <f>IF(diabetesoriginal[[#This Row],[Diabetes]]=$S$1,diabetesoriginal[[#This Row],[Insulin]],NA())</f>
        <v>370</v>
      </c>
    </row>
    <row r="234" spans="1:22" x14ac:dyDescent="0.25">
      <c r="A234" s="5">
        <v>1</v>
      </c>
      <c r="B234" s="5">
        <v>79</v>
      </c>
      <c r="C234" s="5">
        <v>80</v>
      </c>
      <c r="D234" s="5" t="s">
        <v>25</v>
      </c>
      <c r="E234" s="5">
        <v>25</v>
      </c>
      <c r="F234" s="5">
        <v>37</v>
      </c>
      <c r="G234" s="5">
        <v>25.4</v>
      </c>
      <c r="H234" s="5" t="s">
        <v>30</v>
      </c>
      <c r="I234" s="5">
        <v>0.58299999999999996</v>
      </c>
      <c r="J234" s="5">
        <v>22</v>
      </c>
      <c r="K234" s="5" t="s">
        <v>35</v>
      </c>
      <c r="L234" s="15">
        <v>0</v>
      </c>
      <c r="M234" s="5" t="s">
        <v>57</v>
      </c>
      <c r="N234" s="5" t="s">
        <v>56</v>
      </c>
      <c r="O234" s="5" t="s">
        <v>31</v>
      </c>
      <c r="R234" s="5">
        <f>IF(diabetesoriginal[[#This Row],[Diabetes]]=$R$1,diabetesoriginal[[#This Row],[Skin Thickness]],NA())</f>
        <v>25</v>
      </c>
      <c r="S234" s="5" t="e">
        <f>IF(diabetesoriginal[[#This Row],[Diabetes]]=$S$1,diabetesoriginal[[#This Row],[Skin Thickness]],NA())</f>
        <v>#N/A</v>
      </c>
      <c r="U234" s="5">
        <f>IF(diabetesoriginal[[#This Row],[Diabetes]]=$U$1,diabetesoriginal[[#This Row],[Insulin]],NA())</f>
        <v>37</v>
      </c>
      <c r="V234" s="5" t="e">
        <f>IF(diabetesoriginal[[#This Row],[Diabetes]]=$S$1,diabetesoriginal[[#This Row],[Insulin]],NA())</f>
        <v>#N/A</v>
      </c>
    </row>
    <row r="235" spans="1:22" x14ac:dyDescent="0.25">
      <c r="A235" s="5">
        <v>4</v>
      </c>
      <c r="B235" s="5">
        <v>122</v>
      </c>
      <c r="C235" s="5">
        <v>68</v>
      </c>
      <c r="D235" s="5" t="s">
        <v>23</v>
      </c>
      <c r="E235" s="5">
        <v>29</v>
      </c>
      <c r="F235" s="5">
        <v>125</v>
      </c>
      <c r="G235" s="5">
        <v>35</v>
      </c>
      <c r="H235" s="5" t="s">
        <v>29</v>
      </c>
      <c r="I235" s="5">
        <v>0.39400000000000002</v>
      </c>
      <c r="J235" s="5">
        <v>29</v>
      </c>
      <c r="K235" s="5" t="s">
        <v>35</v>
      </c>
      <c r="L235" s="15">
        <v>0</v>
      </c>
      <c r="M235" s="5" t="s">
        <v>57</v>
      </c>
      <c r="N235" s="5" t="s">
        <v>56</v>
      </c>
      <c r="O235" s="5" t="s">
        <v>31</v>
      </c>
      <c r="R235" s="5">
        <f>IF(diabetesoriginal[[#This Row],[Diabetes]]=$R$1,diabetesoriginal[[#This Row],[Skin Thickness]],NA())</f>
        <v>29</v>
      </c>
      <c r="S235" s="5" t="e">
        <f>IF(diabetesoriginal[[#This Row],[Diabetes]]=$S$1,diabetesoriginal[[#This Row],[Skin Thickness]],NA())</f>
        <v>#N/A</v>
      </c>
      <c r="U235" s="5">
        <f>IF(diabetesoriginal[[#This Row],[Diabetes]]=$U$1,diabetesoriginal[[#This Row],[Insulin]],NA())</f>
        <v>125</v>
      </c>
      <c r="V235" s="5" t="e">
        <f>IF(diabetesoriginal[[#This Row],[Diabetes]]=$S$1,diabetesoriginal[[#This Row],[Insulin]],NA())</f>
        <v>#N/A</v>
      </c>
    </row>
    <row r="236" spans="1:22" x14ac:dyDescent="0.25">
      <c r="A236" s="5">
        <v>3</v>
      </c>
      <c r="B236" s="5">
        <v>74</v>
      </c>
      <c r="C236" s="5">
        <v>68</v>
      </c>
      <c r="D236" s="5" t="s">
        <v>23</v>
      </c>
      <c r="E236" s="5">
        <v>28</v>
      </c>
      <c r="F236" s="5">
        <v>45</v>
      </c>
      <c r="G236" s="5">
        <v>29.7</v>
      </c>
      <c r="H236" s="5" t="s">
        <v>30</v>
      </c>
      <c r="I236" s="5">
        <v>0.29299999999999998</v>
      </c>
      <c r="J236" s="5">
        <v>23</v>
      </c>
      <c r="K236" s="5" t="s">
        <v>35</v>
      </c>
      <c r="L236" s="15">
        <v>0</v>
      </c>
      <c r="M236" s="5" t="s">
        <v>57</v>
      </c>
      <c r="N236" s="5" t="s">
        <v>56</v>
      </c>
      <c r="O236" s="5" t="s">
        <v>31</v>
      </c>
      <c r="R236" s="5">
        <f>IF(diabetesoriginal[[#This Row],[Diabetes]]=$R$1,diabetesoriginal[[#This Row],[Skin Thickness]],NA())</f>
        <v>28</v>
      </c>
      <c r="S236" s="5" t="e">
        <f>IF(diabetesoriginal[[#This Row],[Diabetes]]=$S$1,diabetesoriginal[[#This Row],[Skin Thickness]],NA())</f>
        <v>#N/A</v>
      </c>
      <c r="U236" s="5">
        <f>IF(diabetesoriginal[[#This Row],[Diabetes]]=$U$1,diabetesoriginal[[#This Row],[Insulin]],NA())</f>
        <v>45</v>
      </c>
      <c r="V236" s="5" t="e">
        <f>IF(diabetesoriginal[[#This Row],[Diabetes]]=$S$1,diabetesoriginal[[#This Row],[Insulin]],NA())</f>
        <v>#N/A</v>
      </c>
    </row>
    <row r="237" spans="1:22" x14ac:dyDescent="0.25">
      <c r="A237" s="5">
        <v>4</v>
      </c>
      <c r="B237" s="5">
        <v>171</v>
      </c>
      <c r="C237" s="5">
        <v>72</v>
      </c>
      <c r="D237" s="5" t="s">
        <v>23</v>
      </c>
      <c r="E237" s="5">
        <v>29</v>
      </c>
      <c r="F237" s="5">
        <v>125</v>
      </c>
      <c r="G237" s="5">
        <v>43.6</v>
      </c>
      <c r="H237" s="5" t="s">
        <v>32</v>
      </c>
      <c r="I237" s="5">
        <v>0.47899999999999998</v>
      </c>
      <c r="J237" s="5">
        <v>26</v>
      </c>
      <c r="K237" s="5" t="s">
        <v>35</v>
      </c>
      <c r="L237" s="15">
        <v>1</v>
      </c>
      <c r="M237" s="5" t="s">
        <v>22</v>
      </c>
      <c r="N237" s="5" t="s">
        <v>56</v>
      </c>
      <c r="O237" s="5" t="s">
        <v>31</v>
      </c>
      <c r="R237" s="5" t="e">
        <f>IF(diabetesoriginal[[#This Row],[Diabetes]]=$R$1,diabetesoriginal[[#This Row],[Skin Thickness]],NA())</f>
        <v>#N/A</v>
      </c>
      <c r="S237" s="5">
        <f>IF(diabetesoriginal[[#This Row],[Diabetes]]=$S$1,diabetesoriginal[[#This Row],[Skin Thickness]],NA())</f>
        <v>29</v>
      </c>
      <c r="U237" s="5" t="e">
        <f>IF(diabetesoriginal[[#This Row],[Diabetes]]=$U$1,diabetesoriginal[[#This Row],[Insulin]],NA())</f>
        <v>#N/A</v>
      </c>
      <c r="V237" s="5">
        <f>IF(diabetesoriginal[[#This Row],[Diabetes]]=$S$1,diabetesoriginal[[#This Row],[Insulin]],NA())</f>
        <v>125</v>
      </c>
    </row>
    <row r="238" spans="1:22" x14ac:dyDescent="0.25">
      <c r="A238" s="5">
        <v>7</v>
      </c>
      <c r="B238" s="5">
        <v>181</v>
      </c>
      <c r="C238" s="5">
        <v>84</v>
      </c>
      <c r="D238" s="5" t="s">
        <v>25</v>
      </c>
      <c r="E238" s="5">
        <v>21</v>
      </c>
      <c r="F238" s="5">
        <v>192</v>
      </c>
      <c r="G238" s="5">
        <v>35.9</v>
      </c>
      <c r="H238" s="5" t="s">
        <v>29</v>
      </c>
      <c r="I238" s="5">
        <v>0.58599999999999997</v>
      </c>
      <c r="J238" s="5">
        <v>51</v>
      </c>
      <c r="K238" s="5" t="s">
        <v>38</v>
      </c>
      <c r="L238" s="15">
        <v>1</v>
      </c>
      <c r="M238" s="5" t="s">
        <v>22</v>
      </c>
      <c r="N238" s="5" t="s">
        <v>58</v>
      </c>
      <c r="O238" s="5" t="s">
        <v>59</v>
      </c>
      <c r="R238" s="5" t="e">
        <f>IF(diabetesoriginal[[#This Row],[Diabetes]]=$R$1,diabetesoriginal[[#This Row],[Skin Thickness]],NA())</f>
        <v>#N/A</v>
      </c>
      <c r="S238" s="5">
        <f>IF(diabetesoriginal[[#This Row],[Diabetes]]=$S$1,diabetesoriginal[[#This Row],[Skin Thickness]],NA())</f>
        <v>21</v>
      </c>
      <c r="U238" s="5" t="e">
        <f>IF(diabetesoriginal[[#This Row],[Diabetes]]=$U$1,diabetesoriginal[[#This Row],[Insulin]],NA())</f>
        <v>#N/A</v>
      </c>
      <c r="V238" s="5">
        <f>IF(diabetesoriginal[[#This Row],[Diabetes]]=$S$1,diabetesoriginal[[#This Row],[Insulin]],NA())</f>
        <v>192</v>
      </c>
    </row>
    <row r="239" spans="1:22" x14ac:dyDescent="0.25">
      <c r="A239" s="5">
        <v>0</v>
      </c>
      <c r="B239" s="5">
        <v>179</v>
      </c>
      <c r="C239" s="5">
        <v>90</v>
      </c>
      <c r="D239" s="5" t="s">
        <v>24</v>
      </c>
      <c r="E239" s="5">
        <v>27</v>
      </c>
      <c r="F239" s="5">
        <v>125</v>
      </c>
      <c r="G239" s="5">
        <v>44.1</v>
      </c>
      <c r="H239" s="5" t="s">
        <v>32</v>
      </c>
      <c r="I239" s="5">
        <v>0.68600000000000005</v>
      </c>
      <c r="J239" s="5">
        <v>23</v>
      </c>
      <c r="K239" s="5" t="s">
        <v>35</v>
      </c>
      <c r="L239" s="15">
        <v>1</v>
      </c>
      <c r="M239" s="5" t="s">
        <v>22</v>
      </c>
      <c r="N239" s="5" t="s">
        <v>56</v>
      </c>
      <c r="O239" s="5" t="s">
        <v>31</v>
      </c>
      <c r="R239" s="5" t="e">
        <f>IF(diabetesoriginal[[#This Row],[Diabetes]]=$R$1,diabetesoriginal[[#This Row],[Skin Thickness]],NA())</f>
        <v>#N/A</v>
      </c>
      <c r="S239" s="5">
        <f>IF(diabetesoriginal[[#This Row],[Diabetes]]=$S$1,diabetesoriginal[[#This Row],[Skin Thickness]],NA())</f>
        <v>27</v>
      </c>
      <c r="U239" s="5" t="e">
        <f>IF(diabetesoriginal[[#This Row],[Diabetes]]=$U$1,diabetesoriginal[[#This Row],[Insulin]],NA())</f>
        <v>#N/A</v>
      </c>
      <c r="V239" s="5">
        <f>IF(diabetesoriginal[[#This Row],[Diabetes]]=$S$1,diabetesoriginal[[#This Row],[Insulin]],NA())</f>
        <v>125</v>
      </c>
    </row>
    <row r="240" spans="1:22" x14ac:dyDescent="0.25">
      <c r="A240" s="5">
        <v>9</v>
      </c>
      <c r="B240" s="5">
        <v>164</v>
      </c>
      <c r="C240" s="5">
        <v>84</v>
      </c>
      <c r="D240" s="5" t="s">
        <v>25</v>
      </c>
      <c r="E240" s="5">
        <v>21</v>
      </c>
      <c r="F240" s="5">
        <v>125</v>
      </c>
      <c r="G240" s="5">
        <v>30.8</v>
      </c>
      <c r="H240" s="5" t="s">
        <v>29</v>
      </c>
      <c r="I240" s="5">
        <v>0.83099999999999996</v>
      </c>
      <c r="J240" s="5">
        <v>32</v>
      </c>
      <c r="K240" s="5" t="s">
        <v>36</v>
      </c>
      <c r="L240" s="15">
        <v>1</v>
      </c>
      <c r="M240" s="5" t="s">
        <v>22</v>
      </c>
      <c r="N240" s="5" t="s">
        <v>58</v>
      </c>
      <c r="O240" s="5" t="s">
        <v>31</v>
      </c>
      <c r="R240" s="5" t="e">
        <f>IF(diabetesoriginal[[#This Row],[Diabetes]]=$R$1,diabetesoriginal[[#This Row],[Skin Thickness]],NA())</f>
        <v>#N/A</v>
      </c>
      <c r="S240" s="5">
        <f>IF(diabetesoriginal[[#This Row],[Diabetes]]=$S$1,diabetesoriginal[[#This Row],[Skin Thickness]],NA())</f>
        <v>21</v>
      </c>
      <c r="U240" s="5" t="e">
        <f>IF(diabetesoriginal[[#This Row],[Diabetes]]=$U$1,diabetesoriginal[[#This Row],[Insulin]],NA())</f>
        <v>#N/A</v>
      </c>
      <c r="V240" s="5">
        <f>IF(diabetesoriginal[[#This Row],[Diabetes]]=$S$1,diabetesoriginal[[#This Row],[Insulin]],NA())</f>
        <v>125</v>
      </c>
    </row>
    <row r="241" spans="1:22" x14ac:dyDescent="0.25">
      <c r="A241" s="5">
        <v>0</v>
      </c>
      <c r="B241" s="5">
        <v>104</v>
      </c>
      <c r="C241" s="5">
        <v>76</v>
      </c>
      <c r="D241" s="5" t="s">
        <v>23</v>
      </c>
      <c r="E241" s="5">
        <v>29</v>
      </c>
      <c r="F241" s="5">
        <v>125</v>
      </c>
      <c r="G241" s="5">
        <v>18.399999999999999</v>
      </c>
      <c r="H241" s="5" t="s">
        <v>33</v>
      </c>
      <c r="I241" s="5">
        <v>0.58199999999999996</v>
      </c>
      <c r="J241" s="5">
        <v>27</v>
      </c>
      <c r="K241" s="5" t="s">
        <v>35</v>
      </c>
      <c r="L241" s="15">
        <v>0</v>
      </c>
      <c r="M241" s="5" t="s">
        <v>57</v>
      </c>
      <c r="N241" s="5" t="s">
        <v>56</v>
      </c>
      <c r="O241" s="5" t="s">
        <v>31</v>
      </c>
      <c r="R241" s="5">
        <f>IF(diabetesoriginal[[#This Row],[Diabetes]]=$R$1,diabetesoriginal[[#This Row],[Skin Thickness]],NA())</f>
        <v>29</v>
      </c>
      <c r="S241" s="5" t="e">
        <f>IF(diabetesoriginal[[#This Row],[Diabetes]]=$S$1,diabetesoriginal[[#This Row],[Skin Thickness]],NA())</f>
        <v>#N/A</v>
      </c>
      <c r="U241" s="5">
        <f>IF(diabetesoriginal[[#This Row],[Diabetes]]=$U$1,diabetesoriginal[[#This Row],[Insulin]],NA())</f>
        <v>125</v>
      </c>
      <c r="V241" s="5" t="e">
        <f>IF(diabetesoriginal[[#This Row],[Diabetes]]=$S$1,diabetesoriginal[[#This Row],[Insulin]],NA())</f>
        <v>#N/A</v>
      </c>
    </row>
    <row r="242" spans="1:22" x14ac:dyDescent="0.25">
      <c r="A242" s="5">
        <v>1</v>
      </c>
      <c r="B242" s="5">
        <v>91</v>
      </c>
      <c r="C242" s="5">
        <v>64</v>
      </c>
      <c r="D242" s="5" t="s">
        <v>23</v>
      </c>
      <c r="E242" s="5">
        <v>24</v>
      </c>
      <c r="F242" s="5">
        <v>125</v>
      </c>
      <c r="G242" s="5">
        <v>29.2</v>
      </c>
      <c r="H242" s="5" t="s">
        <v>30</v>
      </c>
      <c r="I242" s="5">
        <v>0.192</v>
      </c>
      <c r="J242" s="5">
        <v>21</v>
      </c>
      <c r="K242" s="5" t="s">
        <v>35</v>
      </c>
      <c r="L242" s="15">
        <v>0</v>
      </c>
      <c r="M242" s="5" t="s">
        <v>57</v>
      </c>
      <c r="N242" s="5" t="s">
        <v>56</v>
      </c>
      <c r="O242" s="5" t="s">
        <v>31</v>
      </c>
      <c r="R242" s="5">
        <f>IF(diabetesoriginal[[#This Row],[Diabetes]]=$R$1,diabetesoriginal[[#This Row],[Skin Thickness]],NA())</f>
        <v>24</v>
      </c>
      <c r="S242" s="5" t="e">
        <f>IF(diabetesoriginal[[#This Row],[Diabetes]]=$S$1,diabetesoriginal[[#This Row],[Skin Thickness]],NA())</f>
        <v>#N/A</v>
      </c>
      <c r="U242" s="5">
        <f>IF(diabetesoriginal[[#This Row],[Diabetes]]=$U$1,diabetesoriginal[[#This Row],[Insulin]],NA())</f>
        <v>125</v>
      </c>
      <c r="V242" s="5" t="e">
        <f>IF(diabetesoriginal[[#This Row],[Diabetes]]=$S$1,diabetesoriginal[[#This Row],[Insulin]],NA())</f>
        <v>#N/A</v>
      </c>
    </row>
    <row r="243" spans="1:22" x14ac:dyDescent="0.25">
      <c r="A243" s="5">
        <v>4</v>
      </c>
      <c r="B243" s="5">
        <v>91</v>
      </c>
      <c r="C243" s="5">
        <v>70</v>
      </c>
      <c r="D243" s="5" t="s">
        <v>23</v>
      </c>
      <c r="E243" s="5">
        <v>32</v>
      </c>
      <c r="F243" s="5">
        <v>88</v>
      </c>
      <c r="G243" s="5">
        <v>33.1</v>
      </c>
      <c r="H243" s="5" t="s">
        <v>29</v>
      </c>
      <c r="I243" s="5">
        <v>0.44600000000000001</v>
      </c>
      <c r="J243" s="5">
        <v>22</v>
      </c>
      <c r="K243" s="5" t="s">
        <v>35</v>
      </c>
      <c r="L243" s="15">
        <v>0</v>
      </c>
      <c r="M243" s="5" t="s">
        <v>57</v>
      </c>
      <c r="N243" s="5" t="s">
        <v>56</v>
      </c>
      <c r="O243" s="5" t="s">
        <v>31</v>
      </c>
      <c r="R243" s="5">
        <f>IF(diabetesoriginal[[#This Row],[Diabetes]]=$R$1,diabetesoriginal[[#This Row],[Skin Thickness]],NA())</f>
        <v>32</v>
      </c>
      <c r="S243" s="5" t="e">
        <f>IF(diabetesoriginal[[#This Row],[Diabetes]]=$S$1,diabetesoriginal[[#This Row],[Skin Thickness]],NA())</f>
        <v>#N/A</v>
      </c>
      <c r="U243" s="5">
        <f>IF(diabetesoriginal[[#This Row],[Diabetes]]=$U$1,diabetesoriginal[[#This Row],[Insulin]],NA())</f>
        <v>88</v>
      </c>
      <c r="V243" s="5" t="e">
        <f>IF(diabetesoriginal[[#This Row],[Diabetes]]=$S$1,diabetesoriginal[[#This Row],[Insulin]],NA())</f>
        <v>#N/A</v>
      </c>
    </row>
    <row r="244" spans="1:22" x14ac:dyDescent="0.25">
      <c r="A244" s="5">
        <v>3</v>
      </c>
      <c r="B244" s="5">
        <v>139</v>
      </c>
      <c r="C244" s="5">
        <v>54</v>
      </c>
      <c r="D244" s="5" t="s">
        <v>23</v>
      </c>
      <c r="E244" s="5">
        <v>29</v>
      </c>
      <c r="F244" s="5">
        <v>125</v>
      </c>
      <c r="G244" s="5">
        <v>25.6</v>
      </c>
      <c r="H244" s="5" t="s">
        <v>30</v>
      </c>
      <c r="I244" s="5">
        <v>0.40200000000000002</v>
      </c>
      <c r="J244" s="5">
        <v>22</v>
      </c>
      <c r="K244" s="5" t="s">
        <v>35</v>
      </c>
      <c r="L244" s="15">
        <v>1</v>
      </c>
      <c r="M244" s="5" t="s">
        <v>57</v>
      </c>
      <c r="N244" s="5" t="s">
        <v>56</v>
      </c>
      <c r="O244" s="5" t="s">
        <v>31</v>
      </c>
      <c r="R244" s="5" t="e">
        <f>IF(diabetesoriginal[[#This Row],[Diabetes]]=$R$1,diabetesoriginal[[#This Row],[Skin Thickness]],NA())</f>
        <v>#N/A</v>
      </c>
      <c r="S244" s="5">
        <f>IF(diabetesoriginal[[#This Row],[Diabetes]]=$S$1,diabetesoriginal[[#This Row],[Skin Thickness]],NA())</f>
        <v>29</v>
      </c>
      <c r="U244" s="5" t="e">
        <f>IF(diabetesoriginal[[#This Row],[Diabetes]]=$U$1,diabetesoriginal[[#This Row],[Insulin]],NA())</f>
        <v>#N/A</v>
      </c>
      <c r="V244" s="5">
        <f>IF(diabetesoriginal[[#This Row],[Diabetes]]=$S$1,diabetesoriginal[[#This Row],[Insulin]],NA())</f>
        <v>125</v>
      </c>
    </row>
    <row r="245" spans="1:22" x14ac:dyDescent="0.25">
      <c r="A245" s="5">
        <v>6</v>
      </c>
      <c r="B245" s="5">
        <v>119</v>
      </c>
      <c r="C245" s="5">
        <v>50</v>
      </c>
      <c r="D245" s="5" t="s">
        <v>23</v>
      </c>
      <c r="E245" s="5">
        <v>22</v>
      </c>
      <c r="F245" s="5">
        <v>176</v>
      </c>
      <c r="G245" s="5">
        <v>27.1</v>
      </c>
      <c r="H245" s="5" t="s">
        <v>30</v>
      </c>
      <c r="I245" s="5">
        <v>1.3180000000000001</v>
      </c>
      <c r="J245" s="5">
        <v>33</v>
      </c>
      <c r="K245" s="5" t="s">
        <v>36</v>
      </c>
      <c r="L245" s="15">
        <v>1</v>
      </c>
      <c r="M245" s="5" t="s">
        <v>57</v>
      </c>
      <c r="N245" s="5" t="s">
        <v>58</v>
      </c>
      <c r="O245" s="5" t="s">
        <v>59</v>
      </c>
      <c r="R245" s="5" t="e">
        <f>IF(diabetesoriginal[[#This Row],[Diabetes]]=$R$1,diabetesoriginal[[#This Row],[Skin Thickness]],NA())</f>
        <v>#N/A</v>
      </c>
      <c r="S245" s="5">
        <f>IF(diabetesoriginal[[#This Row],[Diabetes]]=$S$1,diabetesoriginal[[#This Row],[Skin Thickness]],NA())</f>
        <v>22</v>
      </c>
      <c r="U245" s="5" t="e">
        <f>IF(diabetesoriginal[[#This Row],[Diabetes]]=$U$1,diabetesoriginal[[#This Row],[Insulin]],NA())</f>
        <v>#N/A</v>
      </c>
      <c r="V245" s="5">
        <f>IF(diabetesoriginal[[#This Row],[Diabetes]]=$S$1,diabetesoriginal[[#This Row],[Insulin]],NA())</f>
        <v>176</v>
      </c>
    </row>
    <row r="246" spans="1:22" x14ac:dyDescent="0.25">
      <c r="A246" s="5">
        <v>2</v>
      </c>
      <c r="B246" s="5">
        <v>146</v>
      </c>
      <c r="C246" s="5">
        <v>76</v>
      </c>
      <c r="D246" s="5" t="s">
        <v>23</v>
      </c>
      <c r="E246" s="5">
        <v>35</v>
      </c>
      <c r="F246" s="5">
        <v>194</v>
      </c>
      <c r="G246" s="5">
        <v>38.200000000000003</v>
      </c>
      <c r="H246" s="5" t="s">
        <v>29</v>
      </c>
      <c r="I246" s="5">
        <v>0.32900000000000001</v>
      </c>
      <c r="J246" s="5">
        <v>29</v>
      </c>
      <c r="K246" s="5" t="s">
        <v>35</v>
      </c>
      <c r="L246" s="15">
        <v>0</v>
      </c>
      <c r="M246" s="5" t="s">
        <v>22</v>
      </c>
      <c r="N246" s="5" t="s">
        <v>56</v>
      </c>
      <c r="O246" s="5" t="s">
        <v>59</v>
      </c>
      <c r="R246" s="5">
        <f>IF(diabetesoriginal[[#This Row],[Diabetes]]=$R$1,diabetesoriginal[[#This Row],[Skin Thickness]],NA())</f>
        <v>35</v>
      </c>
      <c r="S246" s="5" t="e">
        <f>IF(diabetesoriginal[[#This Row],[Diabetes]]=$S$1,diabetesoriginal[[#This Row],[Skin Thickness]],NA())</f>
        <v>#N/A</v>
      </c>
      <c r="U246" s="5">
        <f>IF(diabetesoriginal[[#This Row],[Diabetes]]=$U$1,diabetesoriginal[[#This Row],[Insulin]],NA())</f>
        <v>194</v>
      </c>
      <c r="V246" s="5" t="e">
        <f>IF(diabetesoriginal[[#This Row],[Diabetes]]=$S$1,diabetesoriginal[[#This Row],[Insulin]],NA())</f>
        <v>#N/A</v>
      </c>
    </row>
    <row r="247" spans="1:22" x14ac:dyDescent="0.25">
      <c r="A247" s="5">
        <v>9</v>
      </c>
      <c r="B247" s="5">
        <v>184</v>
      </c>
      <c r="C247" s="5">
        <v>85</v>
      </c>
      <c r="D247" s="5" t="s">
        <v>25</v>
      </c>
      <c r="E247" s="5">
        <v>15</v>
      </c>
      <c r="F247" s="5">
        <v>125</v>
      </c>
      <c r="G247" s="5">
        <v>30</v>
      </c>
      <c r="H247" s="5" t="s">
        <v>29</v>
      </c>
      <c r="I247" s="5">
        <v>1.2130000000000001</v>
      </c>
      <c r="J247" s="5">
        <v>49</v>
      </c>
      <c r="K247" s="5" t="s">
        <v>37</v>
      </c>
      <c r="L247" s="15">
        <v>1</v>
      </c>
      <c r="M247" s="5" t="s">
        <v>22</v>
      </c>
      <c r="N247" s="5" t="s">
        <v>58</v>
      </c>
      <c r="O247" s="5" t="s">
        <v>31</v>
      </c>
      <c r="R247" s="5" t="e">
        <f>IF(diabetesoriginal[[#This Row],[Diabetes]]=$R$1,diabetesoriginal[[#This Row],[Skin Thickness]],NA())</f>
        <v>#N/A</v>
      </c>
      <c r="S247" s="5">
        <f>IF(diabetesoriginal[[#This Row],[Diabetes]]=$S$1,diabetesoriginal[[#This Row],[Skin Thickness]],NA())</f>
        <v>15</v>
      </c>
      <c r="U247" s="5" t="e">
        <f>IF(diabetesoriginal[[#This Row],[Diabetes]]=$U$1,diabetesoriginal[[#This Row],[Insulin]],NA())</f>
        <v>#N/A</v>
      </c>
      <c r="V247" s="5">
        <f>IF(diabetesoriginal[[#This Row],[Diabetes]]=$S$1,diabetesoriginal[[#This Row],[Insulin]],NA())</f>
        <v>125</v>
      </c>
    </row>
    <row r="248" spans="1:22" x14ac:dyDescent="0.25">
      <c r="A248" s="5">
        <v>10</v>
      </c>
      <c r="B248" s="5">
        <v>122</v>
      </c>
      <c r="C248" s="5">
        <v>68</v>
      </c>
      <c r="D248" s="5" t="s">
        <v>23</v>
      </c>
      <c r="E248" s="5">
        <v>29</v>
      </c>
      <c r="F248" s="5">
        <v>125</v>
      </c>
      <c r="G248" s="5">
        <v>31.2</v>
      </c>
      <c r="H248" s="5" t="s">
        <v>29</v>
      </c>
      <c r="I248" s="5">
        <v>0.25800000000000001</v>
      </c>
      <c r="J248" s="5">
        <v>41</v>
      </c>
      <c r="K248" s="5" t="s">
        <v>37</v>
      </c>
      <c r="L248" s="15">
        <v>0</v>
      </c>
      <c r="M248" s="5" t="s">
        <v>57</v>
      </c>
      <c r="N248" s="5" t="s">
        <v>56</v>
      </c>
      <c r="O248" s="5" t="s">
        <v>31</v>
      </c>
      <c r="R248" s="5">
        <f>IF(diabetesoriginal[[#This Row],[Diabetes]]=$R$1,diabetesoriginal[[#This Row],[Skin Thickness]],NA())</f>
        <v>29</v>
      </c>
      <c r="S248" s="5" t="e">
        <f>IF(diabetesoriginal[[#This Row],[Diabetes]]=$S$1,diabetesoriginal[[#This Row],[Skin Thickness]],NA())</f>
        <v>#N/A</v>
      </c>
      <c r="U248" s="5">
        <f>IF(diabetesoriginal[[#This Row],[Diabetes]]=$U$1,diabetesoriginal[[#This Row],[Insulin]],NA())</f>
        <v>125</v>
      </c>
      <c r="V248" s="5" t="e">
        <f>IF(diabetesoriginal[[#This Row],[Diabetes]]=$S$1,diabetesoriginal[[#This Row],[Insulin]],NA())</f>
        <v>#N/A</v>
      </c>
    </row>
    <row r="249" spans="1:22" x14ac:dyDescent="0.25">
      <c r="A249" s="5">
        <v>0</v>
      </c>
      <c r="B249" s="5">
        <v>165</v>
      </c>
      <c r="C249" s="5">
        <v>90</v>
      </c>
      <c r="D249" s="5" t="s">
        <v>24</v>
      </c>
      <c r="E249" s="5">
        <v>33</v>
      </c>
      <c r="F249" s="5">
        <v>680</v>
      </c>
      <c r="G249" s="5">
        <v>52.3</v>
      </c>
      <c r="H249" s="5" t="s">
        <v>32</v>
      </c>
      <c r="I249" s="5">
        <v>0.42699999999999999</v>
      </c>
      <c r="J249" s="5">
        <v>23</v>
      </c>
      <c r="K249" s="5" t="s">
        <v>35</v>
      </c>
      <c r="L249" s="15">
        <v>0</v>
      </c>
      <c r="M249" s="5" t="s">
        <v>22</v>
      </c>
      <c r="N249" s="5" t="s">
        <v>56</v>
      </c>
      <c r="O249" s="5" t="s">
        <v>59</v>
      </c>
      <c r="R249" s="5">
        <f>IF(diabetesoriginal[[#This Row],[Diabetes]]=$R$1,diabetesoriginal[[#This Row],[Skin Thickness]],NA())</f>
        <v>33</v>
      </c>
      <c r="S249" s="5" t="e">
        <f>IF(diabetesoriginal[[#This Row],[Diabetes]]=$S$1,diabetesoriginal[[#This Row],[Skin Thickness]],NA())</f>
        <v>#N/A</v>
      </c>
      <c r="U249" s="5">
        <f>IF(diabetesoriginal[[#This Row],[Diabetes]]=$U$1,diabetesoriginal[[#This Row],[Insulin]],NA())</f>
        <v>680</v>
      </c>
      <c r="V249" s="5" t="e">
        <f>IF(diabetesoriginal[[#This Row],[Diabetes]]=$S$1,diabetesoriginal[[#This Row],[Insulin]],NA())</f>
        <v>#N/A</v>
      </c>
    </row>
    <row r="250" spans="1:22" x14ac:dyDescent="0.25">
      <c r="A250" s="5">
        <v>9</v>
      </c>
      <c r="B250" s="5">
        <v>124</v>
      </c>
      <c r="C250" s="5">
        <v>70</v>
      </c>
      <c r="D250" s="5" t="s">
        <v>23</v>
      </c>
      <c r="E250" s="5">
        <v>33</v>
      </c>
      <c r="F250" s="5">
        <v>402</v>
      </c>
      <c r="G250" s="5">
        <v>35.4</v>
      </c>
      <c r="H250" s="5" t="s">
        <v>29</v>
      </c>
      <c r="I250" s="5">
        <v>0.28199999999999997</v>
      </c>
      <c r="J250" s="5">
        <v>34</v>
      </c>
      <c r="K250" s="5" t="s">
        <v>36</v>
      </c>
      <c r="L250" s="15">
        <v>0</v>
      </c>
      <c r="M250" s="5" t="s">
        <v>57</v>
      </c>
      <c r="N250" s="5" t="s">
        <v>56</v>
      </c>
      <c r="O250" s="5" t="s">
        <v>59</v>
      </c>
      <c r="R250" s="5">
        <f>IF(diabetesoriginal[[#This Row],[Diabetes]]=$R$1,diabetesoriginal[[#This Row],[Skin Thickness]],NA())</f>
        <v>33</v>
      </c>
      <c r="S250" s="5" t="e">
        <f>IF(diabetesoriginal[[#This Row],[Diabetes]]=$S$1,diabetesoriginal[[#This Row],[Skin Thickness]],NA())</f>
        <v>#N/A</v>
      </c>
      <c r="U250" s="5">
        <f>IF(diabetesoriginal[[#This Row],[Diabetes]]=$U$1,diabetesoriginal[[#This Row],[Insulin]],NA())</f>
        <v>402</v>
      </c>
      <c r="V250" s="5" t="e">
        <f>IF(diabetesoriginal[[#This Row],[Diabetes]]=$S$1,diabetesoriginal[[#This Row],[Insulin]],NA())</f>
        <v>#N/A</v>
      </c>
    </row>
    <row r="251" spans="1:22" x14ac:dyDescent="0.25">
      <c r="A251" s="5">
        <v>1</v>
      </c>
      <c r="B251" s="5">
        <v>111</v>
      </c>
      <c r="C251" s="5">
        <v>86</v>
      </c>
      <c r="D251" s="5" t="s">
        <v>25</v>
      </c>
      <c r="E251" s="5">
        <v>19</v>
      </c>
      <c r="F251" s="5">
        <v>125</v>
      </c>
      <c r="G251" s="5">
        <v>30.1</v>
      </c>
      <c r="H251" s="5" t="s">
        <v>29</v>
      </c>
      <c r="I251" s="5">
        <v>0.14299999999999999</v>
      </c>
      <c r="J251" s="5">
        <v>23</v>
      </c>
      <c r="K251" s="5" t="s">
        <v>35</v>
      </c>
      <c r="L251" s="15">
        <v>0</v>
      </c>
      <c r="M251" s="5" t="s">
        <v>57</v>
      </c>
      <c r="N251" s="5" t="s">
        <v>58</v>
      </c>
      <c r="O251" s="5" t="s">
        <v>31</v>
      </c>
      <c r="R251" s="5">
        <f>IF(diabetesoriginal[[#This Row],[Diabetes]]=$R$1,diabetesoriginal[[#This Row],[Skin Thickness]],NA())</f>
        <v>19</v>
      </c>
      <c r="S251" s="5" t="e">
        <f>IF(diabetesoriginal[[#This Row],[Diabetes]]=$S$1,diabetesoriginal[[#This Row],[Skin Thickness]],NA())</f>
        <v>#N/A</v>
      </c>
      <c r="U251" s="5">
        <f>IF(diabetesoriginal[[#This Row],[Diabetes]]=$U$1,diabetesoriginal[[#This Row],[Insulin]],NA())</f>
        <v>125</v>
      </c>
      <c r="V251" s="5" t="e">
        <f>IF(diabetesoriginal[[#This Row],[Diabetes]]=$S$1,diabetesoriginal[[#This Row],[Insulin]],NA())</f>
        <v>#N/A</v>
      </c>
    </row>
    <row r="252" spans="1:22" x14ac:dyDescent="0.25">
      <c r="A252" s="5">
        <v>9</v>
      </c>
      <c r="B252" s="5">
        <v>106</v>
      </c>
      <c r="C252" s="5">
        <v>52</v>
      </c>
      <c r="D252" s="5" t="s">
        <v>23</v>
      </c>
      <c r="E252" s="5">
        <v>29</v>
      </c>
      <c r="F252" s="5">
        <v>125</v>
      </c>
      <c r="G252" s="5">
        <v>31.2</v>
      </c>
      <c r="H252" s="5" t="s">
        <v>29</v>
      </c>
      <c r="I252" s="5">
        <v>0.38</v>
      </c>
      <c r="J252" s="5">
        <v>42</v>
      </c>
      <c r="K252" s="5" t="s">
        <v>37</v>
      </c>
      <c r="L252" s="15">
        <v>0</v>
      </c>
      <c r="M252" s="5" t="s">
        <v>57</v>
      </c>
      <c r="N252" s="5" t="s">
        <v>56</v>
      </c>
      <c r="O252" s="5" t="s">
        <v>31</v>
      </c>
      <c r="R252" s="5">
        <f>IF(diabetesoriginal[[#This Row],[Diabetes]]=$R$1,diabetesoriginal[[#This Row],[Skin Thickness]],NA())</f>
        <v>29</v>
      </c>
      <c r="S252" s="5" t="e">
        <f>IF(diabetesoriginal[[#This Row],[Diabetes]]=$S$1,diabetesoriginal[[#This Row],[Skin Thickness]],NA())</f>
        <v>#N/A</v>
      </c>
      <c r="U252" s="5">
        <f>IF(diabetesoriginal[[#This Row],[Diabetes]]=$U$1,diabetesoriginal[[#This Row],[Insulin]],NA())</f>
        <v>125</v>
      </c>
      <c r="V252" s="5" t="e">
        <f>IF(diabetesoriginal[[#This Row],[Diabetes]]=$S$1,diabetesoriginal[[#This Row],[Insulin]],NA())</f>
        <v>#N/A</v>
      </c>
    </row>
    <row r="253" spans="1:22" x14ac:dyDescent="0.25">
      <c r="A253" s="5">
        <v>2</v>
      </c>
      <c r="B253" s="5">
        <v>129</v>
      </c>
      <c r="C253" s="5">
        <v>84</v>
      </c>
      <c r="D253" s="5" t="s">
        <v>25</v>
      </c>
      <c r="E253" s="5">
        <v>29</v>
      </c>
      <c r="F253" s="5">
        <v>125</v>
      </c>
      <c r="G253" s="5">
        <v>28</v>
      </c>
      <c r="H253" s="5" t="s">
        <v>30</v>
      </c>
      <c r="I253" s="5">
        <v>0.28399999999999997</v>
      </c>
      <c r="J253" s="5">
        <v>27</v>
      </c>
      <c r="K253" s="5" t="s">
        <v>35</v>
      </c>
      <c r="L253" s="15">
        <v>0</v>
      </c>
      <c r="M253" s="5" t="s">
        <v>57</v>
      </c>
      <c r="N253" s="5" t="s">
        <v>56</v>
      </c>
      <c r="O253" s="5" t="s">
        <v>31</v>
      </c>
      <c r="R253" s="5">
        <f>IF(diabetesoriginal[[#This Row],[Diabetes]]=$R$1,diabetesoriginal[[#This Row],[Skin Thickness]],NA())</f>
        <v>29</v>
      </c>
      <c r="S253" s="5" t="e">
        <f>IF(diabetesoriginal[[#This Row],[Diabetes]]=$S$1,diabetesoriginal[[#This Row],[Skin Thickness]],NA())</f>
        <v>#N/A</v>
      </c>
      <c r="U253" s="5">
        <f>IF(diabetesoriginal[[#This Row],[Diabetes]]=$U$1,diabetesoriginal[[#This Row],[Insulin]],NA())</f>
        <v>125</v>
      </c>
      <c r="V253" s="5" t="e">
        <f>IF(diabetesoriginal[[#This Row],[Diabetes]]=$S$1,diabetesoriginal[[#This Row],[Insulin]],NA())</f>
        <v>#N/A</v>
      </c>
    </row>
    <row r="254" spans="1:22" x14ac:dyDescent="0.25">
      <c r="A254" s="5">
        <v>2</v>
      </c>
      <c r="B254" s="5">
        <v>90</v>
      </c>
      <c r="C254" s="5">
        <v>80</v>
      </c>
      <c r="D254" s="5" t="s">
        <v>25</v>
      </c>
      <c r="E254" s="5">
        <v>14</v>
      </c>
      <c r="F254" s="5">
        <v>55</v>
      </c>
      <c r="G254" s="5">
        <v>24.4</v>
      </c>
      <c r="H254" s="5" t="s">
        <v>31</v>
      </c>
      <c r="I254" s="5">
        <v>0.249</v>
      </c>
      <c r="J254" s="5">
        <v>24</v>
      </c>
      <c r="K254" s="5" t="s">
        <v>35</v>
      </c>
      <c r="L254" s="15">
        <v>0</v>
      </c>
      <c r="M254" s="5" t="s">
        <v>57</v>
      </c>
      <c r="N254" s="5" t="s">
        <v>58</v>
      </c>
      <c r="O254" s="5" t="s">
        <v>31</v>
      </c>
      <c r="R254" s="5">
        <f>IF(diabetesoriginal[[#This Row],[Diabetes]]=$R$1,diabetesoriginal[[#This Row],[Skin Thickness]],NA())</f>
        <v>14</v>
      </c>
      <c r="S254" s="5" t="e">
        <f>IF(diabetesoriginal[[#This Row],[Diabetes]]=$S$1,diabetesoriginal[[#This Row],[Skin Thickness]],NA())</f>
        <v>#N/A</v>
      </c>
      <c r="U254" s="5">
        <f>IF(diabetesoriginal[[#This Row],[Diabetes]]=$U$1,diabetesoriginal[[#This Row],[Insulin]],NA())</f>
        <v>55</v>
      </c>
      <c r="V254" s="5" t="e">
        <f>IF(diabetesoriginal[[#This Row],[Diabetes]]=$S$1,diabetesoriginal[[#This Row],[Insulin]],NA())</f>
        <v>#N/A</v>
      </c>
    </row>
    <row r="255" spans="1:22" x14ac:dyDescent="0.25">
      <c r="A255" s="5">
        <v>0</v>
      </c>
      <c r="B255" s="5">
        <v>86</v>
      </c>
      <c r="C255" s="5">
        <v>68</v>
      </c>
      <c r="D255" s="5" t="s">
        <v>23</v>
      </c>
      <c r="E255" s="5">
        <v>32</v>
      </c>
      <c r="F255" s="5">
        <v>125</v>
      </c>
      <c r="G255" s="5">
        <v>35.799999999999997</v>
      </c>
      <c r="H255" s="5" t="s">
        <v>29</v>
      </c>
      <c r="I255" s="5">
        <v>0.23799999999999999</v>
      </c>
      <c r="J255" s="5">
        <v>25</v>
      </c>
      <c r="K255" s="5" t="s">
        <v>35</v>
      </c>
      <c r="L255" s="15">
        <v>0</v>
      </c>
      <c r="M255" s="5" t="s">
        <v>57</v>
      </c>
      <c r="N255" s="5" t="s">
        <v>56</v>
      </c>
      <c r="O255" s="5" t="s">
        <v>31</v>
      </c>
      <c r="R255" s="5">
        <f>IF(diabetesoriginal[[#This Row],[Diabetes]]=$R$1,diabetesoriginal[[#This Row],[Skin Thickness]],NA())</f>
        <v>32</v>
      </c>
      <c r="S255" s="5" t="e">
        <f>IF(diabetesoriginal[[#This Row],[Diabetes]]=$S$1,diabetesoriginal[[#This Row],[Skin Thickness]],NA())</f>
        <v>#N/A</v>
      </c>
      <c r="U255" s="5">
        <f>IF(diabetesoriginal[[#This Row],[Diabetes]]=$U$1,diabetesoriginal[[#This Row],[Insulin]],NA())</f>
        <v>125</v>
      </c>
      <c r="V255" s="5" t="e">
        <f>IF(diabetesoriginal[[#This Row],[Diabetes]]=$S$1,diabetesoriginal[[#This Row],[Insulin]],NA())</f>
        <v>#N/A</v>
      </c>
    </row>
    <row r="256" spans="1:22" x14ac:dyDescent="0.25">
      <c r="A256" s="5">
        <v>12</v>
      </c>
      <c r="B256" s="5">
        <v>92</v>
      </c>
      <c r="C256" s="5">
        <v>62</v>
      </c>
      <c r="D256" s="5" t="s">
        <v>23</v>
      </c>
      <c r="E256" s="5">
        <v>7</v>
      </c>
      <c r="F256" s="5">
        <v>258</v>
      </c>
      <c r="G256" s="5">
        <v>27.6</v>
      </c>
      <c r="H256" s="5" t="s">
        <v>30</v>
      </c>
      <c r="I256" s="5">
        <v>0.92600000000000005</v>
      </c>
      <c r="J256" s="5">
        <v>44</v>
      </c>
      <c r="K256" s="5" t="s">
        <v>37</v>
      </c>
      <c r="L256" s="15">
        <v>1</v>
      </c>
      <c r="M256" s="5" t="s">
        <v>57</v>
      </c>
      <c r="N256" s="5" t="s">
        <v>58</v>
      </c>
      <c r="O256" s="5" t="s">
        <v>59</v>
      </c>
      <c r="R256" s="5" t="e">
        <f>IF(diabetesoriginal[[#This Row],[Diabetes]]=$R$1,diabetesoriginal[[#This Row],[Skin Thickness]],NA())</f>
        <v>#N/A</v>
      </c>
      <c r="S256" s="5">
        <f>IF(diabetesoriginal[[#This Row],[Diabetes]]=$S$1,diabetesoriginal[[#This Row],[Skin Thickness]],NA())</f>
        <v>7</v>
      </c>
      <c r="U256" s="5" t="e">
        <f>IF(diabetesoriginal[[#This Row],[Diabetes]]=$U$1,diabetesoriginal[[#This Row],[Insulin]],NA())</f>
        <v>#N/A</v>
      </c>
      <c r="V256" s="5">
        <f>IF(diabetesoriginal[[#This Row],[Diabetes]]=$S$1,diabetesoriginal[[#This Row],[Insulin]],NA())</f>
        <v>258</v>
      </c>
    </row>
    <row r="257" spans="1:22" x14ac:dyDescent="0.25">
      <c r="A257" s="5">
        <v>1</v>
      </c>
      <c r="B257" s="5">
        <v>113</v>
      </c>
      <c r="C257" s="5">
        <v>64</v>
      </c>
      <c r="D257" s="5" t="s">
        <v>23</v>
      </c>
      <c r="E257" s="5">
        <v>35</v>
      </c>
      <c r="F257" s="5">
        <v>125</v>
      </c>
      <c r="G257" s="5">
        <v>33.6</v>
      </c>
      <c r="H257" s="5" t="s">
        <v>29</v>
      </c>
      <c r="I257" s="5">
        <v>0.54300000000000004</v>
      </c>
      <c r="J257" s="5">
        <v>21</v>
      </c>
      <c r="K257" s="5" t="s">
        <v>35</v>
      </c>
      <c r="L257" s="15">
        <v>1</v>
      </c>
      <c r="M257" s="5" t="s">
        <v>57</v>
      </c>
      <c r="N257" s="5" t="s">
        <v>56</v>
      </c>
      <c r="O257" s="5" t="s">
        <v>31</v>
      </c>
      <c r="R257" s="5" t="e">
        <f>IF(diabetesoriginal[[#This Row],[Diabetes]]=$R$1,diabetesoriginal[[#This Row],[Skin Thickness]],NA())</f>
        <v>#N/A</v>
      </c>
      <c r="S257" s="5">
        <f>IF(diabetesoriginal[[#This Row],[Diabetes]]=$S$1,diabetesoriginal[[#This Row],[Skin Thickness]],NA())</f>
        <v>35</v>
      </c>
      <c r="U257" s="5" t="e">
        <f>IF(diabetesoriginal[[#This Row],[Diabetes]]=$U$1,diabetesoriginal[[#This Row],[Insulin]],NA())</f>
        <v>#N/A</v>
      </c>
      <c r="V257" s="5">
        <f>IF(diabetesoriginal[[#This Row],[Diabetes]]=$S$1,diabetesoriginal[[#This Row],[Insulin]],NA())</f>
        <v>125</v>
      </c>
    </row>
    <row r="258" spans="1:22" x14ac:dyDescent="0.25">
      <c r="A258" s="5">
        <v>3</v>
      </c>
      <c r="B258" s="5">
        <v>111</v>
      </c>
      <c r="C258" s="5">
        <v>56</v>
      </c>
      <c r="D258" s="5" t="s">
        <v>23</v>
      </c>
      <c r="E258" s="5">
        <v>39</v>
      </c>
      <c r="F258" s="5">
        <v>125</v>
      </c>
      <c r="G258" s="5">
        <v>30.1</v>
      </c>
      <c r="H258" s="5" t="s">
        <v>29</v>
      </c>
      <c r="I258" s="5">
        <v>0.55700000000000005</v>
      </c>
      <c r="J258" s="5">
        <v>30</v>
      </c>
      <c r="K258" s="5" t="s">
        <v>36</v>
      </c>
      <c r="L258" s="15">
        <v>0</v>
      </c>
      <c r="M258" s="5" t="s">
        <v>57</v>
      </c>
      <c r="N258" s="5" t="s">
        <v>56</v>
      </c>
      <c r="O258" s="5" t="s">
        <v>31</v>
      </c>
      <c r="R258" s="5">
        <f>IF(diabetesoriginal[[#This Row],[Diabetes]]=$R$1,diabetesoriginal[[#This Row],[Skin Thickness]],NA())</f>
        <v>39</v>
      </c>
      <c r="S258" s="5" t="e">
        <f>IF(diabetesoriginal[[#This Row],[Diabetes]]=$S$1,diabetesoriginal[[#This Row],[Skin Thickness]],NA())</f>
        <v>#N/A</v>
      </c>
      <c r="U258" s="5">
        <f>IF(diabetesoriginal[[#This Row],[Diabetes]]=$U$1,diabetesoriginal[[#This Row],[Insulin]],NA())</f>
        <v>125</v>
      </c>
      <c r="V258" s="5" t="e">
        <f>IF(diabetesoriginal[[#This Row],[Diabetes]]=$S$1,diabetesoriginal[[#This Row],[Insulin]],NA())</f>
        <v>#N/A</v>
      </c>
    </row>
    <row r="259" spans="1:22" x14ac:dyDescent="0.25">
      <c r="A259" s="5">
        <v>2</v>
      </c>
      <c r="B259" s="5">
        <v>114</v>
      </c>
      <c r="C259" s="5">
        <v>68</v>
      </c>
      <c r="D259" s="5" t="s">
        <v>23</v>
      </c>
      <c r="E259" s="5">
        <v>22</v>
      </c>
      <c r="F259" s="5">
        <v>125</v>
      </c>
      <c r="G259" s="5">
        <v>28.7</v>
      </c>
      <c r="H259" s="5" t="s">
        <v>30</v>
      </c>
      <c r="I259" s="5">
        <v>9.1999999999999998E-2</v>
      </c>
      <c r="J259" s="5">
        <v>25</v>
      </c>
      <c r="K259" s="5" t="s">
        <v>35</v>
      </c>
      <c r="L259" s="15">
        <v>0</v>
      </c>
      <c r="M259" s="5" t="s">
        <v>57</v>
      </c>
      <c r="N259" s="5" t="s">
        <v>58</v>
      </c>
      <c r="O259" s="5" t="s">
        <v>31</v>
      </c>
      <c r="R259" s="5">
        <f>IF(diabetesoriginal[[#This Row],[Diabetes]]=$R$1,diabetesoriginal[[#This Row],[Skin Thickness]],NA())</f>
        <v>22</v>
      </c>
      <c r="S259" s="5" t="e">
        <f>IF(diabetesoriginal[[#This Row],[Diabetes]]=$S$1,diabetesoriginal[[#This Row],[Skin Thickness]],NA())</f>
        <v>#N/A</v>
      </c>
      <c r="U259" s="5">
        <f>IF(diabetesoriginal[[#This Row],[Diabetes]]=$U$1,diabetesoriginal[[#This Row],[Insulin]],NA())</f>
        <v>125</v>
      </c>
      <c r="V259" s="5" t="e">
        <f>IF(diabetesoriginal[[#This Row],[Diabetes]]=$S$1,diabetesoriginal[[#This Row],[Insulin]],NA())</f>
        <v>#N/A</v>
      </c>
    </row>
    <row r="260" spans="1:22" x14ac:dyDescent="0.25">
      <c r="A260" s="5">
        <v>1</v>
      </c>
      <c r="B260" s="5">
        <v>193</v>
      </c>
      <c r="C260" s="5">
        <v>50</v>
      </c>
      <c r="D260" s="5" t="s">
        <v>23</v>
      </c>
      <c r="E260" s="5">
        <v>16</v>
      </c>
      <c r="F260" s="5">
        <v>375</v>
      </c>
      <c r="G260" s="5">
        <v>25.9</v>
      </c>
      <c r="H260" s="5" t="s">
        <v>30</v>
      </c>
      <c r="I260" s="5">
        <v>0.65500000000000003</v>
      </c>
      <c r="J260" s="5">
        <v>24</v>
      </c>
      <c r="K260" s="5" t="s">
        <v>35</v>
      </c>
      <c r="L260" s="15">
        <v>0</v>
      </c>
      <c r="M260" s="5" t="s">
        <v>22</v>
      </c>
      <c r="N260" s="5" t="s">
        <v>58</v>
      </c>
      <c r="O260" s="5" t="s">
        <v>59</v>
      </c>
      <c r="R260" s="5">
        <f>IF(diabetesoriginal[[#This Row],[Diabetes]]=$R$1,diabetesoriginal[[#This Row],[Skin Thickness]],NA())</f>
        <v>16</v>
      </c>
      <c r="S260" s="5" t="e">
        <f>IF(diabetesoriginal[[#This Row],[Diabetes]]=$S$1,diabetesoriginal[[#This Row],[Skin Thickness]],NA())</f>
        <v>#N/A</v>
      </c>
      <c r="U260" s="5">
        <f>IF(diabetesoriginal[[#This Row],[Diabetes]]=$U$1,diabetesoriginal[[#This Row],[Insulin]],NA())</f>
        <v>375</v>
      </c>
      <c r="V260" s="5" t="e">
        <f>IF(diabetesoriginal[[#This Row],[Diabetes]]=$S$1,diabetesoriginal[[#This Row],[Insulin]],NA())</f>
        <v>#N/A</v>
      </c>
    </row>
    <row r="261" spans="1:22" x14ac:dyDescent="0.25">
      <c r="A261" s="5">
        <v>11</v>
      </c>
      <c r="B261" s="5">
        <v>155</v>
      </c>
      <c r="C261" s="5">
        <v>76</v>
      </c>
      <c r="D261" s="5" t="s">
        <v>23</v>
      </c>
      <c r="E261" s="5">
        <v>28</v>
      </c>
      <c r="F261" s="5">
        <v>150</v>
      </c>
      <c r="G261" s="5">
        <v>33.299999999999997</v>
      </c>
      <c r="H261" s="5" t="s">
        <v>29</v>
      </c>
      <c r="I261" s="5">
        <v>1.353</v>
      </c>
      <c r="J261" s="5">
        <v>51</v>
      </c>
      <c r="K261" s="5" t="s">
        <v>38</v>
      </c>
      <c r="L261" s="15">
        <v>1</v>
      </c>
      <c r="M261" s="5" t="s">
        <v>22</v>
      </c>
      <c r="N261" s="5" t="s">
        <v>56</v>
      </c>
      <c r="O261" s="5" t="s">
        <v>31</v>
      </c>
      <c r="R261" s="5" t="e">
        <f>IF(diabetesoriginal[[#This Row],[Diabetes]]=$R$1,diabetesoriginal[[#This Row],[Skin Thickness]],NA())</f>
        <v>#N/A</v>
      </c>
      <c r="S261" s="5">
        <f>IF(diabetesoriginal[[#This Row],[Diabetes]]=$S$1,diabetesoriginal[[#This Row],[Skin Thickness]],NA())</f>
        <v>28</v>
      </c>
      <c r="U261" s="5" t="e">
        <f>IF(diabetesoriginal[[#This Row],[Diabetes]]=$U$1,diabetesoriginal[[#This Row],[Insulin]],NA())</f>
        <v>#N/A</v>
      </c>
      <c r="V261" s="5">
        <f>IF(diabetesoriginal[[#This Row],[Diabetes]]=$S$1,diabetesoriginal[[#This Row],[Insulin]],NA())</f>
        <v>150</v>
      </c>
    </row>
    <row r="262" spans="1:22" x14ac:dyDescent="0.25">
      <c r="A262" s="5">
        <v>3</v>
      </c>
      <c r="B262" s="5">
        <v>191</v>
      </c>
      <c r="C262" s="5">
        <v>68</v>
      </c>
      <c r="D262" s="5" t="s">
        <v>23</v>
      </c>
      <c r="E262" s="5">
        <v>15</v>
      </c>
      <c r="F262" s="5">
        <v>130</v>
      </c>
      <c r="G262" s="5">
        <v>30.9</v>
      </c>
      <c r="H262" s="5" t="s">
        <v>29</v>
      </c>
      <c r="I262" s="5">
        <v>0.29899999999999999</v>
      </c>
      <c r="J262" s="5">
        <v>34</v>
      </c>
      <c r="K262" s="5" t="s">
        <v>36</v>
      </c>
      <c r="L262" s="15">
        <v>0</v>
      </c>
      <c r="M262" s="5" t="s">
        <v>22</v>
      </c>
      <c r="N262" s="5" t="s">
        <v>58</v>
      </c>
      <c r="O262" s="5" t="s">
        <v>31</v>
      </c>
      <c r="R262" s="5">
        <f>IF(diabetesoriginal[[#This Row],[Diabetes]]=$R$1,diabetesoriginal[[#This Row],[Skin Thickness]],NA())</f>
        <v>15</v>
      </c>
      <c r="S262" s="5" t="e">
        <f>IF(diabetesoriginal[[#This Row],[Diabetes]]=$S$1,diabetesoriginal[[#This Row],[Skin Thickness]],NA())</f>
        <v>#N/A</v>
      </c>
      <c r="U262" s="5">
        <f>IF(diabetesoriginal[[#This Row],[Diabetes]]=$U$1,diabetesoriginal[[#This Row],[Insulin]],NA())</f>
        <v>130</v>
      </c>
      <c r="V262" s="5" t="e">
        <f>IF(diabetesoriginal[[#This Row],[Diabetes]]=$S$1,diabetesoriginal[[#This Row],[Insulin]],NA())</f>
        <v>#N/A</v>
      </c>
    </row>
    <row r="263" spans="1:22" x14ac:dyDescent="0.25">
      <c r="A263" s="5">
        <v>3</v>
      </c>
      <c r="B263" s="5">
        <v>141</v>
      </c>
      <c r="C263" s="5">
        <v>72</v>
      </c>
      <c r="D263" s="5" t="s">
        <v>23</v>
      </c>
      <c r="E263" s="5">
        <v>29</v>
      </c>
      <c r="F263" s="5">
        <v>125</v>
      </c>
      <c r="G263" s="5">
        <v>30</v>
      </c>
      <c r="H263" s="5" t="s">
        <v>29</v>
      </c>
      <c r="I263" s="5">
        <v>0.76100000000000001</v>
      </c>
      <c r="J263" s="5">
        <v>27</v>
      </c>
      <c r="K263" s="5" t="s">
        <v>35</v>
      </c>
      <c r="L263" s="15">
        <v>1</v>
      </c>
      <c r="M263" s="5" t="s">
        <v>22</v>
      </c>
      <c r="N263" s="5" t="s">
        <v>56</v>
      </c>
      <c r="O263" s="5" t="s">
        <v>31</v>
      </c>
      <c r="R263" s="5" t="e">
        <f>IF(diabetesoriginal[[#This Row],[Diabetes]]=$R$1,diabetesoriginal[[#This Row],[Skin Thickness]],NA())</f>
        <v>#N/A</v>
      </c>
      <c r="S263" s="5">
        <f>IF(diabetesoriginal[[#This Row],[Diabetes]]=$S$1,diabetesoriginal[[#This Row],[Skin Thickness]],NA())</f>
        <v>29</v>
      </c>
      <c r="U263" s="5" t="e">
        <f>IF(diabetesoriginal[[#This Row],[Diabetes]]=$U$1,diabetesoriginal[[#This Row],[Insulin]],NA())</f>
        <v>#N/A</v>
      </c>
      <c r="V263" s="5">
        <f>IF(diabetesoriginal[[#This Row],[Diabetes]]=$S$1,diabetesoriginal[[#This Row],[Insulin]],NA())</f>
        <v>125</v>
      </c>
    </row>
    <row r="264" spans="1:22" x14ac:dyDescent="0.25">
      <c r="A264" s="5">
        <v>4</v>
      </c>
      <c r="B264" s="5">
        <v>95</v>
      </c>
      <c r="C264" s="5">
        <v>70</v>
      </c>
      <c r="D264" s="5" t="s">
        <v>23</v>
      </c>
      <c r="E264" s="5">
        <v>32</v>
      </c>
      <c r="F264" s="5">
        <v>125</v>
      </c>
      <c r="G264" s="5">
        <v>32.1</v>
      </c>
      <c r="H264" s="5" t="s">
        <v>29</v>
      </c>
      <c r="I264" s="5">
        <v>0.61199999999999999</v>
      </c>
      <c r="J264" s="5">
        <v>24</v>
      </c>
      <c r="K264" s="5" t="s">
        <v>35</v>
      </c>
      <c r="L264" s="15">
        <v>0</v>
      </c>
      <c r="M264" s="5" t="s">
        <v>57</v>
      </c>
      <c r="N264" s="5" t="s">
        <v>56</v>
      </c>
      <c r="O264" s="5" t="s">
        <v>31</v>
      </c>
      <c r="R264" s="5">
        <f>IF(diabetesoriginal[[#This Row],[Diabetes]]=$R$1,diabetesoriginal[[#This Row],[Skin Thickness]],NA())</f>
        <v>32</v>
      </c>
      <c r="S264" s="5" t="e">
        <f>IF(diabetesoriginal[[#This Row],[Diabetes]]=$S$1,diabetesoriginal[[#This Row],[Skin Thickness]],NA())</f>
        <v>#N/A</v>
      </c>
      <c r="U264" s="5">
        <f>IF(diabetesoriginal[[#This Row],[Diabetes]]=$U$1,diabetesoriginal[[#This Row],[Insulin]],NA())</f>
        <v>125</v>
      </c>
      <c r="V264" s="5" t="e">
        <f>IF(diabetesoriginal[[#This Row],[Diabetes]]=$S$1,diabetesoriginal[[#This Row],[Insulin]],NA())</f>
        <v>#N/A</v>
      </c>
    </row>
    <row r="265" spans="1:22" x14ac:dyDescent="0.25">
      <c r="A265" s="5">
        <v>3</v>
      </c>
      <c r="B265" s="5">
        <v>142</v>
      </c>
      <c r="C265" s="5">
        <v>80</v>
      </c>
      <c r="D265" s="5" t="s">
        <v>25</v>
      </c>
      <c r="E265" s="5">
        <v>15</v>
      </c>
      <c r="F265" s="5">
        <v>125</v>
      </c>
      <c r="G265" s="5">
        <v>32.4</v>
      </c>
      <c r="H265" s="5" t="s">
        <v>29</v>
      </c>
      <c r="I265" s="5">
        <v>0.2</v>
      </c>
      <c r="J265" s="5">
        <v>63</v>
      </c>
      <c r="K265" s="5" t="s">
        <v>39</v>
      </c>
      <c r="L265" s="15">
        <v>0</v>
      </c>
      <c r="M265" s="5" t="s">
        <v>22</v>
      </c>
      <c r="N265" s="5" t="s">
        <v>58</v>
      </c>
      <c r="O265" s="5" t="s">
        <v>31</v>
      </c>
      <c r="R265" s="5">
        <f>IF(diabetesoriginal[[#This Row],[Diabetes]]=$R$1,diabetesoriginal[[#This Row],[Skin Thickness]],NA())</f>
        <v>15</v>
      </c>
      <c r="S265" s="5" t="e">
        <f>IF(diabetesoriginal[[#This Row],[Diabetes]]=$S$1,diabetesoriginal[[#This Row],[Skin Thickness]],NA())</f>
        <v>#N/A</v>
      </c>
      <c r="U265" s="5">
        <f>IF(diabetesoriginal[[#This Row],[Diabetes]]=$U$1,diabetesoriginal[[#This Row],[Insulin]],NA())</f>
        <v>125</v>
      </c>
      <c r="V265" s="5" t="e">
        <f>IF(diabetesoriginal[[#This Row],[Diabetes]]=$S$1,diabetesoriginal[[#This Row],[Insulin]],NA())</f>
        <v>#N/A</v>
      </c>
    </row>
    <row r="266" spans="1:22" x14ac:dyDescent="0.25">
      <c r="A266" s="5">
        <v>4</v>
      </c>
      <c r="B266" s="5">
        <v>123</v>
      </c>
      <c r="C266" s="5">
        <v>62</v>
      </c>
      <c r="D266" s="5" t="s">
        <v>23</v>
      </c>
      <c r="E266" s="5">
        <v>29</v>
      </c>
      <c r="F266" s="5">
        <v>125</v>
      </c>
      <c r="G266" s="5">
        <v>32</v>
      </c>
      <c r="H266" s="5" t="s">
        <v>29</v>
      </c>
      <c r="I266" s="5">
        <v>0.22600000000000001</v>
      </c>
      <c r="J266" s="5">
        <v>35</v>
      </c>
      <c r="K266" s="5" t="s">
        <v>36</v>
      </c>
      <c r="L266" s="15">
        <v>1</v>
      </c>
      <c r="M266" s="5" t="s">
        <v>57</v>
      </c>
      <c r="N266" s="5" t="s">
        <v>56</v>
      </c>
      <c r="O266" s="5" t="s">
        <v>31</v>
      </c>
      <c r="R266" s="5" t="e">
        <f>IF(diabetesoriginal[[#This Row],[Diabetes]]=$R$1,diabetesoriginal[[#This Row],[Skin Thickness]],NA())</f>
        <v>#N/A</v>
      </c>
      <c r="S266" s="5">
        <f>IF(diabetesoriginal[[#This Row],[Diabetes]]=$S$1,diabetesoriginal[[#This Row],[Skin Thickness]],NA())</f>
        <v>29</v>
      </c>
      <c r="U266" s="5" t="e">
        <f>IF(diabetesoriginal[[#This Row],[Diabetes]]=$U$1,diabetesoriginal[[#This Row],[Insulin]],NA())</f>
        <v>#N/A</v>
      </c>
      <c r="V266" s="5">
        <f>IF(diabetesoriginal[[#This Row],[Diabetes]]=$S$1,diabetesoriginal[[#This Row],[Insulin]],NA())</f>
        <v>125</v>
      </c>
    </row>
    <row r="267" spans="1:22" x14ac:dyDescent="0.25">
      <c r="A267" s="5">
        <v>5</v>
      </c>
      <c r="B267" s="5">
        <v>96</v>
      </c>
      <c r="C267" s="5">
        <v>74</v>
      </c>
      <c r="D267" s="5" t="s">
        <v>23</v>
      </c>
      <c r="E267" s="5">
        <v>18</v>
      </c>
      <c r="F267" s="5">
        <v>67</v>
      </c>
      <c r="G267" s="5">
        <v>33.6</v>
      </c>
      <c r="H267" s="5" t="s">
        <v>29</v>
      </c>
      <c r="I267" s="5">
        <v>0.997</v>
      </c>
      <c r="J267" s="5">
        <v>43</v>
      </c>
      <c r="K267" s="5" t="s">
        <v>37</v>
      </c>
      <c r="L267" s="15">
        <v>0</v>
      </c>
      <c r="M267" s="5" t="s">
        <v>57</v>
      </c>
      <c r="N267" s="5" t="s">
        <v>58</v>
      </c>
      <c r="O267" s="5" t="s">
        <v>31</v>
      </c>
      <c r="R267" s="5">
        <f>IF(diabetesoriginal[[#This Row],[Diabetes]]=$R$1,diabetesoriginal[[#This Row],[Skin Thickness]],NA())</f>
        <v>18</v>
      </c>
      <c r="S267" s="5" t="e">
        <f>IF(diabetesoriginal[[#This Row],[Diabetes]]=$S$1,diabetesoriginal[[#This Row],[Skin Thickness]],NA())</f>
        <v>#N/A</v>
      </c>
      <c r="U267" s="5">
        <f>IF(diabetesoriginal[[#This Row],[Diabetes]]=$U$1,diabetesoriginal[[#This Row],[Insulin]],NA())</f>
        <v>67</v>
      </c>
      <c r="V267" s="5" t="e">
        <f>IF(diabetesoriginal[[#This Row],[Diabetes]]=$S$1,diabetesoriginal[[#This Row],[Insulin]],NA())</f>
        <v>#N/A</v>
      </c>
    </row>
    <row r="268" spans="1:22" x14ac:dyDescent="0.25">
      <c r="A268" s="5">
        <v>0</v>
      </c>
      <c r="B268" s="5">
        <v>138</v>
      </c>
      <c r="C268" s="5">
        <v>72</v>
      </c>
      <c r="D268" s="5" t="s">
        <v>23</v>
      </c>
      <c r="E268" s="5">
        <v>29</v>
      </c>
      <c r="F268" s="5">
        <v>125</v>
      </c>
      <c r="G268" s="5">
        <v>36.299999999999997</v>
      </c>
      <c r="H268" s="5" t="s">
        <v>29</v>
      </c>
      <c r="I268" s="5">
        <v>0.93300000000000005</v>
      </c>
      <c r="J268" s="5">
        <v>25</v>
      </c>
      <c r="K268" s="5" t="s">
        <v>35</v>
      </c>
      <c r="L268" s="15">
        <v>1</v>
      </c>
      <c r="M268" s="5" t="s">
        <v>57</v>
      </c>
      <c r="N268" s="5" t="s">
        <v>56</v>
      </c>
      <c r="O268" s="5" t="s">
        <v>31</v>
      </c>
      <c r="R268" s="5" t="e">
        <f>IF(diabetesoriginal[[#This Row],[Diabetes]]=$R$1,diabetesoriginal[[#This Row],[Skin Thickness]],NA())</f>
        <v>#N/A</v>
      </c>
      <c r="S268" s="5">
        <f>IF(diabetesoriginal[[#This Row],[Diabetes]]=$S$1,diabetesoriginal[[#This Row],[Skin Thickness]],NA())</f>
        <v>29</v>
      </c>
      <c r="U268" s="5" t="e">
        <f>IF(diabetesoriginal[[#This Row],[Diabetes]]=$U$1,diabetesoriginal[[#This Row],[Insulin]],NA())</f>
        <v>#N/A</v>
      </c>
      <c r="V268" s="5">
        <f>IF(diabetesoriginal[[#This Row],[Diabetes]]=$S$1,diabetesoriginal[[#This Row],[Insulin]],NA())</f>
        <v>125</v>
      </c>
    </row>
    <row r="269" spans="1:22" x14ac:dyDescent="0.25">
      <c r="A269" s="5">
        <v>2</v>
      </c>
      <c r="B269" s="5">
        <v>128</v>
      </c>
      <c r="C269" s="5">
        <v>64</v>
      </c>
      <c r="D269" s="5" t="s">
        <v>23</v>
      </c>
      <c r="E269" s="5">
        <v>42</v>
      </c>
      <c r="F269" s="5">
        <v>125</v>
      </c>
      <c r="G269" s="5">
        <v>40</v>
      </c>
      <c r="H269" s="5" t="s">
        <v>32</v>
      </c>
      <c r="I269" s="5">
        <v>1.101</v>
      </c>
      <c r="J269" s="5">
        <v>24</v>
      </c>
      <c r="K269" s="5" t="s">
        <v>35</v>
      </c>
      <c r="L269" s="15">
        <v>0</v>
      </c>
      <c r="M269" s="5" t="s">
        <v>57</v>
      </c>
      <c r="N269" s="5" t="s">
        <v>56</v>
      </c>
      <c r="O269" s="5" t="s">
        <v>31</v>
      </c>
      <c r="R269" s="5">
        <f>IF(diabetesoriginal[[#This Row],[Diabetes]]=$R$1,diabetesoriginal[[#This Row],[Skin Thickness]],NA())</f>
        <v>42</v>
      </c>
      <c r="S269" s="5" t="e">
        <f>IF(diabetesoriginal[[#This Row],[Diabetes]]=$S$1,diabetesoriginal[[#This Row],[Skin Thickness]],NA())</f>
        <v>#N/A</v>
      </c>
      <c r="U269" s="5">
        <f>IF(diabetesoriginal[[#This Row],[Diabetes]]=$U$1,diabetesoriginal[[#This Row],[Insulin]],NA())</f>
        <v>125</v>
      </c>
      <c r="V269" s="5" t="e">
        <f>IF(diabetesoriginal[[#This Row],[Diabetes]]=$S$1,diabetesoriginal[[#This Row],[Insulin]],NA())</f>
        <v>#N/A</v>
      </c>
    </row>
    <row r="270" spans="1:22" x14ac:dyDescent="0.25">
      <c r="A270" s="5">
        <v>0</v>
      </c>
      <c r="B270" s="5">
        <v>102</v>
      </c>
      <c r="C270" s="5">
        <v>52</v>
      </c>
      <c r="D270" s="5" t="s">
        <v>23</v>
      </c>
      <c r="E270" s="5">
        <v>29</v>
      </c>
      <c r="F270" s="5">
        <v>125</v>
      </c>
      <c r="G270" s="5">
        <v>25.1</v>
      </c>
      <c r="H270" s="5" t="s">
        <v>30</v>
      </c>
      <c r="I270" s="5">
        <v>7.8E-2</v>
      </c>
      <c r="J270" s="5">
        <v>21</v>
      </c>
      <c r="K270" s="5" t="s">
        <v>35</v>
      </c>
      <c r="L270" s="15">
        <v>0</v>
      </c>
      <c r="M270" s="5" t="s">
        <v>57</v>
      </c>
      <c r="N270" s="5" t="s">
        <v>56</v>
      </c>
      <c r="O270" s="5" t="s">
        <v>31</v>
      </c>
      <c r="R270" s="5">
        <f>IF(diabetesoriginal[[#This Row],[Diabetes]]=$R$1,diabetesoriginal[[#This Row],[Skin Thickness]],NA())</f>
        <v>29</v>
      </c>
      <c r="S270" s="5" t="e">
        <f>IF(diabetesoriginal[[#This Row],[Diabetes]]=$S$1,diabetesoriginal[[#This Row],[Skin Thickness]],NA())</f>
        <v>#N/A</v>
      </c>
      <c r="U270" s="5">
        <f>IF(diabetesoriginal[[#This Row],[Diabetes]]=$U$1,diabetesoriginal[[#This Row],[Insulin]],NA())</f>
        <v>125</v>
      </c>
      <c r="V270" s="5" t="e">
        <f>IF(diabetesoriginal[[#This Row],[Diabetes]]=$S$1,diabetesoriginal[[#This Row],[Insulin]],NA())</f>
        <v>#N/A</v>
      </c>
    </row>
    <row r="271" spans="1:22" x14ac:dyDescent="0.25">
      <c r="A271" s="5">
        <v>2</v>
      </c>
      <c r="B271" s="5">
        <v>146</v>
      </c>
      <c r="C271" s="5">
        <v>72</v>
      </c>
      <c r="D271" s="5" t="s">
        <v>23</v>
      </c>
      <c r="E271" s="5">
        <v>29</v>
      </c>
      <c r="F271" s="5">
        <v>125</v>
      </c>
      <c r="G271" s="5">
        <v>27.5</v>
      </c>
      <c r="H271" s="5" t="s">
        <v>30</v>
      </c>
      <c r="I271" s="5">
        <v>0.24</v>
      </c>
      <c r="J271" s="5">
        <v>28</v>
      </c>
      <c r="K271" s="5" t="s">
        <v>35</v>
      </c>
      <c r="L271" s="15">
        <v>1</v>
      </c>
      <c r="M271" s="5" t="s">
        <v>22</v>
      </c>
      <c r="N271" s="5" t="s">
        <v>56</v>
      </c>
      <c r="O271" s="5" t="s">
        <v>31</v>
      </c>
      <c r="R271" s="5" t="e">
        <f>IF(diabetesoriginal[[#This Row],[Diabetes]]=$R$1,diabetesoriginal[[#This Row],[Skin Thickness]],NA())</f>
        <v>#N/A</v>
      </c>
      <c r="S271" s="5">
        <f>IF(diabetesoriginal[[#This Row],[Diabetes]]=$S$1,diabetesoriginal[[#This Row],[Skin Thickness]],NA())</f>
        <v>29</v>
      </c>
      <c r="U271" s="5" t="e">
        <f>IF(diabetesoriginal[[#This Row],[Diabetes]]=$U$1,diabetesoriginal[[#This Row],[Insulin]],NA())</f>
        <v>#N/A</v>
      </c>
      <c r="V271" s="5">
        <f>IF(diabetesoriginal[[#This Row],[Diabetes]]=$S$1,diabetesoriginal[[#This Row],[Insulin]],NA())</f>
        <v>125</v>
      </c>
    </row>
    <row r="272" spans="1:22" x14ac:dyDescent="0.25">
      <c r="A272" s="5">
        <v>10</v>
      </c>
      <c r="B272" s="5">
        <v>101</v>
      </c>
      <c r="C272" s="5">
        <v>86</v>
      </c>
      <c r="D272" s="5" t="s">
        <v>25</v>
      </c>
      <c r="E272" s="5">
        <v>37</v>
      </c>
      <c r="F272" s="5">
        <v>125</v>
      </c>
      <c r="G272" s="5">
        <v>45.6</v>
      </c>
      <c r="H272" s="5" t="s">
        <v>32</v>
      </c>
      <c r="I272" s="5">
        <v>1.1359999999999999</v>
      </c>
      <c r="J272" s="5">
        <v>38</v>
      </c>
      <c r="K272" s="5" t="s">
        <v>36</v>
      </c>
      <c r="L272" s="15">
        <v>1</v>
      </c>
      <c r="M272" s="5" t="s">
        <v>57</v>
      </c>
      <c r="N272" s="5" t="s">
        <v>56</v>
      </c>
      <c r="O272" s="5" t="s">
        <v>31</v>
      </c>
      <c r="R272" s="5" t="e">
        <f>IF(diabetesoriginal[[#This Row],[Diabetes]]=$R$1,diabetesoriginal[[#This Row],[Skin Thickness]],NA())</f>
        <v>#N/A</v>
      </c>
      <c r="S272" s="5">
        <f>IF(diabetesoriginal[[#This Row],[Diabetes]]=$S$1,diabetesoriginal[[#This Row],[Skin Thickness]],NA())</f>
        <v>37</v>
      </c>
      <c r="U272" s="5" t="e">
        <f>IF(diabetesoriginal[[#This Row],[Diabetes]]=$U$1,diabetesoriginal[[#This Row],[Insulin]],NA())</f>
        <v>#N/A</v>
      </c>
      <c r="V272" s="5">
        <f>IF(diabetesoriginal[[#This Row],[Diabetes]]=$S$1,diabetesoriginal[[#This Row],[Insulin]],NA())</f>
        <v>125</v>
      </c>
    </row>
    <row r="273" spans="1:22" x14ac:dyDescent="0.25">
      <c r="A273" s="5">
        <v>2</v>
      </c>
      <c r="B273" s="5">
        <v>108</v>
      </c>
      <c r="C273" s="5">
        <v>62</v>
      </c>
      <c r="D273" s="5" t="s">
        <v>23</v>
      </c>
      <c r="E273" s="5">
        <v>32</v>
      </c>
      <c r="F273" s="5">
        <v>56</v>
      </c>
      <c r="G273" s="5">
        <v>25.2</v>
      </c>
      <c r="H273" s="5" t="s">
        <v>30</v>
      </c>
      <c r="I273" s="5">
        <v>0.128</v>
      </c>
      <c r="J273" s="5">
        <v>21</v>
      </c>
      <c r="K273" s="5" t="s">
        <v>35</v>
      </c>
      <c r="L273" s="15">
        <v>0</v>
      </c>
      <c r="M273" s="5" t="s">
        <v>57</v>
      </c>
      <c r="N273" s="5" t="s">
        <v>56</v>
      </c>
      <c r="O273" s="5" t="s">
        <v>31</v>
      </c>
      <c r="R273" s="5">
        <f>IF(diabetesoriginal[[#This Row],[Diabetes]]=$R$1,diabetesoriginal[[#This Row],[Skin Thickness]],NA())</f>
        <v>32</v>
      </c>
      <c r="S273" s="5" t="e">
        <f>IF(diabetesoriginal[[#This Row],[Diabetes]]=$S$1,diabetesoriginal[[#This Row],[Skin Thickness]],NA())</f>
        <v>#N/A</v>
      </c>
      <c r="U273" s="5">
        <f>IF(diabetesoriginal[[#This Row],[Diabetes]]=$U$1,diabetesoriginal[[#This Row],[Insulin]],NA())</f>
        <v>56</v>
      </c>
      <c r="V273" s="5" t="e">
        <f>IF(diabetesoriginal[[#This Row],[Diabetes]]=$S$1,diabetesoriginal[[#This Row],[Insulin]],NA())</f>
        <v>#N/A</v>
      </c>
    </row>
    <row r="274" spans="1:22" x14ac:dyDescent="0.25">
      <c r="A274" s="5">
        <v>3</v>
      </c>
      <c r="B274" s="5">
        <v>122</v>
      </c>
      <c r="C274" s="5">
        <v>78</v>
      </c>
      <c r="D274" s="5" t="s">
        <v>23</v>
      </c>
      <c r="E274" s="5">
        <v>29</v>
      </c>
      <c r="F274" s="5">
        <v>125</v>
      </c>
      <c r="G274" s="5">
        <v>23</v>
      </c>
      <c r="H274" s="5" t="s">
        <v>31</v>
      </c>
      <c r="I274" s="5">
        <v>0.254</v>
      </c>
      <c r="J274" s="5">
        <v>40</v>
      </c>
      <c r="K274" s="5" t="s">
        <v>37</v>
      </c>
      <c r="L274" s="15">
        <v>0</v>
      </c>
      <c r="M274" s="5" t="s">
        <v>57</v>
      </c>
      <c r="N274" s="5" t="s">
        <v>56</v>
      </c>
      <c r="O274" s="5" t="s">
        <v>31</v>
      </c>
      <c r="R274" s="5">
        <f>IF(diabetesoriginal[[#This Row],[Diabetes]]=$R$1,diabetesoriginal[[#This Row],[Skin Thickness]],NA())</f>
        <v>29</v>
      </c>
      <c r="S274" s="5" t="e">
        <f>IF(diabetesoriginal[[#This Row],[Diabetes]]=$S$1,diabetesoriginal[[#This Row],[Skin Thickness]],NA())</f>
        <v>#N/A</v>
      </c>
      <c r="U274" s="5">
        <f>IF(diabetesoriginal[[#This Row],[Diabetes]]=$U$1,diabetesoriginal[[#This Row],[Insulin]],NA())</f>
        <v>125</v>
      </c>
      <c r="V274" s="5" t="e">
        <f>IF(diabetesoriginal[[#This Row],[Diabetes]]=$S$1,diabetesoriginal[[#This Row],[Insulin]],NA())</f>
        <v>#N/A</v>
      </c>
    </row>
    <row r="275" spans="1:22" x14ac:dyDescent="0.25">
      <c r="A275" s="5">
        <v>1</v>
      </c>
      <c r="B275" s="5">
        <v>71</v>
      </c>
      <c r="C275" s="5">
        <v>78</v>
      </c>
      <c r="D275" s="5" t="s">
        <v>23</v>
      </c>
      <c r="E275" s="5">
        <v>50</v>
      </c>
      <c r="F275" s="5">
        <v>45</v>
      </c>
      <c r="G275" s="5">
        <v>33.200000000000003</v>
      </c>
      <c r="H275" s="5" t="s">
        <v>29</v>
      </c>
      <c r="I275" s="5">
        <v>0.42199999999999999</v>
      </c>
      <c r="J275" s="5">
        <v>21</v>
      </c>
      <c r="K275" s="5" t="s">
        <v>35</v>
      </c>
      <c r="L275" s="15">
        <v>0</v>
      </c>
      <c r="M275" s="5" t="s">
        <v>57</v>
      </c>
      <c r="N275" s="5" t="s">
        <v>56</v>
      </c>
      <c r="O275" s="5" t="s">
        <v>31</v>
      </c>
      <c r="R275" s="5">
        <f>IF(diabetesoriginal[[#This Row],[Diabetes]]=$R$1,diabetesoriginal[[#This Row],[Skin Thickness]],NA())</f>
        <v>50</v>
      </c>
      <c r="S275" s="5" t="e">
        <f>IF(diabetesoriginal[[#This Row],[Diabetes]]=$S$1,diabetesoriginal[[#This Row],[Skin Thickness]],NA())</f>
        <v>#N/A</v>
      </c>
      <c r="U275" s="5">
        <f>IF(diabetesoriginal[[#This Row],[Diabetes]]=$U$1,diabetesoriginal[[#This Row],[Insulin]],NA())</f>
        <v>45</v>
      </c>
      <c r="V275" s="5" t="e">
        <f>IF(diabetesoriginal[[#This Row],[Diabetes]]=$S$1,diabetesoriginal[[#This Row],[Insulin]],NA())</f>
        <v>#N/A</v>
      </c>
    </row>
    <row r="276" spans="1:22" x14ac:dyDescent="0.25">
      <c r="A276" s="5">
        <v>13</v>
      </c>
      <c r="B276" s="5">
        <v>106</v>
      </c>
      <c r="C276" s="5">
        <v>70</v>
      </c>
      <c r="D276" s="5" t="s">
        <v>23</v>
      </c>
      <c r="E276" s="5">
        <v>29</v>
      </c>
      <c r="F276" s="5">
        <v>125</v>
      </c>
      <c r="G276" s="5">
        <v>34.200000000000003</v>
      </c>
      <c r="H276" s="5" t="s">
        <v>29</v>
      </c>
      <c r="I276" s="5">
        <v>0.251</v>
      </c>
      <c r="J276" s="5">
        <v>52</v>
      </c>
      <c r="K276" s="5" t="s">
        <v>38</v>
      </c>
      <c r="L276" s="15">
        <v>0</v>
      </c>
      <c r="M276" s="5" t="s">
        <v>57</v>
      </c>
      <c r="N276" s="5" t="s">
        <v>56</v>
      </c>
      <c r="O276" s="5" t="s">
        <v>31</v>
      </c>
      <c r="R276" s="5">
        <f>IF(diabetesoriginal[[#This Row],[Diabetes]]=$R$1,diabetesoriginal[[#This Row],[Skin Thickness]],NA())</f>
        <v>29</v>
      </c>
      <c r="S276" s="5" t="e">
        <f>IF(diabetesoriginal[[#This Row],[Diabetes]]=$S$1,diabetesoriginal[[#This Row],[Skin Thickness]],NA())</f>
        <v>#N/A</v>
      </c>
      <c r="U276" s="5">
        <f>IF(diabetesoriginal[[#This Row],[Diabetes]]=$U$1,diabetesoriginal[[#This Row],[Insulin]],NA())</f>
        <v>125</v>
      </c>
      <c r="V276" s="5" t="e">
        <f>IF(diabetesoriginal[[#This Row],[Diabetes]]=$S$1,diabetesoriginal[[#This Row],[Insulin]],NA())</f>
        <v>#N/A</v>
      </c>
    </row>
    <row r="277" spans="1:22" x14ac:dyDescent="0.25">
      <c r="A277" s="5">
        <v>2</v>
      </c>
      <c r="B277" s="5">
        <v>100</v>
      </c>
      <c r="C277" s="5">
        <v>70</v>
      </c>
      <c r="D277" s="5" t="s">
        <v>23</v>
      </c>
      <c r="E277" s="5">
        <v>52</v>
      </c>
      <c r="F277" s="5">
        <v>57</v>
      </c>
      <c r="G277" s="5">
        <v>40.5</v>
      </c>
      <c r="H277" s="5" t="s">
        <v>32</v>
      </c>
      <c r="I277" s="5">
        <v>0.67700000000000005</v>
      </c>
      <c r="J277" s="5">
        <v>25</v>
      </c>
      <c r="K277" s="5" t="s">
        <v>35</v>
      </c>
      <c r="L277" s="15">
        <v>0</v>
      </c>
      <c r="M277" s="5" t="s">
        <v>57</v>
      </c>
      <c r="N277" s="5" t="s">
        <v>56</v>
      </c>
      <c r="O277" s="5" t="s">
        <v>31</v>
      </c>
      <c r="R277" s="5">
        <f>IF(diabetesoriginal[[#This Row],[Diabetes]]=$R$1,diabetesoriginal[[#This Row],[Skin Thickness]],NA())</f>
        <v>52</v>
      </c>
      <c r="S277" s="5" t="e">
        <f>IF(diabetesoriginal[[#This Row],[Diabetes]]=$S$1,diabetesoriginal[[#This Row],[Skin Thickness]],NA())</f>
        <v>#N/A</v>
      </c>
      <c r="U277" s="5">
        <f>IF(diabetesoriginal[[#This Row],[Diabetes]]=$U$1,diabetesoriginal[[#This Row],[Insulin]],NA())</f>
        <v>57</v>
      </c>
      <c r="V277" s="5" t="e">
        <f>IF(diabetesoriginal[[#This Row],[Diabetes]]=$S$1,diabetesoriginal[[#This Row],[Insulin]],NA())</f>
        <v>#N/A</v>
      </c>
    </row>
    <row r="278" spans="1:22" x14ac:dyDescent="0.25">
      <c r="A278" s="5">
        <v>7</v>
      </c>
      <c r="B278" s="5">
        <v>106</v>
      </c>
      <c r="C278" s="5">
        <v>60</v>
      </c>
      <c r="D278" s="5" t="s">
        <v>23</v>
      </c>
      <c r="E278" s="5">
        <v>24</v>
      </c>
      <c r="F278" s="5">
        <v>125</v>
      </c>
      <c r="G278" s="5">
        <v>26.5</v>
      </c>
      <c r="H278" s="5" t="s">
        <v>30</v>
      </c>
      <c r="I278" s="5">
        <v>0.29599999999999999</v>
      </c>
      <c r="J278" s="5">
        <v>29</v>
      </c>
      <c r="K278" s="5" t="s">
        <v>35</v>
      </c>
      <c r="L278" s="15">
        <v>1</v>
      </c>
      <c r="M278" s="5" t="s">
        <v>57</v>
      </c>
      <c r="N278" s="5" t="s">
        <v>56</v>
      </c>
      <c r="O278" s="5" t="s">
        <v>31</v>
      </c>
      <c r="R278" s="5" t="e">
        <f>IF(diabetesoriginal[[#This Row],[Diabetes]]=$R$1,diabetesoriginal[[#This Row],[Skin Thickness]],NA())</f>
        <v>#N/A</v>
      </c>
      <c r="S278" s="5">
        <f>IF(diabetesoriginal[[#This Row],[Diabetes]]=$S$1,diabetesoriginal[[#This Row],[Skin Thickness]],NA())</f>
        <v>24</v>
      </c>
      <c r="U278" s="5" t="e">
        <f>IF(diabetesoriginal[[#This Row],[Diabetes]]=$U$1,diabetesoriginal[[#This Row],[Insulin]],NA())</f>
        <v>#N/A</v>
      </c>
      <c r="V278" s="5">
        <f>IF(diabetesoriginal[[#This Row],[Diabetes]]=$S$1,diabetesoriginal[[#This Row],[Insulin]],NA())</f>
        <v>125</v>
      </c>
    </row>
    <row r="279" spans="1:22" x14ac:dyDescent="0.25">
      <c r="A279" s="5">
        <v>0</v>
      </c>
      <c r="B279" s="5">
        <v>104</v>
      </c>
      <c r="C279" s="5">
        <v>64</v>
      </c>
      <c r="D279" s="5" t="s">
        <v>23</v>
      </c>
      <c r="E279" s="5">
        <v>23</v>
      </c>
      <c r="F279" s="5">
        <v>116</v>
      </c>
      <c r="G279" s="5">
        <v>27.8</v>
      </c>
      <c r="H279" s="5" t="s">
        <v>30</v>
      </c>
      <c r="I279" s="5">
        <v>0.45400000000000001</v>
      </c>
      <c r="J279" s="5">
        <v>23</v>
      </c>
      <c r="K279" s="5" t="s">
        <v>35</v>
      </c>
      <c r="L279" s="15">
        <v>0</v>
      </c>
      <c r="M279" s="5" t="s">
        <v>57</v>
      </c>
      <c r="N279" s="5" t="s">
        <v>58</v>
      </c>
      <c r="O279" s="5" t="s">
        <v>31</v>
      </c>
      <c r="R279" s="5">
        <f>IF(diabetesoriginal[[#This Row],[Diabetes]]=$R$1,diabetesoriginal[[#This Row],[Skin Thickness]],NA())</f>
        <v>23</v>
      </c>
      <c r="S279" s="5" t="e">
        <f>IF(diabetesoriginal[[#This Row],[Diabetes]]=$S$1,diabetesoriginal[[#This Row],[Skin Thickness]],NA())</f>
        <v>#N/A</v>
      </c>
      <c r="U279" s="5">
        <f>IF(diabetesoriginal[[#This Row],[Diabetes]]=$U$1,diabetesoriginal[[#This Row],[Insulin]],NA())</f>
        <v>116</v>
      </c>
      <c r="V279" s="5" t="e">
        <f>IF(diabetesoriginal[[#This Row],[Diabetes]]=$S$1,diabetesoriginal[[#This Row],[Insulin]],NA())</f>
        <v>#N/A</v>
      </c>
    </row>
    <row r="280" spans="1:22" x14ac:dyDescent="0.25">
      <c r="A280" s="5">
        <v>5</v>
      </c>
      <c r="B280" s="5">
        <v>114</v>
      </c>
      <c r="C280" s="5">
        <v>74</v>
      </c>
      <c r="D280" s="5" t="s">
        <v>23</v>
      </c>
      <c r="E280" s="5">
        <v>29</v>
      </c>
      <c r="F280" s="5">
        <v>125</v>
      </c>
      <c r="G280" s="5">
        <v>24.9</v>
      </c>
      <c r="H280" s="5" t="s">
        <v>31</v>
      </c>
      <c r="I280" s="5">
        <v>0.74399999999999999</v>
      </c>
      <c r="J280" s="5">
        <v>57</v>
      </c>
      <c r="K280" s="5" t="s">
        <v>38</v>
      </c>
      <c r="L280" s="15">
        <v>0</v>
      </c>
      <c r="M280" s="5" t="s">
        <v>57</v>
      </c>
      <c r="N280" s="5" t="s">
        <v>56</v>
      </c>
      <c r="O280" s="5" t="s">
        <v>31</v>
      </c>
      <c r="R280" s="5">
        <f>IF(diabetesoriginal[[#This Row],[Diabetes]]=$R$1,diabetesoriginal[[#This Row],[Skin Thickness]],NA())</f>
        <v>29</v>
      </c>
      <c r="S280" s="5" t="e">
        <f>IF(diabetesoriginal[[#This Row],[Diabetes]]=$S$1,diabetesoriginal[[#This Row],[Skin Thickness]],NA())</f>
        <v>#N/A</v>
      </c>
      <c r="U280" s="5">
        <f>IF(diabetesoriginal[[#This Row],[Diabetes]]=$U$1,diabetesoriginal[[#This Row],[Insulin]],NA())</f>
        <v>125</v>
      </c>
      <c r="V280" s="5" t="e">
        <f>IF(diabetesoriginal[[#This Row],[Diabetes]]=$S$1,diabetesoriginal[[#This Row],[Insulin]],NA())</f>
        <v>#N/A</v>
      </c>
    </row>
    <row r="281" spans="1:22" x14ac:dyDescent="0.25">
      <c r="A281" s="5">
        <v>2</v>
      </c>
      <c r="B281" s="5">
        <v>108</v>
      </c>
      <c r="C281" s="5">
        <v>62</v>
      </c>
      <c r="D281" s="5" t="s">
        <v>23</v>
      </c>
      <c r="E281" s="5">
        <v>10</v>
      </c>
      <c r="F281" s="5">
        <v>278</v>
      </c>
      <c r="G281" s="5">
        <v>25.3</v>
      </c>
      <c r="H281" s="5" t="s">
        <v>30</v>
      </c>
      <c r="I281" s="5">
        <v>0.88100000000000001</v>
      </c>
      <c r="J281" s="5">
        <v>22</v>
      </c>
      <c r="K281" s="5" t="s">
        <v>35</v>
      </c>
      <c r="L281" s="15">
        <v>0</v>
      </c>
      <c r="M281" s="5" t="s">
        <v>57</v>
      </c>
      <c r="N281" s="5" t="s">
        <v>58</v>
      </c>
      <c r="O281" s="5" t="s">
        <v>59</v>
      </c>
      <c r="R281" s="5">
        <f>IF(diabetesoriginal[[#This Row],[Diabetes]]=$R$1,diabetesoriginal[[#This Row],[Skin Thickness]],NA())</f>
        <v>10</v>
      </c>
      <c r="S281" s="5" t="e">
        <f>IF(diabetesoriginal[[#This Row],[Diabetes]]=$S$1,diabetesoriginal[[#This Row],[Skin Thickness]],NA())</f>
        <v>#N/A</v>
      </c>
      <c r="U281" s="5">
        <f>IF(diabetesoriginal[[#This Row],[Diabetes]]=$U$1,diabetesoriginal[[#This Row],[Insulin]],NA())</f>
        <v>278</v>
      </c>
      <c r="V281" s="5" t="e">
        <f>IF(diabetesoriginal[[#This Row],[Diabetes]]=$S$1,diabetesoriginal[[#This Row],[Insulin]],NA())</f>
        <v>#N/A</v>
      </c>
    </row>
    <row r="282" spans="1:22" x14ac:dyDescent="0.25">
      <c r="A282" s="5">
        <v>0</v>
      </c>
      <c r="B282" s="5">
        <v>146</v>
      </c>
      <c r="C282" s="5">
        <v>70</v>
      </c>
      <c r="D282" s="5" t="s">
        <v>23</v>
      </c>
      <c r="E282" s="5">
        <v>29</v>
      </c>
      <c r="F282" s="5">
        <v>125</v>
      </c>
      <c r="G282" s="5">
        <v>37.9</v>
      </c>
      <c r="H282" s="5" t="s">
        <v>29</v>
      </c>
      <c r="I282" s="5">
        <v>0.33400000000000002</v>
      </c>
      <c r="J282" s="5">
        <v>28</v>
      </c>
      <c r="K282" s="5" t="s">
        <v>35</v>
      </c>
      <c r="L282" s="15">
        <v>1</v>
      </c>
      <c r="M282" s="5" t="s">
        <v>22</v>
      </c>
      <c r="N282" s="5" t="s">
        <v>56</v>
      </c>
      <c r="O282" s="5" t="s">
        <v>31</v>
      </c>
      <c r="R282" s="5" t="e">
        <f>IF(diabetesoriginal[[#This Row],[Diabetes]]=$R$1,diabetesoriginal[[#This Row],[Skin Thickness]],NA())</f>
        <v>#N/A</v>
      </c>
      <c r="S282" s="5">
        <f>IF(diabetesoriginal[[#This Row],[Diabetes]]=$S$1,diabetesoriginal[[#This Row],[Skin Thickness]],NA())</f>
        <v>29</v>
      </c>
      <c r="U282" s="5" t="e">
        <f>IF(diabetesoriginal[[#This Row],[Diabetes]]=$U$1,diabetesoriginal[[#This Row],[Insulin]],NA())</f>
        <v>#N/A</v>
      </c>
      <c r="V282" s="5">
        <f>IF(diabetesoriginal[[#This Row],[Diabetes]]=$S$1,diabetesoriginal[[#This Row],[Insulin]],NA())</f>
        <v>125</v>
      </c>
    </row>
    <row r="283" spans="1:22" x14ac:dyDescent="0.25">
      <c r="A283" s="5">
        <v>10</v>
      </c>
      <c r="B283" s="5">
        <v>129</v>
      </c>
      <c r="C283" s="5">
        <v>76</v>
      </c>
      <c r="D283" s="5" t="s">
        <v>23</v>
      </c>
      <c r="E283" s="5">
        <v>28</v>
      </c>
      <c r="F283" s="5">
        <v>122</v>
      </c>
      <c r="G283" s="5">
        <v>35.9</v>
      </c>
      <c r="H283" s="5" t="s">
        <v>29</v>
      </c>
      <c r="I283" s="5">
        <v>0.28000000000000003</v>
      </c>
      <c r="J283" s="5">
        <v>39</v>
      </c>
      <c r="K283" s="5" t="s">
        <v>36</v>
      </c>
      <c r="L283" s="15">
        <v>0</v>
      </c>
      <c r="M283" s="5" t="s">
        <v>57</v>
      </c>
      <c r="N283" s="5" t="s">
        <v>56</v>
      </c>
      <c r="O283" s="5" t="s">
        <v>31</v>
      </c>
      <c r="R283" s="5">
        <f>IF(diabetesoriginal[[#This Row],[Diabetes]]=$R$1,diabetesoriginal[[#This Row],[Skin Thickness]],NA())</f>
        <v>28</v>
      </c>
      <c r="S283" s="5" t="e">
        <f>IF(diabetesoriginal[[#This Row],[Diabetes]]=$S$1,diabetesoriginal[[#This Row],[Skin Thickness]],NA())</f>
        <v>#N/A</v>
      </c>
      <c r="U283" s="5">
        <f>IF(diabetesoriginal[[#This Row],[Diabetes]]=$U$1,diabetesoriginal[[#This Row],[Insulin]],NA())</f>
        <v>122</v>
      </c>
      <c r="V283" s="5" t="e">
        <f>IF(diabetesoriginal[[#This Row],[Diabetes]]=$S$1,diabetesoriginal[[#This Row],[Insulin]],NA())</f>
        <v>#N/A</v>
      </c>
    </row>
    <row r="284" spans="1:22" x14ac:dyDescent="0.25">
      <c r="A284" s="5">
        <v>7</v>
      </c>
      <c r="B284" s="5">
        <v>133</v>
      </c>
      <c r="C284" s="5">
        <v>88</v>
      </c>
      <c r="D284" s="5" t="s">
        <v>25</v>
      </c>
      <c r="E284" s="5">
        <v>15</v>
      </c>
      <c r="F284" s="5">
        <v>155</v>
      </c>
      <c r="G284" s="5">
        <v>32.4</v>
      </c>
      <c r="H284" s="5" t="s">
        <v>29</v>
      </c>
      <c r="I284" s="5">
        <v>0.26200000000000001</v>
      </c>
      <c r="J284" s="5">
        <v>37</v>
      </c>
      <c r="K284" s="5" t="s">
        <v>36</v>
      </c>
      <c r="L284" s="15">
        <v>0</v>
      </c>
      <c r="M284" s="5" t="s">
        <v>57</v>
      </c>
      <c r="N284" s="5" t="s">
        <v>58</v>
      </c>
      <c r="O284" s="5" t="s">
        <v>31</v>
      </c>
      <c r="R284" s="5">
        <f>IF(diabetesoriginal[[#This Row],[Diabetes]]=$R$1,diabetesoriginal[[#This Row],[Skin Thickness]],NA())</f>
        <v>15</v>
      </c>
      <c r="S284" s="5" t="e">
        <f>IF(diabetesoriginal[[#This Row],[Diabetes]]=$S$1,diabetesoriginal[[#This Row],[Skin Thickness]],NA())</f>
        <v>#N/A</v>
      </c>
      <c r="U284" s="5">
        <f>IF(diabetesoriginal[[#This Row],[Diabetes]]=$U$1,diabetesoriginal[[#This Row],[Insulin]],NA())</f>
        <v>155</v>
      </c>
      <c r="V284" s="5" t="e">
        <f>IF(diabetesoriginal[[#This Row],[Diabetes]]=$S$1,diabetesoriginal[[#This Row],[Insulin]],NA())</f>
        <v>#N/A</v>
      </c>
    </row>
    <row r="285" spans="1:22" x14ac:dyDescent="0.25">
      <c r="A285" s="5">
        <v>7</v>
      </c>
      <c r="B285" s="5">
        <v>161</v>
      </c>
      <c r="C285" s="5">
        <v>86</v>
      </c>
      <c r="D285" s="5" t="s">
        <v>25</v>
      </c>
      <c r="E285" s="5">
        <v>29</v>
      </c>
      <c r="F285" s="5">
        <v>125</v>
      </c>
      <c r="G285" s="5">
        <v>30.4</v>
      </c>
      <c r="H285" s="5" t="s">
        <v>29</v>
      </c>
      <c r="I285" s="5">
        <v>0.16500000000000001</v>
      </c>
      <c r="J285" s="5">
        <v>47</v>
      </c>
      <c r="K285" s="5" t="s">
        <v>37</v>
      </c>
      <c r="L285" s="15">
        <v>1</v>
      </c>
      <c r="M285" s="5" t="s">
        <v>22</v>
      </c>
      <c r="N285" s="5" t="s">
        <v>56</v>
      </c>
      <c r="O285" s="5" t="s">
        <v>31</v>
      </c>
      <c r="R285" s="5" t="e">
        <f>IF(diabetesoriginal[[#This Row],[Diabetes]]=$R$1,diabetesoriginal[[#This Row],[Skin Thickness]],NA())</f>
        <v>#N/A</v>
      </c>
      <c r="S285" s="5">
        <f>IF(diabetesoriginal[[#This Row],[Diabetes]]=$S$1,diabetesoriginal[[#This Row],[Skin Thickness]],NA())</f>
        <v>29</v>
      </c>
      <c r="U285" s="5" t="e">
        <f>IF(diabetesoriginal[[#This Row],[Diabetes]]=$U$1,diabetesoriginal[[#This Row],[Insulin]],NA())</f>
        <v>#N/A</v>
      </c>
      <c r="V285" s="5">
        <f>IF(diabetesoriginal[[#This Row],[Diabetes]]=$S$1,diabetesoriginal[[#This Row],[Insulin]],NA())</f>
        <v>125</v>
      </c>
    </row>
    <row r="286" spans="1:22" x14ac:dyDescent="0.25">
      <c r="A286" s="5">
        <v>2</v>
      </c>
      <c r="B286" s="5">
        <v>108</v>
      </c>
      <c r="C286" s="5">
        <v>80</v>
      </c>
      <c r="D286" s="5" t="s">
        <v>25</v>
      </c>
      <c r="E286" s="5">
        <v>29</v>
      </c>
      <c r="F286" s="5">
        <v>125</v>
      </c>
      <c r="G286" s="5">
        <v>27</v>
      </c>
      <c r="H286" s="5" t="s">
        <v>30</v>
      </c>
      <c r="I286" s="5">
        <v>0.25900000000000001</v>
      </c>
      <c r="J286" s="5">
        <v>52</v>
      </c>
      <c r="K286" s="5" t="s">
        <v>38</v>
      </c>
      <c r="L286" s="15">
        <v>1</v>
      </c>
      <c r="M286" s="5" t="s">
        <v>57</v>
      </c>
      <c r="N286" s="5" t="s">
        <v>56</v>
      </c>
      <c r="O286" s="5" t="s">
        <v>31</v>
      </c>
      <c r="R286" s="5" t="e">
        <f>IF(diabetesoriginal[[#This Row],[Diabetes]]=$R$1,diabetesoriginal[[#This Row],[Skin Thickness]],NA())</f>
        <v>#N/A</v>
      </c>
      <c r="S286" s="5">
        <f>IF(diabetesoriginal[[#This Row],[Diabetes]]=$S$1,diabetesoriginal[[#This Row],[Skin Thickness]],NA())</f>
        <v>29</v>
      </c>
      <c r="U286" s="5" t="e">
        <f>IF(diabetesoriginal[[#This Row],[Diabetes]]=$U$1,diabetesoriginal[[#This Row],[Insulin]],NA())</f>
        <v>#N/A</v>
      </c>
      <c r="V286" s="5">
        <f>IF(diabetesoriginal[[#This Row],[Diabetes]]=$S$1,diabetesoriginal[[#This Row],[Insulin]],NA())</f>
        <v>125</v>
      </c>
    </row>
    <row r="287" spans="1:22" x14ac:dyDescent="0.25">
      <c r="A287" s="5">
        <v>7</v>
      </c>
      <c r="B287" s="5">
        <v>136</v>
      </c>
      <c r="C287" s="5">
        <v>74</v>
      </c>
      <c r="D287" s="5" t="s">
        <v>23</v>
      </c>
      <c r="E287" s="5">
        <v>26</v>
      </c>
      <c r="F287" s="5">
        <v>135</v>
      </c>
      <c r="G287" s="5">
        <v>26</v>
      </c>
      <c r="H287" s="5" t="s">
        <v>30</v>
      </c>
      <c r="I287" s="5">
        <v>0.64700000000000002</v>
      </c>
      <c r="J287" s="5">
        <v>51</v>
      </c>
      <c r="K287" s="5" t="s">
        <v>38</v>
      </c>
      <c r="L287" s="15">
        <v>0</v>
      </c>
      <c r="M287" s="5" t="s">
        <v>57</v>
      </c>
      <c r="N287" s="5" t="s">
        <v>56</v>
      </c>
      <c r="O287" s="5" t="s">
        <v>31</v>
      </c>
      <c r="R287" s="5">
        <f>IF(diabetesoriginal[[#This Row],[Diabetes]]=$R$1,diabetesoriginal[[#This Row],[Skin Thickness]],NA())</f>
        <v>26</v>
      </c>
      <c r="S287" s="5" t="e">
        <f>IF(diabetesoriginal[[#This Row],[Diabetes]]=$S$1,diabetesoriginal[[#This Row],[Skin Thickness]],NA())</f>
        <v>#N/A</v>
      </c>
      <c r="U287" s="5">
        <f>IF(diabetesoriginal[[#This Row],[Diabetes]]=$U$1,diabetesoriginal[[#This Row],[Insulin]],NA())</f>
        <v>135</v>
      </c>
      <c r="V287" s="5" t="e">
        <f>IF(diabetesoriginal[[#This Row],[Diabetes]]=$S$1,diabetesoriginal[[#This Row],[Insulin]],NA())</f>
        <v>#N/A</v>
      </c>
    </row>
    <row r="288" spans="1:22" x14ac:dyDescent="0.25">
      <c r="A288" s="5">
        <v>5</v>
      </c>
      <c r="B288" s="5">
        <v>155</v>
      </c>
      <c r="C288" s="5">
        <v>84</v>
      </c>
      <c r="D288" s="5" t="s">
        <v>25</v>
      </c>
      <c r="E288" s="5">
        <v>44</v>
      </c>
      <c r="F288" s="5">
        <v>545</v>
      </c>
      <c r="G288" s="5">
        <v>38.700000000000003</v>
      </c>
      <c r="H288" s="5" t="s">
        <v>29</v>
      </c>
      <c r="I288" s="5">
        <v>0.61899999999999999</v>
      </c>
      <c r="J288" s="5">
        <v>34</v>
      </c>
      <c r="K288" s="5" t="s">
        <v>36</v>
      </c>
      <c r="L288" s="15">
        <v>0</v>
      </c>
      <c r="M288" s="5" t="s">
        <v>22</v>
      </c>
      <c r="N288" s="5" t="s">
        <v>56</v>
      </c>
      <c r="O288" s="5" t="s">
        <v>59</v>
      </c>
      <c r="R288" s="5">
        <f>IF(diabetesoriginal[[#This Row],[Diabetes]]=$R$1,diabetesoriginal[[#This Row],[Skin Thickness]],NA())</f>
        <v>44</v>
      </c>
      <c r="S288" s="5" t="e">
        <f>IF(diabetesoriginal[[#This Row],[Diabetes]]=$S$1,diabetesoriginal[[#This Row],[Skin Thickness]],NA())</f>
        <v>#N/A</v>
      </c>
      <c r="U288" s="5">
        <f>IF(diabetesoriginal[[#This Row],[Diabetes]]=$U$1,diabetesoriginal[[#This Row],[Insulin]],NA())</f>
        <v>545</v>
      </c>
      <c r="V288" s="5" t="e">
        <f>IF(diabetesoriginal[[#This Row],[Diabetes]]=$S$1,diabetesoriginal[[#This Row],[Insulin]],NA())</f>
        <v>#N/A</v>
      </c>
    </row>
    <row r="289" spans="1:22" x14ac:dyDescent="0.25">
      <c r="A289" s="5">
        <v>1</v>
      </c>
      <c r="B289" s="5">
        <v>119</v>
      </c>
      <c r="C289" s="5">
        <v>86</v>
      </c>
      <c r="D289" s="5" t="s">
        <v>25</v>
      </c>
      <c r="E289" s="5">
        <v>39</v>
      </c>
      <c r="F289" s="5">
        <v>220</v>
      </c>
      <c r="G289" s="5">
        <v>45.6</v>
      </c>
      <c r="H289" s="5" t="s">
        <v>32</v>
      </c>
      <c r="I289" s="5">
        <v>0.80800000000000005</v>
      </c>
      <c r="J289" s="5">
        <v>29</v>
      </c>
      <c r="K289" s="5" t="s">
        <v>35</v>
      </c>
      <c r="L289" s="15">
        <v>1</v>
      </c>
      <c r="M289" s="5" t="s">
        <v>57</v>
      </c>
      <c r="N289" s="5" t="s">
        <v>56</v>
      </c>
      <c r="O289" s="5" t="s">
        <v>59</v>
      </c>
      <c r="R289" s="5" t="e">
        <f>IF(diabetesoriginal[[#This Row],[Diabetes]]=$R$1,diabetesoriginal[[#This Row],[Skin Thickness]],NA())</f>
        <v>#N/A</v>
      </c>
      <c r="S289" s="5">
        <f>IF(diabetesoriginal[[#This Row],[Diabetes]]=$S$1,diabetesoriginal[[#This Row],[Skin Thickness]],NA())</f>
        <v>39</v>
      </c>
      <c r="U289" s="5" t="e">
        <f>IF(diabetesoriginal[[#This Row],[Diabetes]]=$U$1,diabetesoriginal[[#This Row],[Insulin]],NA())</f>
        <v>#N/A</v>
      </c>
      <c r="V289" s="5">
        <f>IF(diabetesoriginal[[#This Row],[Diabetes]]=$S$1,diabetesoriginal[[#This Row],[Insulin]],NA())</f>
        <v>220</v>
      </c>
    </row>
    <row r="290" spans="1:22" x14ac:dyDescent="0.25">
      <c r="A290" s="5">
        <v>4</v>
      </c>
      <c r="B290" s="5">
        <v>96</v>
      </c>
      <c r="C290" s="5">
        <v>56</v>
      </c>
      <c r="D290" s="5" t="s">
        <v>23</v>
      </c>
      <c r="E290" s="5">
        <v>17</v>
      </c>
      <c r="F290" s="5">
        <v>49</v>
      </c>
      <c r="G290" s="5">
        <v>20.8</v>
      </c>
      <c r="H290" s="5" t="s">
        <v>31</v>
      </c>
      <c r="I290" s="5">
        <v>0.34</v>
      </c>
      <c r="J290" s="5">
        <v>26</v>
      </c>
      <c r="K290" s="5" t="s">
        <v>35</v>
      </c>
      <c r="L290" s="15">
        <v>0</v>
      </c>
      <c r="M290" s="5" t="s">
        <v>57</v>
      </c>
      <c r="N290" s="5" t="s">
        <v>58</v>
      </c>
      <c r="O290" s="5" t="s">
        <v>31</v>
      </c>
      <c r="R290" s="5">
        <f>IF(diabetesoriginal[[#This Row],[Diabetes]]=$R$1,diabetesoriginal[[#This Row],[Skin Thickness]],NA())</f>
        <v>17</v>
      </c>
      <c r="S290" s="5" t="e">
        <f>IF(diabetesoriginal[[#This Row],[Diabetes]]=$S$1,diabetesoriginal[[#This Row],[Skin Thickness]],NA())</f>
        <v>#N/A</v>
      </c>
      <c r="U290" s="5">
        <f>IF(diabetesoriginal[[#This Row],[Diabetes]]=$U$1,diabetesoriginal[[#This Row],[Insulin]],NA())</f>
        <v>49</v>
      </c>
      <c r="V290" s="5" t="e">
        <f>IF(diabetesoriginal[[#This Row],[Diabetes]]=$S$1,diabetesoriginal[[#This Row],[Insulin]],NA())</f>
        <v>#N/A</v>
      </c>
    </row>
    <row r="291" spans="1:22" x14ac:dyDescent="0.25">
      <c r="A291" s="5">
        <v>5</v>
      </c>
      <c r="B291" s="5">
        <v>108</v>
      </c>
      <c r="C291" s="5">
        <v>72</v>
      </c>
      <c r="D291" s="5" t="s">
        <v>23</v>
      </c>
      <c r="E291" s="5">
        <v>43</v>
      </c>
      <c r="F291" s="5">
        <v>75</v>
      </c>
      <c r="G291" s="5">
        <v>36.1</v>
      </c>
      <c r="H291" s="5" t="s">
        <v>29</v>
      </c>
      <c r="I291" s="5">
        <v>0.26300000000000001</v>
      </c>
      <c r="J291" s="5">
        <v>33</v>
      </c>
      <c r="K291" s="5" t="s">
        <v>36</v>
      </c>
      <c r="L291" s="15">
        <v>0</v>
      </c>
      <c r="M291" s="5" t="s">
        <v>57</v>
      </c>
      <c r="N291" s="5" t="s">
        <v>56</v>
      </c>
      <c r="O291" s="5" t="s">
        <v>31</v>
      </c>
      <c r="R291" s="5">
        <f>IF(diabetesoriginal[[#This Row],[Diabetes]]=$R$1,diabetesoriginal[[#This Row],[Skin Thickness]],NA())</f>
        <v>43</v>
      </c>
      <c r="S291" s="5" t="e">
        <f>IF(diabetesoriginal[[#This Row],[Diabetes]]=$S$1,diabetesoriginal[[#This Row],[Skin Thickness]],NA())</f>
        <v>#N/A</v>
      </c>
      <c r="U291" s="5">
        <f>IF(diabetesoriginal[[#This Row],[Diabetes]]=$U$1,diabetesoriginal[[#This Row],[Insulin]],NA())</f>
        <v>75</v>
      </c>
      <c r="V291" s="5" t="e">
        <f>IF(diabetesoriginal[[#This Row],[Diabetes]]=$S$1,diabetesoriginal[[#This Row],[Insulin]],NA())</f>
        <v>#N/A</v>
      </c>
    </row>
    <row r="292" spans="1:22" x14ac:dyDescent="0.25">
      <c r="A292" s="5">
        <v>0</v>
      </c>
      <c r="B292" s="5">
        <v>78</v>
      </c>
      <c r="C292" s="5">
        <v>88</v>
      </c>
      <c r="D292" s="5" t="s">
        <v>25</v>
      </c>
      <c r="E292" s="5">
        <v>29</v>
      </c>
      <c r="F292" s="5">
        <v>40</v>
      </c>
      <c r="G292" s="5">
        <v>36.9</v>
      </c>
      <c r="H292" s="5" t="s">
        <v>29</v>
      </c>
      <c r="I292" s="5">
        <v>0.434</v>
      </c>
      <c r="J292" s="5">
        <v>21</v>
      </c>
      <c r="K292" s="5" t="s">
        <v>35</v>
      </c>
      <c r="L292" s="15">
        <v>0</v>
      </c>
      <c r="M292" s="5" t="s">
        <v>57</v>
      </c>
      <c r="N292" s="5" t="s">
        <v>56</v>
      </c>
      <c r="O292" s="5" t="s">
        <v>31</v>
      </c>
      <c r="R292" s="5">
        <f>IF(diabetesoriginal[[#This Row],[Diabetes]]=$R$1,diabetesoriginal[[#This Row],[Skin Thickness]],NA())</f>
        <v>29</v>
      </c>
      <c r="S292" s="5" t="e">
        <f>IF(diabetesoriginal[[#This Row],[Diabetes]]=$S$1,diabetesoriginal[[#This Row],[Skin Thickness]],NA())</f>
        <v>#N/A</v>
      </c>
      <c r="U292" s="5">
        <f>IF(diabetesoriginal[[#This Row],[Diabetes]]=$U$1,diabetesoriginal[[#This Row],[Insulin]],NA())</f>
        <v>40</v>
      </c>
      <c r="V292" s="5" t="e">
        <f>IF(diabetesoriginal[[#This Row],[Diabetes]]=$S$1,diabetesoriginal[[#This Row],[Insulin]],NA())</f>
        <v>#N/A</v>
      </c>
    </row>
    <row r="293" spans="1:22" x14ac:dyDescent="0.25">
      <c r="A293" s="5">
        <v>0</v>
      </c>
      <c r="B293" s="5">
        <v>107</v>
      </c>
      <c r="C293" s="5">
        <v>62</v>
      </c>
      <c r="D293" s="5" t="s">
        <v>23</v>
      </c>
      <c r="E293" s="5">
        <v>30</v>
      </c>
      <c r="F293" s="5">
        <v>74</v>
      </c>
      <c r="G293" s="5">
        <v>36.6</v>
      </c>
      <c r="H293" s="5" t="s">
        <v>29</v>
      </c>
      <c r="I293" s="5">
        <v>0.75700000000000001</v>
      </c>
      <c r="J293" s="5">
        <v>25</v>
      </c>
      <c r="K293" s="5" t="s">
        <v>35</v>
      </c>
      <c r="L293" s="15">
        <v>1</v>
      </c>
      <c r="M293" s="5" t="s">
        <v>57</v>
      </c>
      <c r="N293" s="5" t="s">
        <v>56</v>
      </c>
      <c r="O293" s="5" t="s">
        <v>31</v>
      </c>
      <c r="R293" s="5" t="e">
        <f>IF(diabetesoriginal[[#This Row],[Diabetes]]=$R$1,diabetesoriginal[[#This Row],[Skin Thickness]],NA())</f>
        <v>#N/A</v>
      </c>
      <c r="S293" s="5">
        <f>IF(diabetesoriginal[[#This Row],[Diabetes]]=$S$1,diabetesoriginal[[#This Row],[Skin Thickness]],NA())</f>
        <v>30</v>
      </c>
      <c r="U293" s="5" t="e">
        <f>IF(diabetesoriginal[[#This Row],[Diabetes]]=$U$1,diabetesoriginal[[#This Row],[Insulin]],NA())</f>
        <v>#N/A</v>
      </c>
      <c r="V293" s="5">
        <f>IF(diabetesoriginal[[#This Row],[Diabetes]]=$S$1,diabetesoriginal[[#This Row],[Insulin]],NA())</f>
        <v>74</v>
      </c>
    </row>
    <row r="294" spans="1:22" x14ac:dyDescent="0.25">
      <c r="A294" s="5">
        <v>2</v>
      </c>
      <c r="B294" s="5">
        <v>128</v>
      </c>
      <c r="C294" s="5">
        <v>78</v>
      </c>
      <c r="D294" s="5" t="s">
        <v>23</v>
      </c>
      <c r="E294" s="5">
        <v>37</v>
      </c>
      <c r="F294" s="5">
        <v>182</v>
      </c>
      <c r="G294" s="5">
        <v>43.3</v>
      </c>
      <c r="H294" s="5" t="s">
        <v>32</v>
      </c>
      <c r="I294" s="5">
        <v>1.224</v>
      </c>
      <c r="J294" s="5">
        <v>31</v>
      </c>
      <c r="K294" s="5" t="s">
        <v>36</v>
      </c>
      <c r="L294" s="15">
        <v>1</v>
      </c>
      <c r="M294" s="5" t="s">
        <v>57</v>
      </c>
      <c r="N294" s="5" t="s">
        <v>56</v>
      </c>
      <c r="O294" s="5" t="s">
        <v>59</v>
      </c>
      <c r="R294" s="5" t="e">
        <f>IF(diabetesoriginal[[#This Row],[Diabetes]]=$R$1,diabetesoriginal[[#This Row],[Skin Thickness]],NA())</f>
        <v>#N/A</v>
      </c>
      <c r="S294" s="5">
        <f>IF(diabetesoriginal[[#This Row],[Diabetes]]=$S$1,diabetesoriginal[[#This Row],[Skin Thickness]],NA())</f>
        <v>37</v>
      </c>
      <c r="U294" s="5" t="e">
        <f>IF(diabetesoriginal[[#This Row],[Diabetes]]=$U$1,diabetesoriginal[[#This Row],[Insulin]],NA())</f>
        <v>#N/A</v>
      </c>
      <c r="V294" s="5">
        <f>IF(diabetesoriginal[[#This Row],[Diabetes]]=$S$1,diabetesoriginal[[#This Row],[Insulin]],NA())</f>
        <v>182</v>
      </c>
    </row>
    <row r="295" spans="1:22" x14ac:dyDescent="0.25">
      <c r="A295" s="5">
        <v>1</v>
      </c>
      <c r="B295" s="5">
        <v>128</v>
      </c>
      <c r="C295" s="5">
        <v>48</v>
      </c>
      <c r="D295" s="5" t="s">
        <v>23</v>
      </c>
      <c r="E295" s="5">
        <v>45</v>
      </c>
      <c r="F295" s="5">
        <v>194</v>
      </c>
      <c r="G295" s="5">
        <v>40.5</v>
      </c>
      <c r="H295" s="5" t="s">
        <v>32</v>
      </c>
      <c r="I295" s="5">
        <v>0.61299999999999999</v>
      </c>
      <c r="J295" s="5">
        <v>24</v>
      </c>
      <c r="K295" s="5" t="s">
        <v>35</v>
      </c>
      <c r="L295" s="15">
        <v>1</v>
      </c>
      <c r="M295" s="5" t="s">
        <v>57</v>
      </c>
      <c r="N295" s="5" t="s">
        <v>56</v>
      </c>
      <c r="O295" s="5" t="s">
        <v>59</v>
      </c>
      <c r="R295" s="5" t="e">
        <f>IF(diabetesoriginal[[#This Row],[Diabetes]]=$R$1,diabetesoriginal[[#This Row],[Skin Thickness]],NA())</f>
        <v>#N/A</v>
      </c>
      <c r="S295" s="5">
        <f>IF(diabetesoriginal[[#This Row],[Diabetes]]=$S$1,diabetesoriginal[[#This Row],[Skin Thickness]],NA())</f>
        <v>45</v>
      </c>
      <c r="U295" s="5" t="e">
        <f>IF(diabetesoriginal[[#This Row],[Diabetes]]=$U$1,diabetesoriginal[[#This Row],[Insulin]],NA())</f>
        <v>#N/A</v>
      </c>
      <c r="V295" s="5">
        <f>IF(diabetesoriginal[[#This Row],[Diabetes]]=$S$1,diabetesoriginal[[#This Row],[Insulin]],NA())</f>
        <v>194</v>
      </c>
    </row>
    <row r="296" spans="1:22" x14ac:dyDescent="0.25">
      <c r="A296" s="5">
        <v>0</v>
      </c>
      <c r="B296" s="5">
        <v>161</v>
      </c>
      <c r="C296" s="5">
        <v>50</v>
      </c>
      <c r="D296" s="5" t="s">
        <v>23</v>
      </c>
      <c r="E296" s="5">
        <v>29</v>
      </c>
      <c r="F296" s="5">
        <v>125</v>
      </c>
      <c r="G296" s="5">
        <v>21.9</v>
      </c>
      <c r="H296" s="5" t="s">
        <v>31</v>
      </c>
      <c r="I296" s="5">
        <v>0.254</v>
      </c>
      <c r="J296" s="5">
        <v>65</v>
      </c>
      <c r="K296" s="5" t="s">
        <v>39</v>
      </c>
      <c r="L296" s="15">
        <v>0</v>
      </c>
      <c r="M296" s="5" t="s">
        <v>22</v>
      </c>
      <c r="N296" s="5" t="s">
        <v>56</v>
      </c>
      <c r="O296" s="5" t="s">
        <v>31</v>
      </c>
      <c r="R296" s="5">
        <f>IF(diabetesoriginal[[#This Row],[Diabetes]]=$R$1,diabetesoriginal[[#This Row],[Skin Thickness]],NA())</f>
        <v>29</v>
      </c>
      <c r="S296" s="5" t="e">
        <f>IF(diabetesoriginal[[#This Row],[Diabetes]]=$S$1,diabetesoriginal[[#This Row],[Skin Thickness]],NA())</f>
        <v>#N/A</v>
      </c>
      <c r="U296" s="5">
        <f>IF(diabetesoriginal[[#This Row],[Diabetes]]=$U$1,diabetesoriginal[[#This Row],[Insulin]],NA())</f>
        <v>125</v>
      </c>
      <c r="V296" s="5" t="e">
        <f>IF(diabetesoriginal[[#This Row],[Diabetes]]=$S$1,diabetesoriginal[[#This Row],[Insulin]],NA())</f>
        <v>#N/A</v>
      </c>
    </row>
    <row r="297" spans="1:22" x14ac:dyDescent="0.25">
      <c r="A297" s="5">
        <v>6</v>
      </c>
      <c r="B297" s="5">
        <v>151</v>
      </c>
      <c r="C297" s="5">
        <v>62</v>
      </c>
      <c r="D297" s="5" t="s">
        <v>23</v>
      </c>
      <c r="E297" s="5">
        <v>31</v>
      </c>
      <c r="F297" s="5">
        <v>120</v>
      </c>
      <c r="G297" s="5">
        <v>35.5</v>
      </c>
      <c r="H297" s="5" t="s">
        <v>29</v>
      </c>
      <c r="I297" s="5">
        <v>0.69199999999999995</v>
      </c>
      <c r="J297" s="5">
        <v>28</v>
      </c>
      <c r="K297" s="5" t="s">
        <v>35</v>
      </c>
      <c r="L297" s="15">
        <v>0</v>
      </c>
      <c r="M297" s="5" t="s">
        <v>22</v>
      </c>
      <c r="N297" s="5" t="s">
        <v>56</v>
      </c>
      <c r="O297" s="5" t="s">
        <v>31</v>
      </c>
      <c r="R297" s="5">
        <f>IF(diabetesoriginal[[#This Row],[Diabetes]]=$R$1,diabetesoriginal[[#This Row],[Skin Thickness]],NA())</f>
        <v>31</v>
      </c>
      <c r="S297" s="5" t="e">
        <f>IF(diabetesoriginal[[#This Row],[Diabetes]]=$S$1,diabetesoriginal[[#This Row],[Skin Thickness]],NA())</f>
        <v>#N/A</v>
      </c>
      <c r="U297" s="5">
        <f>IF(diabetesoriginal[[#This Row],[Diabetes]]=$U$1,diabetesoriginal[[#This Row],[Insulin]],NA())</f>
        <v>120</v>
      </c>
      <c r="V297" s="5" t="e">
        <f>IF(diabetesoriginal[[#This Row],[Diabetes]]=$S$1,diabetesoriginal[[#This Row],[Insulin]],NA())</f>
        <v>#N/A</v>
      </c>
    </row>
    <row r="298" spans="1:22" x14ac:dyDescent="0.25">
      <c r="A298" s="5">
        <v>2</v>
      </c>
      <c r="B298" s="5">
        <v>146</v>
      </c>
      <c r="C298" s="5">
        <v>70</v>
      </c>
      <c r="D298" s="5" t="s">
        <v>23</v>
      </c>
      <c r="E298" s="5">
        <v>38</v>
      </c>
      <c r="F298" s="5">
        <v>360</v>
      </c>
      <c r="G298" s="5">
        <v>28</v>
      </c>
      <c r="H298" s="5" t="s">
        <v>30</v>
      </c>
      <c r="I298" s="5">
        <v>0.33700000000000002</v>
      </c>
      <c r="J298" s="5">
        <v>29</v>
      </c>
      <c r="K298" s="5" t="s">
        <v>35</v>
      </c>
      <c r="L298" s="15">
        <v>1</v>
      </c>
      <c r="M298" s="5" t="s">
        <v>22</v>
      </c>
      <c r="N298" s="5" t="s">
        <v>56</v>
      </c>
      <c r="O298" s="5" t="s">
        <v>59</v>
      </c>
      <c r="R298" s="5" t="e">
        <f>IF(diabetesoriginal[[#This Row],[Diabetes]]=$R$1,diabetesoriginal[[#This Row],[Skin Thickness]],NA())</f>
        <v>#N/A</v>
      </c>
      <c r="S298" s="5">
        <f>IF(diabetesoriginal[[#This Row],[Diabetes]]=$S$1,diabetesoriginal[[#This Row],[Skin Thickness]],NA())</f>
        <v>38</v>
      </c>
      <c r="U298" s="5" t="e">
        <f>IF(diabetesoriginal[[#This Row],[Diabetes]]=$U$1,diabetesoriginal[[#This Row],[Insulin]],NA())</f>
        <v>#N/A</v>
      </c>
      <c r="V298" s="5">
        <f>IF(diabetesoriginal[[#This Row],[Diabetes]]=$S$1,diabetesoriginal[[#This Row],[Insulin]],NA())</f>
        <v>360</v>
      </c>
    </row>
    <row r="299" spans="1:22" x14ac:dyDescent="0.25">
      <c r="A299" s="5">
        <v>0</v>
      </c>
      <c r="B299" s="5">
        <v>126</v>
      </c>
      <c r="C299" s="5">
        <v>84</v>
      </c>
      <c r="D299" s="5" t="s">
        <v>25</v>
      </c>
      <c r="E299" s="5">
        <v>29</v>
      </c>
      <c r="F299" s="5">
        <v>215</v>
      </c>
      <c r="G299" s="5">
        <v>30.7</v>
      </c>
      <c r="H299" s="5" t="s">
        <v>29</v>
      </c>
      <c r="I299" s="5">
        <v>0.52</v>
      </c>
      <c r="J299" s="5">
        <v>24</v>
      </c>
      <c r="K299" s="5" t="s">
        <v>35</v>
      </c>
      <c r="L299" s="15">
        <v>0</v>
      </c>
      <c r="M299" s="5" t="s">
        <v>57</v>
      </c>
      <c r="N299" s="5" t="s">
        <v>56</v>
      </c>
      <c r="O299" s="5" t="s">
        <v>59</v>
      </c>
      <c r="R299" s="5">
        <f>IF(diabetesoriginal[[#This Row],[Diabetes]]=$R$1,diabetesoriginal[[#This Row],[Skin Thickness]],NA())</f>
        <v>29</v>
      </c>
      <c r="S299" s="5" t="e">
        <f>IF(diabetesoriginal[[#This Row],[Diabetes]]=$S$1,diabetesoriginal[[#This Row],[Skin Thickness]],NA())</f>
        <v>#N/A</v>
      </c>
      <c r="U299" s="5">
        <f>IF(diabetesoriginal[[#This Row],[Diabetes]]=$U$1,diabetesoriginal[[#This Row],[Insulin]],NA())</f>
        <v>215</v>
      </c>
      <c r="V299" s="5" t="e">
        <f>IF(diabetesoriginal[[#This Row],[Diabetes]]=$S$1,diabetesoriginal[[#This Row],[Insulin]],NA())</f>
        <v>#N/A</v>
      </c>
    </row>
    <row r="300" spans="1:22" x14ac:dyDescent="0.25">
      <c r="A300" s="5">
        <v>14</v>
      </c>
      <c r="B300" s="5">
        <v>100</v>
      </c>
      <c r="C300" s="5">
        <v>78</v>
      </c>
      <c r="D300" s="5" t="s">
        <v>23</v>
      </c>
      <c r="E300" s="5">
        <v>25</v>
      </c>
      <c r="F300" s="5">
        <v>184</v>
      </c>
      <c r="G300" s="5">
        <v>36.6</v>
      </c>
      <c r="H300" s="5" t="s">
        <v>29</v>
      </c>
      <c r="I300" s="5">
        <v>0.41199999999999998</v>
      </c>
      <c r="J300" s="5">
        <v>46</v>
      </c>
      <c r="K300" s="5" t="s">
        <v>37</v>
      </c>
      <c r="L300" s="15">
        <v>1</v>
      </c>
      <c r="M300" s="5" t="s">
        <v>57</v>
      </c>
      <c r="N300" s="5" t="s">
        <v>56</v>
      </c>
      <c r="O300" s="5" t="s">
        <v>59</v>
      </c>
      <c r="R300" s="5" t="e">
        <f>IF(diabetesoriginal[[#This Row],[Diabetes]]=$R$1,diabetesoriginal[[#This Row],[Skin Thickness]],NA())</f>
        <v>#N/A</v>
      </c>
      <c r="S300" s="5">
        <f>IF(diabetesoriginal[[#This Row],[Diabetes]]=$S$1,diabetesoriginal[[#This Row],[Skin Thickness]],NA())</f>
        <v>25</v>
      </c>
      <c r="U300" s="5" t="e">
        <f>IF(diabetesoriginal[[#This Row],[Diabetes]]=$U$1,diabetesoriginal[[#This Row],[Insulin]],NA())</f>
        <v>#N/A</v>
      </c>
      <c r="V300" s="5">
        <f>IF(diabetesoriginal[[#This Row],[Diabetes]]=$S$1,diabetesoriginal[[#This Row],[Insulin]],NA())</f>
        <v>184</v>
      </c>
    </row>
    <row r="301" spans="1:22" x14ac:dyDescent="0.25">
      <c r="A301" s="5">
        <v>8</v>
      </c>
      <c r="B301" s="5">
        <v>112</v>
      </c>
      <c r="C301" s="5">
        <v>72</v>
      </c>
      <c r="D301" s="5" t="s">
        <v>23</v>
      </c>
      <c r="E301" s="5">
        <v>29</v>
      </c>
      <c r="F301" s="5">
        <v>125</v>
      </c>
      <c r="G301" s="5">
        <v>23.6</v>
      </c>
      <c r="H301" s="5" t="s">
        <v>31</v>
      </c>
      <c r="I301" s="5">
        <v>0.84</v>
      </c>
      <c r="J301" s="5">
        <v>58</v>
      </c>
      <c r="K301" s="5" t="s">
        <v>38</v>
      </c>
      <c r="L301" s="15">
        <v>0</v>
      </c>
      <c r="M301" s="5" t="s">
        <v>57</v>
      </c>
      <c r="N301" s="5" t="s">
        <v>56</v>
      </c>
      <c r="O301" s="5" t="s">
        <v>31</v>
      </c>
      <c r="R301" s="5">
        <f>IF(diabetesoriginal[[#This Row],[Diabetes]]=$R$1,diabetesoriginal[[#This Row],[Skin Thickness]],NA())</f>
        <v>29</v>
      </c>
      <c r="S301" s="5" t="e">
        <f>IF(diabetesoriginal[[#This Row],[Diabetes]]=$S$1,diabetesoriginal[[#This Row],[Skin Thickness]],NA())</f>
        <v>#N/A</v>
      </c>
      <c r="U301" s="5">
        <f>IF(diabetesoriginal[[#This Row],[Diabetes]]=$U$1,diabetesoriginal[[#This Row],[Insulin]],NA())</f>
        <v>125</v>
      </c>
      <c r="V301" s="5" t="e">
        <f>IF(diabetesoriginal[[#This Row],[Diabetes]]=$S$1,diabetesoriginal[[#This Row],[Insulin]],NA())</f>
        <v>#N/A</v>
      </c>
    </row>
    <row r="302" spans="1:22" x14ac:dyDescent="0.25">
      <c r="A302" s="5">
        <v>0</v>
      </c>
      <c r="B302" s="5">
        <v>167</v>
      </c>
      <c r="C302" s="5">
        <v>72</v>
      </c>
      <c r="D302" s="5" t="s">
        <v>23</v>
      </c>
      <c r="E302" s="5">
        <v>29</v>
      </c>
      <c r="F302" s="5">
        <v>125</v>
      </c>
      <c r="G302" s="5">
        <v>32.299999999999997</v>
      </c>
      <c r="H302" s="5" t="s">
        <v>29</v>
      </c>
      <c r="I302" s="5">
        <v>0.83899999999999997</v>
      </c>
      <c r="J302" s="5">
        <v>30</v>
      </c>
      <c r="K302" s="5" t="s">
        <v>36</v>
      </c>
      <c r="L302" s="15">
        <v>1</v>
      </c>
      <c r="M302" s="5" t="s">
        <v>22</v>
      </c>
      <c r="N302" s="5" t="s">
        <v>56</v>
      </c>
      <c r="O302" s="5" t="s">
        <v>31</v>
      </c>
      <c r="R302" s="5" t="e">
        <f>IF(diabetesoriginal[[#This Row],[Diabetes]]=$R$1,diabetesoriginal[[#This Row],[Skin Thickness]],NA())</f>
        <v>#N/A</v>
      </c>
      <c r="S302" s="5">
        <f>IF(diabetesoriginal[[#This Row],[Diabetes]]=$S$1,diabetesoriginal[[#This Row],[Skin Thickness]],NA())</f>
        <v>29</v>
      </c>
      <c r="U302" s="5" t="e">
        <f>IF(diabetesoriginal[[#This Row],[Diabetes]]=$U$1,diabetesoriginal[[#This Row],[Insulin]],NA())</f>
        <v>#N/A</v>
      </c>
      <c r="V302" s="5">
        <f>IF(diabetesoriginal[[#This Row],[Diabetes]]=$S$1,diabetesoriginal[[#This Row],[Insulin]],NA())</f>
        <v>125</v>
      </c>
    </row>
    <row r="303" spans="1:22" x14ac:dyDescent="0.25">
      <c r="A303" s="5">
        <v>2</v>
      </c>
      <c r="B303" s="5">
        <v>144</v>
      </c>
      <c r="C303" s="5">
        <v>58</v>
      </c>
      <c r="D303" s="5" t="s">
        <v>23</v>
      </c>
      <c r="E303" s="5">
        <v>33</v>
      </c>
      <c r="F303" s="5">
        <v>135</v>
      </c>
      <c r="G303" s="5">
        <v>31.6</v>
      </c>
      <c r="H303" s="5" t="s">
        <v>29</v>
      </c>
      <c r="I303" s="5">
        <v>0.42199999999999999</v>
      </c>
      <c r="J303" s="5">
        <v>25</v>
      </c>
      <c r="K303" s="5" t="s">
        <v>35</v>
      </c>
      <c r="L303" s="15">
        <v>1</v>
      </c>
      <c r="M303" s="5" t="s">
        <v>22</v>
      </c>
      <c r="N303" s="5" t="s">
        <v>56</v>
      </c>
      <c r="O303" s="5" t="s">
        <v>31</v>
      </c>
      <c r="R303" s="5" t="e">
        <f>IF(diabetesoriginal[[#This Row],[Diabetes]]=$R$1,diabetesoriginal[[#This Row],[Skin Thickness]],NA())</f>
        <v>#N/A</v>
      </c>
      <c r="S303" s="5">
        <f>IF(diabetesoriginal[[#This Row],[Diabetes]]=$S$1,diabetesoriginal[[#This Row],[Skin Thickness]],NA())</f>
        <v>33</v>
      </c>
      <c r="U303" s="5" t="e">
        <f>IF(diabetesoriginal[[#This Row],[Diabetes]]=$U$1,diabetesoriginal[[#This Row],[Insulin]],NA())</f>
        <v>#N/A</v>
      </c>
      <c r="V303" s="5">
        <f>IF(diabetesoriginal[[#This Row],[Diabetes]]=$S$1,diabetesoriginal[[#This Row],[Insulin]],NA())</f>
        <v>135</v>
      </c>
    </row>
    <row r="304" spans="1:22" x14ac:dyDescent="0.25">
      <c r="A304" s="5">
        <v>5</v>
      </c>
      <c r="B304" s="5">
        <v>77</v>
      </c>
      <c r="C304" s="5">
        <v>82</v>
      </c>
      <c r="D304" s="5" t="s">
        <v>25</v>
      </c>
      <c r="E304" s="5">
        <v>41</v>
      </c>
      <c r="F304" s="5">
        <v>42</v>
      </c>
      <c r="G304" s="5">
        <v>35.799999999999997</v>
      </c>
      <c r="H304" s="5" t="s">
        <v>29</v>
      </c>
      <c r="I304" s="5">
        <v>0.156</v>
      </c>
      <c r="J304" s="5">
        <v>35</v>
      </c>
      <c r="K304" s="5" t="s">
        <v>36</v>
      </c>
      <c r="L304" s="15">
        <v>0</v>
      </c>
      <c r="M304" s="5" t="s">
        <v>57</v>
      </c>
      <c r="N304" s="5" t="s">
        <v>56</v>
      </c>
      <c r="O304" s="5" t="s">
        <v>31</v>
      </c>
      <c r="R304" s="5">
        <f>IF(diabetesoriginal[[#This Row],[Diabetes]]=$R$1,diabetesoriginal[[#This Row],[Skin Thickness]],NA())</f>
        <v>41</v>
      </c>
      <c r="S304" s="5" t="e">
        <f>IF(diabetesoriginal[[#This Row],[Diabetes]]=$S$1,diabetesoriginal[[#This Row],[Skin Thickness]],NA())</f>
        <v>#N/A</v>
      </c>
      <c r="U304" s="5">
        <f>IF(diabetesoriginal[[#This Row],[Diabetes]]=$U$1,diabetesoriginal[[#This Row],[Insulin]],NA())</f>
        <v>42</v>
      </c>
      <c r="V304" s="5" t="e">
        <f>IF(diabetesoriginal[[#This Row],[Diabetes]]=$S$1,diabetesoriginal[[#This Row],[Insulin]],NA())</f>
        <v>#N/A</v>
      </c>
    </row>
    <row r="305" spans="1:22" x14ac:dyDescent="0.25">
      <c r="A305" s="5">
        <v>5</v>
      </c>
      <c r="B305" s="5">
        <v>115</v>
      </c>
      <c r="C305" s="5">
        <v>98</v>
      </c>
      <c r="D305" s="5" t="s">
        <v>24</v>
      </c>
      <c r="E305" s="5">
        <v>29</v>
      </c>
      <c r="F305" s="5">
        <v>125</v>
      </c>
      <c r="G305" s="5">
        <v>52.9</v>
      </c>
      <c r="H305" s="5" t="s">
        <v>32</v>
      </c>
      <c r="I305" s="5">
        <v>0.20899999999999999</v>
      </c>
      <c r="J305" s="5">
        <v>28</v>
      </c>
      <c r="K305" s="5" t="s">
        <v>35</v>
      </c>
      <c r="L305" s="15">
        <v>1</v>
      </c>
      <c r="M305" s="5" t="s">
        <v>57</v>
      </c>
      <c r="N305" s="5" t="s">
        <v>56</v>
      </c>
      <c r="O305" s="5" t="s">
        <v>31</v>
      </c>
      <c r="R305" s="5" t="e">
        <f>IF(diabetesoriginal[[#This Row],[Diabetes]]=$R$1,diabetesoriginal[[#This Row],[Skin Thickness]],NA())</f>
        <v>#N/A</v>
      </c>
      <c r="S305" s="5">
        <f>IF(diabetesoriginal[[#This Row],[Diabetes]]=$S$1,diabetesoriginal[[#This Row],[Skin Thickness]],NA())</f>
        <v>29</v>
      </c>
      <c r="U305" s="5" t="e">
        <f>IF(diabetesoriginal[[#This Row],[Diabetes]]=$U$1,diabetesoriginal[[#This Row],[Insulin]],NA())</f>
        <v>#N/A</v>
      </c>
      <c r="V305" s="5">
        <f>IF(diabetesoriginal[[#This Row],[Diabetes]]=$S$1,diabetesoriginal[[#This Row],[Insulin]],NA())</f>
        <v>125</v>
      </c>
    </row>
    <row r="306" spans="1:22" x14ac:dyDescent="0.25">
      <c r="A306" s="5">
        <v>3</v>
      </c>
      <c r="B306" s="5">
        <v>150</v>
      </c>
      <c r="C306" s="5">
        <v>76</v>
      </c>
      <c r="D306" s="5" t="s">
        <v>23</v>
      </c>
      <c r="E306" s="5">
        <v>29</v>
      </c>
      <c r="F306" s="5">
        <v>125</v>
      </c>
      <c r="G306" s="5">
        <v>21</v>
      </c>
      <c r="H306" s="5" t="s">
        <v>31</v>
      </c>
      <c r="I306" s="5">
        <v>0.20699999999999999</v>
      </c>
      <c r="J306" s="5">
        <v>37</v>
      </c>
      <c r="K306" s="5" t="s">
        <v>36</v>
      </c>
      <c r="L306" s="15">
        <v>0</v>
      </c>
      <c r="M306" s="5" t="s">
        <v>22</v>
      </c>
      <c r="N306" s="5" t="s">
        <v>56</v>
      </c>
      <c r="O306" s="5" t="s">
        <v>31</v>
      </c>
      <c r="R306" s="5">
        <f>IF(diabetesoriginal[[#This Row],[Diabetes]]=$R$1,diabetesoriginal[[#This Row],[Skin Thickness]],NA())</f>
        <v>29</v>
      </c>
      <c r="S306" s="5" t="e">
        <f>IF(diabetesoriginal[[#This Row],[Diabetes]]=$S$1,diabetesoriginal[[#This Row],[Skin Thickness]],NA())</f>
        <v>#N/A</v>
      </c>
      <c r="U306" s="5">
        <f>IF(diabetesoriginal[[#This Row],[Diabetes]]=$U$1,diabetesoriginal[[#This Row],[Insulin]],NA())</f>
        <v>125</v>
      </c>
      <c r="V306" s="5" t="e">
        <f>IF(diabetesoriginal[[#This Row],[Diabetes]]=$S$1,diabetesoriginal[[#This Row],[Insulin]],NA())</f>
        <v>#N/A</v>
      </c>
    </row>
    <row r="307" spans="1:22" x14ac:dyDescent="0.25">
      <c r="A307" s="5">
        <v>2</v>
      </c>
      <c r="B307" s="5">
        <v>120</v>
      </c>
      <c r="C307" s="5">
        <v>76</v>
      </c>
      <c r="D307" s="5" t="s">
        <v>23</v>
      </c>
      <c r="E307" s="5">
        <v>37</v>
      </c>
      <c r="F307" s="5">
        <v>105</v>
      </c>
      <c r="G307" s="5">
        <v>39.700000000000003</v>
      </c>
      <c r="H307" s="5" t="s">
        <v>29</v>
      </c>
      <c r="I307" s="5">
        <v>0.215</v>
      </c>
      <c r="J307" s="5">
        <v>29</v>
      </c>
      <c r="K307" s="5" t="s">
        <v>35</v>
      </c>
      <c r="L307" s="15">
        <v>0</v>
      </c>
      <c r="M307" s="5" t="s">
        <v>57</v>
      </c>
      <c r="N307" s="5" t="s">
        <v>56</v>
      </c>
      <c r="O307" s="5" t="s">
        <v>31</v>
      </c>
      <c r="R307" s="5">
        <f>IF(diabetesoriginal[[#This Row],[Diabetes]]=$R$1,diabetesoriginal[[#This Row],[Skin Thickness]],NA())</f>
        <v>37</v>
      </c>
      <c r="S307" s="5" t="e">
        <f>IF(diabetesoriginal[[#This Row],[Diabetes]]=$S$1,diabetesoriginal[[#This Row],[Skin Thickness]],NA())</f>
        <v>#N/A</v>
      </c>
      <c r="U307" s="5">
        <f>IF(diabetesoriginal[[#This Row],[Diabetes]]=$U$1,diabetesoriginal[[#This Row],[Insulin]],NA())</f>
        <v>105</v>
      </c>
      <c r="V307" s="5" t="e">
        <f>IF(diabetesoriginal[[#This Row],[Diabetes]]=$S$1,diabetesoriginal[[#This Row],[Insulin]],NA())</f>
        <v>#N/A</v>
      </c>
    </row>
    <row r="308" spans="1:22" x14ac:dyDescent="0.25">
      <c r="A308" s="5">
        <v>10</v>
      </c>
      <c r="B308" s="5">
        <v>161</v>
      </c>
      <c r="C308" s="5">
        <v>68</v>
      </c>
      <c r="D308" s="5" t="s">
        <v>23</v>
      </c>
      <c r="E308" s="5">
        <v>23</v>
      </c>
      <c r="F308" s="5">
        <v>132</v>
      </c>
      <c r="G308" s="5">
        <v>25.5</v>
      </c>
      <c r="H308" s="5" t="s">
        <v>30</v>
      </c>
      <c r="I308" s="5">
        <v>0.32600000000000001</v>
      </c>
      <c r="J308" s="5">
        <v>47</v>
      </c>
      <c r="K308" s="5" t="s">
        <v>37</v>
      </c>
      <c r="L308" s="15">
        <v>1</v>
      </c>
      <c r="M308" s="5" t="s">
        <v>22</v>
      </c>
      <c r="N308" s="5" t="s">
        <v>58</v>
      </c>
      <c r="O308" s="5" t="s">
        <v>31</v>
      </c>
      <c r="R308" s="5" t="e">
        <f>IF(diabetesoriginal[[#This Row],[Diabetes]]=$R$1,diabetesoriginal[[#This Row],[Skin Thickness]],NA())</f>
        <v>#N/A</v>
      </c>
      <c r="S308" s="5">
        <f>IF(diabetesoriginal[[#This Row],[Diabetes]]=$S$1,diabetesoriginal[[#This Row],[Skin Thickness]],NA())</f>
        <v>23</v>
      </c>
      <c r="U308" s="5" t="e">
        <f>IF(diabetesoriginal[[#This Row],[Diabetes]]=$U$1,diabetesoriginal[[#This Row],[Insulin]],NA())</f>
        <v>#N/A</v>
      </c>
      <c r="V308" s="5">
        <f>IF(diabetesoriginal[[#This Row],[Diabetes]]=$S$1,diabetesoriginal[[#This Row],[Insulin]],NA())</f>
        <v>132</v>
      </c>
    </row>
    <row r="309" spans="1:22" x14ac:dyDescent="0.25">
      <c r="A309" s="5">
        <v>0</v>
      </c>
      <c r="B309" s="5">
        <v>137</v>
      </c>
      <c r="C309" s="5">
        <v>68</v>
      </c>
      <c r="D309" s="5" t="s">
        <v>23</v>
      </c>
      <c r="E309" s="5">
        <v>14</v>
      </c>
      <c r="F309" s="5">
        <v>148</v>
      </c>
      <c r="G309" s="5">
        <v>24.8</v>
      </c>
      <c r="H309" s="5" t="s">
        <v>31</v>
      </c>
      <c r="I309" s="5">
        <v>0.14299999999999999</v>
      </c>
      <c r="J309" s="5">
        <v>21</v>
      </c>
      <c r="K309" s="5" t="s">
        <v>35</v>
      </c>
      <c r="L309" s="15">
        <v>0</v>
      </c>
      <c r="M309" s="5" t="s">
        <v>57</v>
      </c>
      <c r="N309" s="5" t="s">
        <v>58</v>
      </c>
      <c r="O309" s="5" t="s">
        <v>31</v>
      </c>
      <c r="R309" s="5">
        <f>IF(diabetesoriginal[[#This Row],[Diabetes]]=$R$1,diabetesoriginal[[#This Row],[Skin Thickness]],NA())</f>
        <v>14</v>
      </c>
      <c r="S309" s="5" t="e">
        <f>IF(diabetesoriginal[[#This Row],[Diabetes]]=$S$1,diabetesoriginal[[#This Row],[Skin Thickness]],NA())</f>
        <v>#N/A</v>
      </c>
      <c r="U309" s="5">
        <f>IF(diabetesoriginal[[#This Row],[Diabetes]]=$U$1,diabetesoriginal[[#This Row],[Insulin]],NA())</f>
        <v>148</v>
      </c>
      <c r="V309" s="5" t="e">
        <f>IF(diabetesoriginal[[#This Row],[Diabetes]]=$S$1,diabetesoriginal[[#This Row],[Insulin]],NA())</f>
        <v>#N/A</v>
      </c>
    </row>
    <row r="310" spans="1:22" x14ac:dyDescent="0.25">
      <c r="A310" s="5">
        <v>0</v>
      </c>
      <c r="B310" s="5">
        <v>128</v>
      </c>
      <c r="C310" s="5">
        <v>68</v>
      </c>
      <c r="D310" s="5" t="s">
        <v>23</v>
      </c>
      <c r="E310" s="5">
        <v>19</v>
      </c>
      <c r="F310" s="5">
        <v>180</v>
      </c>
      <c r="G310" s="5">
        <v>30.5</v>
      </c>
      <c r="H310" s="5" t="s">
        <v>29</v>
      </c>
      <c r="I310" s="5">
        <v>1.391</v>
      </c>
      <c r="J310" s="5">
        <v>25</v>
      </c>
      <c r="K310" s="5" t="s">
        <v>35</v>
      </c>
      <c r="L310" s="15">
        <v>1</v>
      </c>
      <c r="M310" s="5" t="s">
        <v>57</v>
      </c>
      <c r="N310" s="5" t="s">
        <v>58</v>
      </c>
      <c r="O310" s="5" t="s">
        <v>59</v>
      </c>
      <c r="R310" s="5" t="e">
        <f>IF(diabetesoriginal[[#This Row],[Diabetes]]=$R$1,diabetesoriginal[[#This Row],[Skin Thickness]],NA())</f>
        <v>#N/A</v>
      </c>
      <c r="S310" s="5">
        <f>IF(diabetesoriginal[[#This Row],[Diabetes]]=$S$1,diabetesoriginal[[#This Row],[Skin Thickness]],NA())</f>
        <v>19</v>
      </c>
      <c r="U310" s="5" t="e">
        <f>IF(diabetesoriginal[[#This Row],[Diabetes]]=$U$1,diabetesoriginal[[#This Row],[Insulin]],NA())</f>
        <v>#N/A</v>
      </c>
      <c r="V310" s="5">
        <f>IF(diabetesoriginal[[#This Row],[Diabetes]]=$S$1,diabetesoriginal[[#This Row],[Insulin]],NA())</f>
        <v>180</v>
      </c>
    </row>
    <row r="311" spans="1:22" x14ac:dyDescent="0.25">
      <c r="A311" s="5">
        <v>2</v>
      </c>
      <c r="B311" s="5">
        <v>124</v>
      </c>
      <c r="C311" s="5">
        <v>68</v>
      </c>
      <c r="D311" s="5" t="s">
        <v>23</v>
      </c>
      <c r="E311" s="5">
        <v>28</v>
      </c>
      <c r="F311" s="5">
        <v>205</v>
      </c>
      <c r="G311" s="5">
        <v>32.9</v>
      </c>
      <c r="H311" s="5" t="s">
        <v>29</v>
      </c>
      <c r="I311" s="5">
        <v>0.875</v>
      </c>
      <c r="J311" s="5">
        <v>30</v>
      </c>
      <c r="K311" s="5" t="s">
        <v>36</v>
      </c>
      <c r="L311" s="15">
        <v>1</v>
      </c>
      <c r="M311" s="5" t="s">
        <v>57</v>
      </c>
      <c r="N311" s="5" t="s">
        <v>56</v>
      </c>
      <c r="O311" s="5" t="s">
        <v>59</v>
      </c>
      <c r="R311" s="5" t="e">
        <f>IF(diabetesoriginal[[#This Row],[Diabetes]]=$R$1,diabetesoriginal[[#This Row],[Skin Thickness]],NA())</f>
        <v>#N/A</v>
      </c>
      <c r="S311" s="5">
        <f>IF(diabetesoriginal[[#This Row],[Diabetes]]=$S$1,diabetesoriginal[[#This Row],[Skin Thickness]],NA())</f>
        <v>28</v>
      </c>
      <c r="U311" s="5" t="e">
        <f>IF(diabetesoriginal[[#This Row],[Diabetes]]=$U$1,diabetesoriginal[[#This Row],[Insulin]],NA())</f>
        <v>#N/A</v>
      </c>
      <c r="V311" s="5">
        <f>IF(diabetesoriginal[[#This Row],[Diabetes]]=$S$1,diabetesoriginal[[#This Row],[Insulin]],NA())</f>
        <v>205</v>
      </c>
    </row>
    <row r="312" spans="1:22" x14ac:dyDescent="0.25">
      <c r="A312" s="5">
        <v>6</v>
      </c>
      <c r="B312" s="5">
        <v>80</v>
      </c>
      <c r="C312" s="5">
        <v>66</v>
      </c>
      <c r="D312" s="5" t="s">
        <v>23</v>
      </c>
      <c r="E312" s="5">
        <v>30</v>
      </c>
      <c r="F312" s="5">
        <v>125</v>
      </c>
      <c r="G312" s="5">
        <v>26.2</v>
      </c>
      <c r="H312" s="5" t="s">
        <v>30</v>
      </c>
      <c r="I312" s="5">
        <v>0.313</v>
      </c>
      <c r="J312" s="5">
        <v>41</v>
      </c>
      <c r="K312" s="5" t="s">
        <v>37</v>
      </c>
      <c r="L312" s="15">
        <v>0</v>
      </c>
      <c r="M312" s="5" t="s">
        <v>57</v>
      </c>
      <c r="N312" s="5" t="s">
        <v>56</v>
      </c>
      <c r="O312" s="5" t="s">
        <v>31</v>
      </c>
      <c r="R312" s="5">
        <f>IF(diabetesoriginal[[#This Row],[Diabetes]]=$R$1,diabetesoriginal[[#This Row],[Skin Thickness]],NA())</f>
        <v>30</v>
      </c>
      <c r="S312" s="5" t="e">
        <f>IF(diabetesoriginal[[#This Row],[Diabetes]]=$S$1,diabetesoriginal[[#This Row],[Skin Thickness]],NA())</f>
        <v>#N/A</v>
      </c>
      <c r="U312" s="5">
        <f>IF(diabetesoriginal[[#This Row],[Diabetes]]=$U$1,diabetesoriginal[[#This Row],[Insulin]],NA())</f>
        <v>125</v>
      </c>
      <c r="V312" s="5" t="e">
        <f>IF(diabetesoriginal[[#This Row],[Diabetes]]=$S$1,diabetesoriginal[[#This Row],[Insulin]],NA())</f>
        <v>#N/A</v>
      </c>
    </row>
    <row r="313" spans="1:22" x14ac:dyDescent="0.25">
      <c r="A313" s="5">
        <v>0</v>
      </c>
      <c r="B313" s="5">
        <v>106</v>
      </c>
      <c r="C313" s="5">
        <v>70</v>
      </c>
      <c r="D313" s="5" t="s">
        <v>23</v>
      </c>
      <c r="E313" s="5">
        <v>37</v>
      </c>
      <c r="F313" s="5">
        <v>148</v>
      </c>
      <c r="G313" s="5">
        <v>39.4</v>
      </c>
      <c r="H313" s="5" t="s">
        <v>29</v>
      </c>
      <c r="I313" s="5">
        <v>0.60499999999999998</v>
      </c>
      <c r="J313" s="5">
        <v>22</v>
      </c>
      <c r="K313" s="5" t="s">
        <v>35</v>
      </c>
      <c r="L313" s="15">
        <v>0</v>
      </c>
      <c r="M313" s="5" t="s">
        <v>57</v>
      </c>
      <c r="N313" s="5" t="s">
        <v>56</v>
      </c>
      <c r="O313" s="5" t="s">
        <v>31</v>
      </c>
      <c r="R313" s="5">
        <f>IF(diabetesoriginal[[#This Row],[Diabetes]]=$R$1,diabetesoriginal[[#This Row],[Skin Thickness]],NA())</f>
        <v>37</v>
      </c>
      <c r="S313" s="5" t="e">
        <f>IF(diabetesoriginal[[#This Row],[Diabetes]]=$S$1,diabetesoriginal[[#This Row],[Skin Thickness]],NA())</f>
        <v>#N/A</v>
      </c>
      <c r="U313" s="5">
        <f>IF(diabetesoriginal[[#This Row],[Diabetes]]=$U$1,diabetesoriginal[[#This Row],[Insulin]],NA())</f>
        <v>148</v>
      </c>
      <c r="V313" s="5" t="e">
        <f>IF(diabetesoriginal[[#This Row],[Diabetes]]=$S$1,diabetesoriginal[[#This Row],[Insulin]],NA())</f>
        <v>#N/A</v>
      </c>
    </row>
    <row r="314" spans="1:22" x14ac:dyDescent="0.25">
      <c r="A314" s="5">
        <v>2</v>
      </c>
      <c r="B314" s="5">
        <v>155</v>
      </c>
      <c r="C314" s="5">
        <v>74</v>
      </c>
      <c r="D314" s="5" t="s">
        <v>23</v>
      </c>
      <c r="E314" s="5">
        <v>17</v>
      </c>
      <c r="F314" s="5">
        <v>96</v>
      </c>
      <c r="G314" s="5">
        <v>26.6</v>
      </c>
      <c r="H314" s="5" t="s">
        <v>30</v>
      </c>
      <c r="I314" s="5">
        <v>0.433</v>
      </c>
      <c r="J314" s="5">
        <v>27</v>
      </c>
      <c r="K314" s="5" t="s">
        <v>35</v>
      </c>
      <c r="L314" s="15">
        <v>1</v>
      </c>
      <c r="M314" s="5" t="s">
        <v>22</v>
      </c>
      <c r="N314" s="5" t="s">
        <v>58</v>
      </c>
      <c r="O314" s="5" t="s">
        <v>31</v>
      </c>
      <c r="R314" s="5" t="e">
        <f>IF(diabetesoriginal[[#This Row],[Diabetes]]=$R$1,diabetesoriginal[[#This Row],[Skin Thickness]],NA())</f>
        <v>#N/A</v>
      </c>
      <c r="S314" s="5">
        <f>IF(diabetesoriginal[[#This Row],[Diabetes]]=$S$1,diabetesoriginal[[#This Row],[Skin Thickness]],NA())</f>
        <v>17</v>
      </c>
      <c r="U314" s="5" t="e">
        <f>IF(diabetesoriginal[[#This Row],[Diabetes]]=$U$1,diabetesoriginal[[#This Row],[Insulin]],NA())</f>
        <v>#N/A</v>
      </c>
      <c r="V314" s="5">
        <f>IF(diabetesoriginal[[#This Row],[Diabetes]]=$S$1,diabetesoriginal[[#This Row],[Insulin]],NA())</f>
        <v>96</v>
      </c>
    </row>
    <row r="315" spans="1:22" x14ac:dyDescent="0.25">
      <c r="A315" s="5">
        <v>3</v>
      </c>
      <c r="B315" s="5">
        <v>113</v>
      </c>
      <c r="C315" s="5">
        <v>50</v>
      </c>
      <c r="D315" s="5" t="s">
        <v>23</v>
      </c>
      <c r="E315" s="5">
        <v>10</v>
      </c>
      <c r="F315" s="5">
        <v>85</v>
      </c>
      <c r="G315" s="5">
        <v>29.5</v>
      </c>
      <c r="H315" s="5" t="s">
        <v>30</v>
      </c>
      <c r="I315" s="5">
        <v>0.626</v>
      </c>
      <c r="J315" s="5">
        <v>25</v>
      </c>
      <c r="K315" s="5" t="s">
        <v>35</v>
      </c>
      <c r="L315" s="15">
        <v>0</v>
      </c>
      <c r="M315" s="5" t="s">
        <v>57</v>
      </c>
      <c r="N315" s="5" t="s">
        <v>58</v>
      </c>
      <c r="O315" s="5" t="s">
        <v>31</v>
      </c>
      <c r="R315" s="5">
        <f>IF(diabetesoriginal[[#This Row],[Diabetes]]=$R$1,diabetesoriginal[[#This Row],[Skin Thickness]],NA())</f>
        <v>10</v>
      </c>
      <c r="S315" s="5" t="e">
        <f>IF(diabetesoriginal[[#This Row],[Diabetes]]=$S$1,diabetesoriginal[[#This Row],[Skin Thickness]],NA())</f>
        <v>#N/A</v>
      </c>
      <c r="U315" s="5">
        <f>IF(diabetesoriginal[[#This Row],[Diabetes]]=$U$1,diabetesoriginal[[#This Row],[Insulin]],NA())</f>
        <v>85</v>
      </c>
      <c r="V315" s="5" t="e">
        <f>IF(diabetesoriginal[[#This Row],[Diabetes]]=$S$1,diabetesoriginal[[#This Row],[Insulin]],NA())</f>
        <v>#N/A</v>
      </c>
    </row>
    <row r="316" spans="1:22" x14ac:dyDescent="0.25">
      <c r="A316" s="5">
        <v>7</v>
      </c>
      <c r="B316" s="5">
        <v>109</v>
      </c>
      <c r="C316" s="5">
        <v>80</v>
      </c>
      <c r="D316" s="5" t="s">
        <v>25</v>
      </c>
      <c r="E316" s="5">
        <v>31</v>
      </c>
      <c r="F316" s="5">
        <v>125</v>
      </c>
      <c r="G316" s="5">
        <v>35.9</v>
      </c>
      <c r="H316" s="5" t="s">
        <v>29</v>
      </c>
      <c r="I316" s="5">
        <v>1.127</v>
      </c>
      <c r="J316" s="5">
        <v>43</v>
      </c>
      <c r="K316" s="5" t="s">
        <v>37</v>
      </c>
      <c r="L316" s="15">
        <v>1</v>
      </c>
      <c r="M316" s="5" t="s">
        <v>57</v>
      </c>
      <c r="N316" s="5" t="s">
        <v>56</v>
      </c>
      <c r="O316" s="5" t="s">
        <v>31</v>
      </c>
      <c r="R316" s="5" t="e">
        <f>IF(diabetesoriginal[[#This Row],[Diabetes]]=$R$1,diabetesoriginal[[#This Row],[Skin Thickness]],NA())</f>
        <v>#N/A</v>
      </c>
      <c r="S316" s="5">
        <f>IF(diabetesoriginal[[#This Row],[Diabetes]]=$S$1,diabetesoriginal[[#This Row],[Skin Thickness]],NA())</f>
        <v>31</v>
      </c>
      <c r="U316" s="5" t="e">
        <f>IF(diabetesoriginal[[#This Row],[Diabetes]]=$U$1,diabetesoriginal[[#This Row],[Insulin]],NA())</f>
        <v>#N/A</v>
      </c>
      <c r="V316" s="5">
        <f>IF(diabetesoriginal[[#This Row],[Diabetes]]=$S$1,diabetesoriginal[[#This Row],[Insulin]],NA())</f>
        <v>125</v>
      </c>
    </row>
    <row r="317" spans="1:22" x14ac:dyDescent="0.25">
      <c r="A317" s="5">
        <v>2</v>
      </c>
      <c r="B317" s="5">
        <v>112</v>
      </c>
      <c r="C317" s="5">
        <v>68</v>
      </c>
      <c r="D317" s="5" t="s">
        <v>23</v>
      </c>
      <c r="E317" s="5">
        <v>22</v>
      </c>
      <c r="F317" s="5">
        <v>94</v>
      </c>
      <c r="G317" s="5">
        <v>34.1</v>
      </c>
      <c r="H317" s="5" t="s">
        <v>29</v>
      </c>
      <c r="I317" s="5">
        <v>0.315</v>
      </c>
      <c r="J317" s="5">
        <v>26</v>
      </c>
      <c r="K317" s="5" t="s">
        <v>35</v>
      </c>
      <c r="L317" s="15">
        <v>0</v>
      </c>
      <c r="M317" s="5" t="s">
        <v>57</v>
      </c>
      <c r="N317" s="5" t="s">
        <v>58</v>
      </c>
      <c r="O317" s="5" t="s">
        <v>31</v>
      </c>
      <c r="R317" s="5">
        <f>IF(diabetesoriginal[[#This Row],[Diabetes]]=$R$1,diabetesoriginal[[#This Row],[Skin Thickness]],NA())</f>
        <v>22</v>
      </c>
      <c r="S317" s="5" t="e">
        <f>IF(diabetesoriginal[[#This Row],[Diabetes]]=$S$1,diabetesoriginal[[#This Row],[Skin Thickness]],NA())</f>
        <v>#N/A</v>
      </c>
      <c r="U317" s="5">
        <f>IF(diabetesoriginal[[#This Row],[Diabetes]]=$U$1,diabetesoriginal[[#This Row],[Insulin]],NA())</f>
        <v>94</v>
      </c>
      <c r="V317" s="5" t="e">
        <f>IF(diabetesoriginal[[#This Row],[Diabetes]]=$S$1,diabetesoriginal[[#This Row],[Insulin]],NA())</f>
        <v>#N/A</v>
      </c>
    </row>
    <row r="318" spans="1:22" x14ac:dyDescent="0.25">
      <c r="A318" s="5">
        <v>3</v>
      </c>
      <c r="B318" s="5">
        <v>99</v>
      </c>
      <c r="C318" s="5">
        <v>80</v>
      </c>
      <c r="D318" s="5" t="s">
        <v>25</v>
      </c>
      <c r="E318" s="5">
        <v>11</v>
      </c>
      <c r="F318" s="5">
        <v>64</v>
      </c>
      <c r="G318" s="5">
        <v>19.3</v>
      </c>
      <c r="H318" s="5" t="s">
        <v>31</v>
      </c>
      <c r="I318" s="5">
        <v>0.28399999999999997</v>
      </c>
      <c r="J318" s="5">
        <v>30</v>
      </c>
      <c r="K318" s="5" t="s">
        <v>36</v>
      </c>
      <c r="L318" s="15">
        <v>0</v>
      </c>
      <c r="M318" s="5" t="s">
        <v>57</v>
      </c>
      <c r="N318" s="5" t="s">
        <v>58</v>
      </c>
      <c r="O318" s="5" t="s">
        <v>31</v>
      </c>
      <c r="R318" s="5">
        <f>IF(diabetesoriginal[[#This Row],[Diabetes]]=$R$1,diabetesoriginal[[#This Row],[Skin Thickness]],NA())</f>
        <v>11</v>
      </c>
      <c r="S318" s="5" t="e">
        <f>IF(diabetesoriginal[[#This Row],[Diabetes]]=$S$1,diabetesoriginal[[#This Row],[Skin Thickness]],NA())</f>
        <v>#N/A</v>
      </c>
      <c r="U318" s="5">
        <f>IF(diabetesoriginal[[#This Row],[Diabetes]]=$U$1,diabetesoriginal[[#This Row],[Insulin]],NA())</f>
        <v>64</v>
      </c>
      <c r="V318" s="5" t="e">
        <f>IF(diabetesoriginal[[#This Row],[Diabetes]]=$S$1,diabetesoriginal[[#This Row],[Insulin]],NA())</f>
        <v>#N/A</v>
      </c>
    </row>
    <row r="319" spans="1:22" x14ac:dyDescent="0.25">
      <c r="A319" s="5">
        <v>3</v>
      </c>
      <c r="B319" s="5">
        <v>182</v>
      </c>
      <c r="C319" s="5">
        <v>74</v>
      </c>
      <c r="D319" s="5" t="s">
        <v>23</v>
      </c>
      <c r="E319" s="5">
        <v>29</v>
      </c>
      <c r="F319" s="5">
        <v>125</v>
      </c>
      <c r="G319" s="5">
        <v>30.5</v>
      </c>
      <c r="H319" s="5" t="s">
        <v>29</v>
      </c>
      <c r="I319" s="5">
        <v>0.34499999999999997</v>
      </c>
      <c r="J319" s="5">
        <v>29</v>
      </c>
      <c r="K319" s="5" t="s">
        <v>35</v>
      </c>
      <c r="L319" s="15">
        <v>1</v>
      </c>
      <c r="M319" s="5" t="s">
        <v>22</v>
      </c>
      <c r="N319" s="5" t="s">
        <v>56</v>
      </c>
      <c r="O319" s="5" t="s">
        <v>31</v>
      </c>
      <c r="R319" s="5" t="e">
        <f>IF(diabetesoriginal[[#This Row],[Diabetes]]=$R$1,diabetesoriginal[[#This Row],[Skin Thickness]],NA())</f>
        <v>#N/A</v>
      </c>
      <c r="S319" s="5">
        <f>IF(diabetesoriginal[[#This Row],[Diabetes]]=$S$1,diabetesoriginal[[#This Row],[Skin Thickness]],NA())</f>
        <v>29</v>
      </c>
      <c r="U319" s="5" t="e">
        <f>IF(diabetesoriginal[[#This Row],[Diabetes]]=$U$1,diabetesoriginal[[#This Row],[Insulin]],NA())</f>
        <v>#N/A</v>
      </c>
      <c r="V319" s="5">
        <f>IF(diabetesoriginal[[#This Row],[Diabetes]]=$S$1,diabetesoriginal[[#This Row],[Insulin]],NA())</f>
        <v>125</v>
      </c>
    </row>
    <row r="320" spans="1:22" x14ac:dyDescent="0.25">
      <c r="A320" s="5">
        <v>3</v>
      </c>
      <c r="B320" s="5">
        <v>115</v>
      </c>
      <c r="C320" s="5">
        <v>66</v>
      </c>
      <c r="D320" s="5" t="s">
        <v>23</v>
      </c>
      <c r="E320" s="5">
        <v>39</v>
      </c>
      <c r="F320" s="5">
        <v>140</v>
      </c>
      <c r="G320" s="5">
        <v>38.1</v>
      </c>
      <c r="H320" s="5" t="s">
        <v>29</v>
      </c>
      <c r="I320" s="5">
        <v>0.15</v>
      </c>
      <c r="J320" s="5">
        <v>28</v>
      </c>
      <c r="K320" s="5" t="s">
        <v>35</v>
      </c>
      <c r="L320" s="15">
        <v>0</v>
      </c>
      <c r="M320" s="5" t="s">
        <v>57</v>
      </c>
      <c r="N320" s="5" t="s">
        <v>56</v>
      </c>
      <c r="O320" s="5" t="s">
        <v>31</v>
      </c>
      <c r="R320" s="5">
        <f>IF(diabetesoriginal[[#This Row],[Diabetes]]=$R$1,diabetesoriginal[[#This Row],[Skin Thickness]],NA())</f>
        <v>39</v>
      </c>
      <c r="S320" s="5" t="e">
        <f>IF(diabetesoriginal[[#This Row],[Diabetes]]=$S$1,diabetesoriginal[[#This Row],[Skin Thickness]],NA())</f>
        <v>#N/A</v>
      </c>
      <c r="U320" s="5">
        <f>IF(diabetesoriginal[[#This Row],[Diabetes]]=$U$1,diabetesoriginal[[#This Row],[Insulin]],NA())</f>
        <v>140</v>
      </c>
      <c r="V320" s="5" t="e">
        <f>IF(diabetesoriginal[[#This Row],[Diabetes]]=$S$1,diabetesoriginal[[#This Row],[Insulin]],NA())</f>
        <v>#N/A</v>
      </c>
    </row>
    <row r="321" spans="1:22" x14ac:dyDescent="0.25">
      <c r="A321" s="5">
        <v>6</v>
      </c>
      <c r="B321" s="5">
        <v>194</v>
      </c>
      <c r="C321" s="5">
        <v>78</v>
      </c>
      <c r="D321" s="5" t="s">
        <v>23</v>
      </c>
      <c r="E321" s="5">
        <v>29</v>
      </c>
      <c r="F321" s="5">
        <v>125</v>
      </c>
      <c r="G321" s="5">
        <v>23.5</v>
      </c>
      <c r="H321" s="5" t="s">
        <v>31</v>
      </c>
      <c r="I321" s="5">
        <v>0.129</v>
      </c>
      <c r="J321" s="5">
        <v>59</v>
      </c>
      <c r="K321" s="5" t="s">
        <v>38</v>
      </c>
      <c r="L321" s="15">
        <v>1</v>
      </c>
      <c r="M321" s="5" t="s">
        <v>22</v>
      </c>
      <c r="N321" s="5" t="s">
        <v>56</v>
      </c>
      <c r="O321" s="5" t="s">
        <v>31</v>
      </c>
      <c r="R321" s="5" t="e">
        <f>IF(diabetesoriginal[[#This Row],[Diabetes]]=$R$1,diabetesoriginal[[#This Row],[Skin Thickness]],NA())</f>
        <v>#N/A</v>
      </c>
      <c r="S321" s="5">
        <f>IF(diabetesoriginal[[#This Row],[Diabetes]]=$S$1,diabetesoriginal[[#This Row],[Skin Thickness]],NA())</f>
        <v>29</v>
      </c>
      <c r="U321" s="5" t="e">
        <f>IF(diabetesoriginal[[#This Row],[Diabetes]]=$U$1,diabetesoriginal[[#This Row],[Insulin]],NA())</f>
        <v>#N/A</v>
      </c>
      <c r="V321" s="5">
        <f>IF(diabetesoriginal[[#This Row],[Diabetes]]=$S$1,diabetesoriginal[[#This Row],[Insulin]],NA())</f>
        <v>125</v>
      </c>
    </row>
    <row r="322" spans="1:22" x14ac:dyDescent="0.25">
      <c r="A322" s="5">
        <v>4</v>
      </c>
      <c r="B322" s="5">
        <v>129</v>
      </c>
      <c r="C322" s="5">
        <v>60</v>
      </c>
      <c r="D322" s="5" t="s">
        <v>23</v>
      </c>
      <c r="E322" s="5">
        <v>12</v>
      </c>
      <c r="F322" s="5">
        <v>231</v>
      </c>
      <c r="G322" s="5">
        <v>27.5</v>
      </c>
      <c r="H322" s="5" t="s">
        <v>30</v>
      </c>
      <c r="I322" s="5">
        <v>0.52700000000000002</v>
      </c>
      <c r="J322" s="5">
        <v>31</v>
      </c>
      <c r="K322" s="5" t="s">
        <v>36</v>
      </c>
      <c r="L322" s="15">
        <v>0</v>
      </c>
      <c r="M322" s="5" t="s">
        <v>57</v>
      </c>
      <c r="N322" s="5" t="s">
        <v>58</v>
      </c>
      <c r="O322" s="5" t="s">
        <v>59</v>
      </c>
      <c r="R322" s="5">
        <f>IF(diabetesoriginal[[#This Row],[Diabetes]]=$R$1,diabetesoriginal[[#This Row],[Skin Thickness]],NA())</f>
        <v>12</v>
      </c>
      <c r="S322" s="5" t="e">
        <f>IF(diabetesoriginal[[#This Row],[Diabetes]]=$S$1,diabetesoriginal[[#This Row],[Skin Thickness]],NA())</f>
        <v>#N/A</v>
      </c>
      <c r="U322" s="5">
        <f>IF(diabetesoriginal[[#This Row],[Diabetes]]=$U$1,diabetesoriginal[[#This Row],[Insulin]],NA())</f>
        <v>231</v>
      </c>
      <c r="V322" s="5" t="e">
        <f>IF(diabetesoriginal[[#This Row],[Diabetes]]=$S$1,diabetesoriginal[[#This Row],[Insulin]],NA())</f>
        <v>#N/A</v>
      </c>
    </row>
    <row r="323" spans="1:22" x14ac:dyDescent="0.25">
      <c r="A323" s="5">
        <v>3</v>
      </c>
      <c r="B323" s="5">
        <v>112</v>
      </c>
      <c r="C323" s="5">
        <v>74</v>
      </c>
      <c r="D323" s="5" t="s">
        <v>23</v>
      </c>
      <c r="E323" s="5">
        <v>30</v>
      </c>
      <c r="F323" s="5">
        <v>125</v>
      </c>
      <c r="G323" s="5">
        <v>31.6</v>
      </c>
      <c r="H323" s="5" t="s">
        <v>29</v>
      </c>
      <c r="I323" s="5">
        <v>0.19700000000000001</v>
      </c>
      <c r="J323" s="5">
        <v>25</v>
      </c>
      <c r="K323" s="5" t="s">
        <v>35</v>
      </c>
      <c r="L323" s="15">
        <v>1</v>
      </c>
      <c r="M323" s="5" t="s">
        <v>57</v>
      </c>
      <c r="N323" s="5" t="s">
        <v>56</v>
      </c>
      <c r="O323" s="5" t="s">
        <v>31</v>
      </c>
      <c r="R323" s="5" t="e">
        <f>IF(diabetesoriginal[[#This Row],[Diabetes]]=$R$1,diabetesoriginal[[#This Row],[Skin Thickness]],NA())</f>
        <v>#N/A</v>
      </c>
      <c r="S323" s="5">
        <f>IF(diabetesoriginal[[#This Row],[Diabetes]]=$S$1,diabetesoriginal[[#This Row],[Skin Thickness]],NA())</f>
        <v>30</v>
      </c>
      <c r="U323" s="5" t="e">
        <f>IF(diabetesoriginal[[#This Row],[Diabetes]]=$U$1,diabetesoriginal[[#This Row],[Insulin]],NA())</f>
        <v>#N/A</v>
      </c>
      <c r="V323" s="5">
        <f>IF(diabetesoriginal[[#This Row],[Diabetes]]=$S$1,diabetesoriginal[[#This Row],[Insulin]],NA())</f>
        <v>125</v>
      </c>
    </row>
    <row r="324" spans="1:22" x14ac:dyDescent="0.25">
      <c r="A324" s="5">
        <v>0</v>
      </c>
      <c r="B324" s="5">
        <v>124</v>
      </c>
      <c r="C324" s="5">
        <v>70</v>
      </c>
      <c r="D324" s="5" t="s">
        <v>23</v>
      </c>
      <c r="E324" s="5">
        <v>20</v>
      </c>
      <c r="F324" s="5">
        <v>125</v>
      </c>
      <c r="G324" s="5">
        <v>27.4</v>
      </c>
      <c r="H324" s="5" t="s">
        <v>30</v>
      </c>
      <c r="I324" s="5">
        <v>0.254</v>
      </c>
      <c r="J324" s="5">
        <v>36</v>
      </c>
      <c r="K324" s="5" t="s">
        <v>36</v>
      </c>
      <c r="L324" s="15">
        <v>1</v>
      </c>
      <c r="M324" s="5" t="s">
        <v>57</v>
      </c>
      <c r="N324" s="5" t="s">
        <v>58</v>
      </c>
      <c r="O324" s="5" t="s">
        <v>31</v>
      </c>
      <c r="R324" s="5" t="e">
        <f>IF(diabetesoriginal[[#This Row],[Diabetes]]=$R$1,diabetesoriginal[[#This Row],[Skin Thickness]],NA())</f>
        <v>#N/A</v>
      </c>
      <c r="S324" s="5">
        <f>IF(diabetesoriginal[[#This Row],[Diabetes]]=$S$1,diabetesoriginal[[#This Row],[Skin Thickness]],NA())</f>
        <v>20</v>
      </c>
      <c r="U324" s="5" t="e">
        <f>IF(diabetesoriginal[[#This Row],[Diabetes]]=$U$1,diabetesoriginal[[#This Row],[Insulin]],NA())</f>
        <v>#N/A</v>
      </c>
      <c r="V324" s="5">
        <f>IF(diabetesoriginal[[#This Row],[Diabetes]]=$S$1,diabetesoriginal[[#This Row],[Insulin]],NA())</f>
        <v>125</v>
      </c>
    </row>
    <row r="325" spans="1:22" x14ac:dyDescent="0.25">
      <c r="A325" s="5">
        <v>13</v>
      </c>
      <c r="B325" s="5">
        <v>152</v>
      </c>
      <c r="C325" s="5">
        <v>90</v>
      </c>
      <c r="D325" s="5" t="s">
        <v>24</v>
      </c>
      <c r="E325" s="5">
        <v>33</v>
      </c>
      <c r="F325" s="5">
        <v>29</v>
      </c>
      <c r="G325" s="5">
        <v>26.8</v>
      </c>
      <c r="H325" s="5" t="s">
        <v>30</v>
      </c>
      <c r="I325" s="5">
        <v>0.73099999999999998</v>
      </c>
      <c r="J325" s="5">
        <v>43</v>
      </c>
      <c r="K325" s="5" t="s">
        <v>37</v>
      </c>
      <c r="L325" s="15">
        <v>1</v>
      </c>
      <c r="M325" s="5" t="s">
        <v>22</v>
      </c>
      <c r="N325" s="5" t="s">
        <v>56</v>
      </c>
      <c r="O325" s="5" t="s">
        <v>31</v>
      </c>
      <c r="R325" s="5" t="e">
        <f>IF(diabetesoriginal[[#This Row],[Diabetes]]=$R$1,diabetesoriginal[[#This Row],[Skin Thickness]],NA())</f>
        <v>#N/A</v>
      </c>
      <c r="S325" s="5">
        <f>IF(diabetesoriginal[[#This Row],[Diabetes]]=$S$1,diabetesoriginal[[#This Row],[Skin Thickness]],NA())</f>
        <v>33</v>
      </c>
      <c r="U325" s="5" t="e">
        <f>IF(diabetesoriginal[[#This Row],[Diabetes]]=$U$1,diabetesoriginal[[#This Row],[Insulin]],NA())</f>
        <v>#N/A</v>
      </c>
      <c r="V325" s="5">
        <f>IF(diabetesoriginal[[#This Row],[Diabetes]]=$S$1,diabetesoriginal[[#This Row],[Insulin]],NA())</f>
        <v>29</v>
      </c>
    </row>
    <row r="326" spans="1:22" x14ac:dyDescent="0.25">
      <c r="A326" s="5">
        <v>2</v>
      </c>
      <c r="B326" s="5">
        <v>112</v>
      </c>
      <c r="C326" s="5">
        <v>75</v>
      </c>
      <c r="D326" s="5" t="s">
        <v>23</v>
      </c>
      <c r="E326" s="5">
        <v>32</v>
      </c>
      <c r="F326" s="5">
        <v>125</v>
      </c>
      <c r="G326" s="5">
        <v>35.700000000000003</v>
      </c>
      <c r="H326" s="5" t="s">
        <v>29</v>
      </c>
      <c r="I326" s="5">
        <v>0.14799999999999999</v>
      </c>
      <c r="J326" s="5">
        <v>21</v>
      </c>
      <c r="K326" s="5" t="s">
        <v>35</v>
      </c>
      <c r="L326" s="15">
        <v>0</v>
      </c>
      <c r="M326" s="5" t="s">
        <v>57</v>
      </c>
      <c r="N326" s="5" t="s">
        <v>56</v>
      </c>
      <c r="O326" s="5" t="s">
        <v>31</v>
      </c>
      <c r="R326" s="5">
        <f>IF(diabetesoriginal[[#This Row],[Diabetes]]=$R$1,diabetesoriginal[[#This Row],[Skin Thickness]],NA())</f>
        <v>32</v>
      </c>
      <c r="S326" s="5" t="e">
        <f>IF(diabetesoriginal[[#This Row],[Diabetes]]=$S$1,diabetesoriginal[[#This Row],[Skin Thickness]],NA())</f>
        <v>#N/A</v>
      </c>
      <c r="U326" s="5">
        <f>IF(diabetesoriginal[[#This Row],[Diabetes]]=$U$1,diabetesoriginal[[#This Row],[Insulin]],NA())</f>
        <v>125</v>
      </c>
      <c r="V326" s="5" t="e">
        <f>IF(diabetesoriginal[[#This Row],[Diabetes]]=$S$1,diabetesoriginal[[#This Row],[Insulin]],NA())</f>
        <v>#N/A</v>
      </c>
    </row>
    <row r="327" spans="1:22" x14ac:dyDescent="0.25">
      <c r="A327" s="5">
        <v>1</v>
      </c>
      <c r="B327" s="5">
        <v>157</v>
      </c>
      <c r="C327" s="5">
        <v>72</v>
      </c>
      <c r="D327" s="5" t="s">
        <v>23</v>
      </c>
      <c r="E327" s="5">
        <v>21</v>
      </c>
      <c r="F327" s="5">
        <v>168</v>
      </c>
      <c r="G327" s="5">
        <v>25.6</v>
      </c>
      <c r="H327" s="5" t="s">
        <v>30</v>
      </c>
      <c r="I327" s="5">
        <v>0.123</v>
      </c>
      <c r="J327" s="5">
        <v>24</v>
      </c>
      <c r="K327" s="5" t="s">
        <v>35</v>
      </c>
      <c r="L327" s="15">
        <v>0</v>
      </c>
      <c r="M327" s="5" t="s">
        <v>22</v>
      </c>
      <c r="N327" s="5" t="s">
        <v>58</v>
      </c>
      <c r="O327" s="5" t="s">
        <v>59</v>
      </c>
      <c r="R327" s="5">
        <f>IF(diabetesoriginal[[#This Row],[Diabetes]]=$R$1,diabetesoriginal[[#This Row],[Skin Thickness]],NA())</f>
        <v>21</v>
      </c>
      <c r="S327" s="5" t="e">
        <f>IF(diabetesoriginal[[#This Row],[Diabetes]]=$S$1,diabetesoriginal[[#This Row],[Skin Thickness]],NA())</f>
        <v>#N/A</v>
      </c>
      <c r="U327" s="5">
        <f>IF(diabetesoriginal[[#This Row],[Diabetes]]=$U$1,diabetesoriginal[[#This Row],[Insulin]],NA())</f>
        <v>168</v>
      </c>
      <c r="V327" s="5" t="e">
        <f>IF(diabetesoriginal[[#This Row],[Diabetes]]=$S$1,diabetesoriginal[[#This Row],[Insulin]],NA())</f>
        <v>#N/A</v>
      </c>
    </row>
    <row r="328" spans="1:22" x14ac:dyDescent="0.25">
      <c r="A328" s="5">
        <v>1</v>
      </c>
      <c r="B328" s="5">
        <v>122</v>
      </c>
      <c r="C328" s="5">
        <v>64</v>
      </c>
      <c r="D328" s="5" t="s">
        <v>23</v>
      </c>
      <c r="E328" s="5">
        <v>32</v>
      </c>
      <c r="F328" s="5">
        <v>156</v>
      </c>
      <c r="G328" s="5">
        <v>35.1</v>
      </c>
      <c r="H328" s="5" t="s">
        <v>29</v>
      </c>
      <c r="I328" s="5">
        <v>0.69199999999999995</v>
      </c>
      <c r="J328" s="5">
        <v>30</v>
      </c>
      <c r="K328" s="5" t="s">
        <v>36</v>
      </c>
      <c r="L328" s="15">
        <v>1</v>
      </c>
      <c r="M328" s="5" t="s">
        <v>57</v>
      </c>
      <c r="N328" s="5" t="s">
        <v>56</v>
      </c>
      <c r="O328" s="5" t="s">
        <v>31</v>
      </c>
      <c r="R328" s="5" t="e">
        <f>IF(diabetesoriginal[[#This Row],[Diabetes]]=$R$1,diabetesoriginal[[#This Row],[Skin Thickness]],NA())</f>
        <v>#N/A</v>
      </c>
      <c r="S328" s="5">
        <f>IF(diabetesoriginal[[#This Row],[Diabetes]]=$S$1,diabetesoriginal[[#This Row],[Skin Thickness]],NA())</f>
        <v>32</v>
      </c>
      <c r="U328" s="5" t="e">
        <f>IF(diabetesoriginal[[#This Row],[Diabetes]]=$U$1,diabetesoriginal[[#This Row],[Insulin]],NA())</f>
        <v>#N/A</v>
      </c>
      <c r="V328" s="5">
        <f>IF(diabetesoriginal[[#This Row],[Diabetes]]=$S$1,diabetesoriginal[[#This Row],[Insulin]],NA())</f>
        <v>156</v>
      </c>
    </row>
    <row r="329" spans="1:22" x14ac:dyDescent="0.25">
      <c r="A329" s="5">
        <v>10</v>
      </c>
      <c r="B329" s="5">
        <v>179</v>
      </c>
      <c r="C329" s="5">
        <v>70</v>
      </c>
      <c r="D329" s="5" t="s">
        <v>23</v>
      </c>
      <c r="E329" s="5">
        <v>29</v>
      </c>
      <c r="F329" s="5">
        <v>125</v>
      </c>
      <c r="G329" s="5">
        <v>35.1</v>
      </c>
      <c r="H329" s="5" t="s">
        <v>29</v>
      </c>
      <c r="I329" s="5">
        <v>0.2</v>
      </c>
      <c r="J329" s="5">
        <v>37</v>
      </c>
      <c r="K329" s="5" t="s">
        <v>36</v>
      </c>
      <c r="L329" s="15">
        <v>0</v>
      </c>
      <c r="M329" s="5" t="s">
        <v>22</v>
      </c>
      <c r="N329" s="5" t="s">
        <v>56</v>
      </c>
      <c r="O329" s="5" t="s">
        <v>31</v>
      </c>
      <c r="R329" s="5">
        <f>IF(diabetesoriginal[[#This Row],[Diabetes]]=$R$1,diabetesoriginal[[#This Row],[Skin Thickness]],NA())</f>
        <v>29</v>
      </c>
      <c r="S329" s="5" t="e">
        <f>IF(diabetesoriginal[[#This Row],[Diabetes]]=$S$1,diabetesoriginal[[#This Row],[Skin Thickness]],NA())</f>
        <v>#N/A</v>
      </c>
      <c r="U329" s="5">
        <f>IF(diabetesoriginal[[#This Row],[Diabetes]]=$U$1,diabetesoriginal[[#This Row],[Insulin]],NA())</f>
        <v>125</v>
      </c>
      <c r="V329" s="5" t="e">
        <f>IF(diabetesoriginal[[#This Row],[Diabetes]]=$S$1,diabetesoriginal[[#This Row],[Insulin]],NA())</f>
        <v>#N/A</v>
      </c>
    </row>
    <row r="330" spans="1:22" x14ac:dyDescent="0.25">
      <c r="A330" s="5">
        <v>2</v>
      </c>
      <c r="B330" s="5">
        <v>102</v>
      </c>
      <c r="C330" s="5">
        <v>86</v>
      </c>
      <c r="D330" s="5" t="s">
        <v>25</v>
      </c>
      <c r="E330" s="5">
        <v>36</v>
      </c>
      <c r="F330" s="5">
        <v>120</v>
      </c>
      <c r="G330" s="5">
        <v>45.5</v>
      </c>
      <c r="H330" s="5" t="s">
        <v>32</v>
      </c>
      <c r="I330" s="5">
        <v>0.127</v>
      </c>
      <c r="J330" s="5">
        <v>23</v>
      </c>
      <c r="K330" s="5" t="s">
        <v>35</v>
      </c>
      <c r="L330" s="15">
        <v>1</v>
      </c>
      <c r="M330" s="5" t="s">
        <v>57</v>
      </c>
      <c r="N330" s="5" t="s">
        <v>56</v>
      </c>
      <c r="O330" s="5" t="s">
        <v>31</v>
      </c>
      <c r="R330" s="5" t="e">
        <f>IF(diabetesoriginal[[#This Row],[Diabetes]]=$R$1,diabetesoriginal[[#This Row],[Skin Thickness]],NA())</f>
        <v>#N/A</v>
      </c>
      <c r="S330" s="5">
        <f>IF(diabetesoriginal[[#This Row],[Diabetes]]=$S$1,diabetesoriginal[[#This Row],[Skin Thickness]],NA())</f>
        <v>36</v>
      </c>
      <c r="U330" s="5" t="e">
        <f>IF(diabetesoriginal[[#This Row],[Diabetes]]=$U$1,diabetesoriginal[[#This Row],[Insulin]],NA())</f>
        <v>#N/A</v>
      </c>
      <c r="V330" s="5">
        <f>IF(diabetesoriginal[[#This Row],[Diabetes]]=$S$1,diabetesoriginal[[#This Row],[Insulin]],NA())</f>
        <v>120</v>
      </c>
    </row>
    <row r="331" spans="1:22" x14ac:dyDescent="0.25">
      <c r="A331" s="5">
        <v>6</v>
      </c>
      <c r="B331" s="5">
        <v>105</v>
      </c>
      <c r="C331" s="5">
        <v>70</v>
      </c>
      <c r="D331" s="5" t="s">
        <v>23</v>
      </c>
      <c r="E331" s="5">
        <v>32</v>
      </c>
      <c r="F331" s="5">
        <v>68</v>
      </c>
      <c r="G331" s="5">
        <v>30.8</v>
      </c>
      <c r="H331" s="5" t="s">
        <v>29</v>
      </c>
      <c r="I331" s="5">
        <v>0.122</v>
      </c>
      <c r="J331" s="5">
        <v>37</v>
      </c>
      <c r="K331" s="5" t="s">
        <v>36</v>
      </c>
      <c r="L331" s="15">
        <v>0</v>
      </c>
      <c r="M331" s="5" t="s">
        <v>57</v>
      </c>
      <c r="N331" s="5" t="s">
        <v>56</v>
      </c>
      <c r="O331" s="5" t="s">
        <v>31</v>
      </c>
      <c r="R331" s="5">
        <f>IF(diabetesoriginal[[#This Row],[Diabetes]]=$R$1,diabetesoriginal[[#This Row],[Skin Thickness]],NA())</f>
        <v>32</v>
      </c>
      <c r="S331" s="5" t="e">
        <f>IF(diabetesoriginal[[#This Row],[Diabetes]]=$S$1,diabetesoriginal[[#This Row],[Skin Thickness]],NA())</f>
        <v>#N/A</v>
      </c>
      <c r="U331" s="5">
        <f>IF(diabetesoriginal[[#This Row],[Diabetes]]=$U$1,diabetesoriginal[[#This Row],[Insulin]],NA())</f>
        <v>68</v>
      </c>
      <c r="V331" s="5" t="e">
        <f>IF(diabetesoriginal[[#This Row],[Diabetes]]=$S$1,diabetesoriginal[[#This Row],[Insulin]],NA())</f>
        <v>#N/A</v>
      </c>
    </row>
    <row r="332" spans="1:22" x14ac:dyDescent="0.25">
      <c r="A332" s="5">
        <v>8</v>
      </c>
      <c r="B332" s="5">
        <v>118</v>
      </c>
      <c r="C332" s="5">
        <v>72</v>
      </c>
      <c r="D332" s="5" t="s">
        <v>23</v>
      </c>
      <c r="E332" s="5">
        <v>19</v>
      </c>
      <c r="F332" s="5">
        <v>125</v>
      </c>
      <c r="G332" s="5">
        <v>23.1</v>
      </c>
      <c r="H332" s="5" t="s">
        <v>31</v>
      </c>
      <c r="I332" s="5">
        <v>1.476</v>
      </c>
      <c r="J332" s="5">
        <v>46</v>
      </c>
      <c r="K332" s="5" t="s">
        <v>37</v>
      </c>
      <c r="L332" s="15">
        <v>0</v>
      </c>
      <c r="M332" s="5" t="s">
        <v>57</v>
      </c>
      <c r="N332" s="5" t="s">
        <v>58</v>
      </c>
      <c r="O332" s="5" t="s">
        <v>31</v>
      </c>
      <c r="R332" s="5">
        <f>IF(diabetesoriginal[[#This Row],[Diabetes]]=$R$1,diabetesoriginal[[#This Row],[Skin Thickness]],NA())</f>
        <v>19</v>
      </c>
      <c r="S332" s="5" t="e">
        <f>IF(diabetesoriginal[[#This Row],[Diabetes]]=$S$1,diabetesoriginal[[#This Row],[Skin Thickness]],NA())</f>
        <v>#N/A</v>
      </c>
      <c r="U332" s="5">
        <f>IF(diabetesoriginal[[#This Row],[Diabetes]]=$U$1,diabetesoriginal[[#This Row],[Insulin]],NA())</f>
        <v>125</v>
      </c>
      <c r="V332" s="5" t="e">
        <f>IF(diabetesoriginal[[#This Row],[Diabetes]]=$S$1,diabetesoriginal[[#This Row],[Insulin]],NA())</f>
        <v>#N/A</v>
      </c>
    </row>
    <row r="333" spans="1:22" x14ac:dyDescent="0.25">
      <c r="A333" s="5">
        <v>2</v>
      </c>
      <c r="B333" s="5">
        <v>87</v>
      </c>
      <c r="C333" s="5">
        <v>58</v>
      </c>
      <c r="D333" s="5" t="s">
        <v>23</v>
      </c>
      <c r="E333" s="5">
        <v>16</v>
      </c>
      <c r="F333" s="5">
        <v>52</v>
      </c>
      <c r="G333" s="5">
        <v>32.700000000000003</v>
      </c>
      <c r="H333" s="5" t="s">
        <v>29</v>
      </c>
      <c r="I333" s="5">
        <v>0.16600000000000001</v>
      </c>
      <c r="J333" s="5">
        <v>25</v>
      </c>
      <c r="K333" s="5" t="s">
        <v>35</v>
      </c>
      <c r="L333" s="15">
        <v>0</v>
      </c>
      <c r="M333" s="5" t="s">
        <v>57</v>
      </c>
      <c r="N333" s="5" t="s">
        <v>58</v>
      </c>
      <c r="O333" s="5" t="s">
        <v>31</v>
      </c>
      <c r="R333" s="5">
        <f>IF(diabetesoriginal[[#This Row],[Diabetes]]=$R$1,diabetesoriginal[[#This Row],[Skin Thickness]],NA())</f>
        <v>16</v>
      </c>
      <c r="S333" s="5" t="e">
        <f>IF(diabetesoriginal[[#This Row],[Diabetes]]=$S$1,diabetesoriginal[[#This Row],[Skin Thickness]],NA())</f>
        <v>#N/A</v>
      </c>
      <c r="U333" s="5">
        <f>IF(diabetesoriginal[[#This Row],[Diabetes]]=$U$1,diabetesoriginal[[#This Row],[Insulin]],NA())</f>
        <v>52</v>
      </c>
      <c r="V333" s="5" t="e">
        <f>IF(diabetesoriginal[[#This Row],[Diabetes]]=$S$1,diabetesoriginal[[#This Row],[Insulin]],NA())</f>
        <v>#N/A</v>
      </c>
    </row>
    <row r="334" spans="1:22" x14ac:dyDescent="0.25">
      <c r="A334" s="5">
        <v>1</v>
      </c>
      <c r="B334" s="5">
        <v>180</v>
      </c>
      <c r="C334" s="5">
        <v>72</v>
      </c>
      <c r="D334" s="5" t="s">
        <v>23</v>
      </c>
      <c r="E334" s="5">
        <v>29</v>
      </c>
      <c r="F334" s="5">
        <v>125</v>
      </c>
      <c r="G334" s="5">
        <v>43.3</v>
      </c>
      <c r="H334" s="5" t="s">
        <v>32</v>
      </c>
      <c r="I334" s="5">
        <v>0.28199999999999997</v>
      </c>
      <c r="J334" s="5">
        <v>41</v>
      </c>
      <c r="K334" s="5" t="s">
        <v>37</v>
      </c>
      <c r="L334" s="15">
        <v>1</v>
      </c>
      <c r="M334" s="5" t="s">
        <v>22</v>
      </c>
      <c r="N334" s="5" t="s">
        <v>56</v>
      </c>
      <c r="O334" s="5" t="s">
        <v>31</v>
      </c>
      <c r="R334" s="5" t="e">
        <f>IF(diabetesoriginal[[#This Row],[Diabetes]]=$R$1,diabetesoriginal[[#This Row],[Skin Thickness]],NA())</f>
        <v>#N/A</v>
      </c>
      <c r="S334" s="5">
        <f>IF(diabetesoriginal[[#This Row],[Diabetes]]=$S$1,diabetesoriginal[[#This Row],[Skin Thickness]],NA())</f>
        <v>29</v>
      </c>
      <c r="U334" s="5" t="e">
        <f>IF(diabetesoriginal[[#This Row],[Diabetes]]=$U$1,diabetesoriginal[[#This Row],[Insulin]],NA())</f>
        <v>#N/A</v>
      </c>
      <c r="V334" s="5">
        <f>IF(diabetesoriginal[[#This Row],[Diabetes]]=$S$1,diabetesoriginal[[#This Row],[Insulin]],NA())</f>
        <v>125</v>
      </c>
    </row>
    <row r="335" spans="1:22" x14ac:dyDescent="0.25">
      <c r="A335" s="5">
        <v>12</v>
      </c>
      <c r="B335" s="5">
        <v>106</v>
      </c>
      <c r="C335" s="5">
        <v>80</v>
      </c>
      <c r="D335" s="5" t="s">
        <v>25</v>
      </c>
      <c r="E335" s="5">
        <v>29</v>
      </c>
      <c r="F335" s="5">
        <v>125</v>
      </c>
      <c r="G335" s="5">
        <v>23.6</v>
      </c>
      <c r="H335" s="5" t="s">
        <v>31</v>
      </c>
      <c r="I335" s="5">
        <v>0.13700000000000001</v>
      </c>
      <c r="J335" s="5">
        <v>44</v>
      </c>
      <c r="K335" s="5" t="s">
        <v>37</v>
      </c>
      <c r="L335" s="15">
        <v>0</v>
      </c>
      <c r="M335" s="5" t="s">
        <v>57</v>
      </c>
      <c r="N335" s="5" t="s">
        <v>56</v>
      </c>
      <c r="O335" s="5" t="s">
        <v>31</v>
      </c>
      <c r="R335" s="5">
        <f>IF(diabetesoriginal[[#This Row],[Diabetes]]=$R$1,diabetesoriginal[[#This Row],[Skin Thickness]],NA())</f>
        <v>29</v>
      </c>
      <c r="S335" s="5" t="e">
        <f>IF(diabetesoriginal[[#This Row],[Diabetes]]=$S$1,diabetesoriginal[[#This Row],[Skin Thickness]],NA())</f>
        <v>#N/A</v>
      </c>
      <c r="U335" s="5">
        <f>IF(diabetesoriginal[[#This Row],[Diabetes]]=$U$1,diabetesoriginal[[#This Row],[Insulin]],NA())</f>
        <v>125</v>
      </c>
      <c r="V335" s="5" t="e">
        <f>IF(diabetesoriginal[[#This Row],[Diabetes]]=$S$1,diabetesoriginal[[#This Row],[Insulin]],NA())</f>
        <v>#N/A</v>
      </c>
    </row>
    <row r="336" spans="1:22" x14ac:dyDescent="0.25">
      <c r="A336" s="5">
        <v>1</v>
      </c>
      <c r="B336" s="5">
        <v>95</v>
      </c>
      <c r="C336" s="5">
        <v>60</v>
      </c>
      <c r="D336" s="5" t="s">
        <v>23</v>
      </c>
      <c r="E336" s="5">
        <v>18</v>
      </c>
      <c r="F336" s="5">
        <v>58</v>
      </c>
      <c r="G336" s="5">
        <v>23.9</v>
      </c>
      <c r="H336" s="5" t="s">
        <v>31</v>
      </c>
      <c r="I336" s="5">
        <v>0.26</v>
      </c>
      <c r="J336" s="5">
        <v>22</v>
      </c>
      <c r="K336" s="5" t="s">
        <v>35</v>
      </c>
      <c r="L336" s="15">
        <v>0</v>
      </c>
      <c r="M336" s="5" t="s">
        <v>57</v>
      </c>
      <c r="N336" s="5" t="s">
        <v>58</v>
      </c>
      <c r="O336" s="5" t="s">
        <v>31</v>
      </c>
      <c r="R336" s="5">
        <f>IF(diabetesoriginal[[#This Row],[Diabetes]]=$R$1,diabetesoriginal[[#This Row],[Skin Thickness]],NA())</f>
        <v>18</v>
      </c>
      <c r="S336" s="5" t="e">
        <f>IF(diabetesoriginal[[#This Row],[Diabetes]]=$S$1,diabetesoriginal[[#This Row],[Skin Thickness]],NA())</f>
        <v>#N/A</v>
      </c>
      <c r="U336" s="5">
        <f>IF(diabetesoriginal[[#This Row],[Diabetes]]=$U$1,diabetesoriginal[[#This Row],[Insulin]],NA())</f>
        <v>58</v>
      </c>
      <c r="V336" s="5" t="e">
        <f>IF(diabetesoriginal[[#This Row],[Diabetes]]=$S$1,diabetesoriginal[[#This Row],[Insulin]],NA())</f>
        <v>#N/A</v>
      </c>
    </row>
    <row r="337" spans="1:22" x14ac:dyDescent="0.25">
      <c r="A337" s="5">
        <v>0</v>
      </c>
      <c r="B337" s="5">
        <v>165</v>
      </c>
      <c r="C337" s="5">
        <v>76</v>
      </c>
      <c r="D337" s="5" t="s">
        <v>23</v>
      </c>
      <c r="E337" s="5">
        <v>43</v>
      </c>
      <c r="F337" s="5">
        <v>255</v>
      </c>
      <c r="G337" s="5">
        <v>47.9</v>
      </c>
      <c r="H337" s="5" t="s">
        <v>32</v>
      </c>
      <c r="I337" s="5">
        <v>0.25900000000000001</v>
      </c>
      <c r="J337" s="5">
        <v>26</v>
      </c>
      <c r="K337" s="5" t="s">
        <v>35</v>
      </c>
      <c r="L337" s="15">
        <v>0</v>
      </c>
      <c r="M337" s="5" t="s">
        <v>22</v>
      </c>
      <c r="N337" s="5" t="s">
        <v>56</v>
      </c>
      <c r="O337" s="5" t="s">
        <v>59</v>
      </c>
      <c r="R337" s="5">
        <f>IF(diabetesoriginal[[#This Row],[Diabetes]]=$R$1,diabetesoriginal[[#This Row],[Skin Thickness]],NA())</f>
        <v>43</v>
      </c>
      <c r="S337" s="5" t="e">
        <f>IF(diabetesoriginal[[#This Row],[Diabetes]]=$S$1,diabetesoriginal[[#This Row],[Skin Thickness]],NA())</f>
        <v>#N/A</v>
      </c>
      <c r="U337" s="5">
        <f>IF(diabetesoriginal[[#This Row],[Diabetes]]=$U$1,diabetesoriginal[[#This Row],[Insulin]],NA())</f>
        <v>255</v>
      </c>
      <c r="V337" s="5" t="e">
        <f>IF(diabetesoriginal[[#This Row],[Diabetes]]=$S$1,diabetesoriginal[[#This Row],[Insulin]],NA())</f>
        <v>#N/A</v>
      </c>
    </row>
    <row r="338" spans="1:22" x14ac:dyDescent="0.25">
      <c r="A338" s="5">
        <v>0</v>
      </c>
      <c r="B338" s="5">
        <v>117</v>
      </c>
      <c r="C338" s="5">
        <v>72</v>
      </c>
      <c r="D338" s="5" t="s">
        <v>23</v>
      </c>
      <c r="E338" s="5">
        <v>29</v>
      </c>
      <c r="F338" s="5">
        <v>125</v>
      </c>
      <c r="G338" s="5">
        <v>33.799999999999997</v>
      </c>
      <c r="H338" s="5" t="s">
        <v>29</v>
      </c>
      <c r="I338" s="5">
        <v>0.93200000000000005</v>
      </c>
      <c r="J338" s="5">
        <v>44</v>
      </c>
      <c r="K338" s="5" t="s">
        <v>37</v>
      </c>
      <c r="L338" s="15">
        <v>0</v>
      </c>
      <c r="M338" s="5" t="s">
        <v>57</v>
      </c>
      <c r="N338" s="5" t="s">
        <v>56</v>
      </c>
      <c r="O338" s="5" t="s">
        <v>31</v>
      </c>
      <c r="R338" s="5">
        <f>IF(diabetesoriginal[[#This Row],[Diabetes]]=$R$1,diabetesoriginal[[#This Row],[Skin Thickness]],NA())</f>
        <v>29</v>
      </c>
      <c r="S338" s="5" t="e">
        <f>IF(diabetesoriginal[[#This Row],[Diabetes]]=$S$1,diabetesoriginal[[#This Row],[Skin Thickness]],NA())</f>
        <v>#N/A</v>
      </c>
      <c r="U338" s="5">
        <f>IF(diabetesoriginal[[#This Row],[Diabetes]]=$U$1,diabetesoriginal[[#This Row],[Insulin]],NA())</f>
        <v>125</v>
      </c>
      <c r="V338" s="5" t="e">
        <f>IF(diabetesoriginal[[#This Row],[Diabetes]]=$S$1,diabetesoriginal[[#This Row],[Insulin]],NA())</f>
        <v>#N/A</v>
      </c>
    </row>
    <row r="339" spans="1:22" x14ac:dyDescent="0.25">
      <c r="A339" s="5">
        <v>5</v>
      </c>
      <c r="B339" s="5">
        <v>115</v>
      </c>
      <c r="C339" s="5">
        <v>76</v>
      </c>
      <c r="D339" s="5" t="s">
        <v>23</v>
      </c>
      <c r="E339" s="5">
        <v>29</v>
      </c>
      <c r="F339" s="5">
        <v>125</v>
      </c>
      <c r="G339" s="5">
        <v>31.2</v>
      </c>
      <c r="H339" s="5" t="s">
        <v>29</v>
      </c>
      <c r="I339" s="5">
        <v>0.34300000000000003</v>
      </c>
      <c r="J339" s="5">
        <v>44</v>
      </c>
      <c r="K339" s="5" t="s">
        <v>37</v>
      </c>
      <c r="L339" s="15">
        <v>1</v>
      </c>
      <c r="M339" s="5" t="s">
        <v>57</v>
      </c>
      <c r="N339" s="5" t="s">
        <v>56</v>
      </c>
      <c r="O339" s="5" t="s">
        <v>31</v>
      </c>
      <c r="R339" s="5" t="e">
        <f>IF(diabetesoriginal[[#This Row],[Diabetes]]=$R$1,diabetesoriginal[[#This Row],[Skin Thickness]],NA())</f>
        <v>#N/A</v>
      </c>
      <c r="S339" s="5">
        <f>IF(diabetesoriginal[[#This Row],[Diabetes]]=$S$1,diabetesoriginal[[#This Row],[Skin Thickness]],NA())</f>
        <v>29</v>
      </c>
      <c r="U339" s="5" t="e">
        <f>IF(diabetesoriginal[[#This Row],[Diabetes]]=$U$1,diabetesoriginal[[#This Row],[Insulin]],NA())</f>
        <v>#N/A</v>
      </c>
      <c r="V339" s="5">
        <f>IF(diabetesoriginal[[#This Row],[Diabetes]]=$S$1,diabetesoriginal[[#This Row],[Insulin]],NA())</f>
        <v>125</v>
      </c>
    </row>
    <row r="340" spans="1:22" x14ac:dyDescent="0.25">
      <c r="A340" s="5">
        <v>9</v>
      </c>
      <c r="B340" s="5">
        <v>152</v>
      </c>
      <c r="C340" s="5">
        <v>78</v>
      </c>
      <c r="D340" s="5" t="s">
        <v>23</v>
      </c>
      <c r="E340" s="5">
        <v>34</v>
      </c>
      <c r="F340" s="5">
        <v>171</v>
      </c>
      <c r="G340" s="5">
        <v>34.200000000000003</v>
      </c>
      <c r="H340" s="5" t="s">
        <v>29</v>
      </c>
      <c r="I340" s="5">
        <v>0.89300000000000002</v>
      </c>
      <c r="J340" s="5">
        <v>33</v>
      </c>
      <c r="K340" s="5" t="s">
        <v>36</v>
      </c>
      <c r="L340" s="15">
        <v>1</v>
      </c>
      <c r="M340" s="5" t="s">
        <v>22</v>
      </c>
      <c r="N340" s="5" t="s">
        <v>56</v>
      </c>
      <c r="O340" s="5" t="s">
        <v>59</v>
      </c>
      <c r="R340" s="5" t="e">
        <f>IF(diabetesoriginal[[#This Row],[Diabetes]]=$R$1,diabetesoriginal[[#This Row],[Skin Thickness]],NA())</f>
        <v>#N/A</v>
      </c>
      <c r="S340" s="5">
        <f>IF(diabetesoriginal[[#This Row],[Diabetes]]=$S$1,diabetesoriginal[[#This Row],[Skin Thickness]],NA())</f>
        <v>34</v>
      </c>
      <c r="U340" s="5" t="e">
        <f>IF(diabetesoriginal[[#This Row],[Diabetes]]=$U$1,diabetesoriginal[[#This Row],[Insulin]],NA())</f>
        <v>#N/A</v>
      </c>
      <c r="V340" s="5">
        <f>IF(diabetesoriginal[[#This Row],[Diabetes]]=$S$1,diabetesoriginal[[#This Row],[Insulin]],NA())</f>
        <v>171</v>
      </c>
    </row>
    <row r="341" spans="1:22" x14ac:dyDescent="0.25">
      <c r="A341" s="5">
        <v>7</v>
      </c>
      <c r="B341" s="5">
        <v>178</v>
      </c>
      <c r="C341" s="5">
        <v>84</v>
      </c>
      <c r="D341" s="5" t="s">
        <v>25</v>
      </c>
      <c r="E341" s="5">
        <v>29</v>
      </c>
      <c r="F341" s="5">
        <v>125</v>
      </c>
      <c r="G341" s="5">
        <v>39.9</v>
      </c>
      <c r="H341" s="5" t="s">
        <v>29</v>
      </c>
      <c r="I341" s="5">
        <v>0.33100000000000002</v>
      </c>
      <c r="J341" s="5">
        <v>41</v>
      </c>
      <c r="K341" s="5" t="s">
        <v>37</v>
      </c>
      <c r="L341" s="15">
        <v>1</v>
      </c>
      <c r="M341" s="5" t="s">
        <v>22</v>
      </c>
      <c r="N341" s="5" t="s">
        <v>56</v>
      </c>
      <c r="O341" s="5" t="s">
        <v>31</v>
      </c>
      <c r="R341" s="5" t="e">
        <f>IF(diabetesoriginal[[#This Row],[Diabetes]]=$R$1,diabetesoriginal[[#This Row],[Skin Thickness]],NA())</f>
        <v>#N/A</v>
      </c>
      <c r="S341" s="5">
        <f>IF(diabetesoriginal[[#This Row],[Diabetes]]=$S$1,diabetesoriginal[[#This Row],[Skin Thickness]],NA())</f>
        <v>29</v>
      </c>
      <c r="U341" s="5" t="e">
        <f>IF(diabetesoriginal[[#This Row],[Diabetes]]=$U$1,diabetesoriginal[[#This Row],[Insulin]],NA())</f>
        <v>#N/A</v>
      </c>
      <c r="V341" s="5">
        <f>IF(diabetesoriginal[[#This Row],[Diabetes]]=$S$1,diabetesoriginal[[#This Row],[Insulin]],NA())</f>
        <v>125</v>
      </c>
    </row>
    <row r="342" spans="1:22" x14ac:dyDescent="0.25">
      <c r="A342" s="5">
        <v>1</v>
      </c>
      <c r="B342" s="5">
        <v>130</v>
      </c>
      <c r="C342" s="5">
        <v>70</v>
      </c>
      <c r="D342" s="5" t="s">
        <v>23</v>
      </c>
      <c r="E342" s="5">
        <v>13</v>
      </c>
      <c r="F342" s="5">
        <v>105</v>
      </c>
      <c r="G342" s="5">
        <v>25.9</v>
      </c>
      <c r="H342" s="5" t="s">
        <v>30</v>
      </c>
      <c r="I342" s="5">
        <v>0.47199999999999998</v>
      </c>
      <c r="J342" s="5">
        <v>22</v>
      </c>
      <c r="K342" s="5" t="s">
        <v>35</v>
      </c>
      <c r="L342" s="15">
        <v>0</v>
      </c>
      <c r="M342" s="5" t="s">
        <v>57</v>
      </c>
      <c r="N342" s="5" t="s">
        <v>58</v>
      </c>
      <c r="O342" s="5" t="s">
        <v>31</v>
      </c>
      <c r="R342" s="5">
        <f>IF(diabetesoriginal[[#This Row],[Diabetes]]=$R$1,diabetesoriginal[[#This Row],[Skin Thickness]],NA())</f>
        <v>13</v>
      </c>
      <c r="S342" s="5" t="e">
        <f>IF(diabetesoriginal[[#This Row],[Diabetes]]=$S$1,diabetesoriginal[[#This Row],[Skin Thickness]],NA())</f>
        <v>#N/A</v>
      </c>
      <c r="U342" s="5">
        <f>IF(diabetesoriginal[[#This Row],[Diabetes]]=$U$1,diabetesoriginal[[#This Row],[Insulin]],NA())</f>
        <v>105</v>
      </c>
      <c r="V342" s="5" t="e">
        <f>IF(diabetesoriginal[[#This Row],[Diabetes]]=$S$1,diabetesoriginal[[#This Row],[Insulin]],NA())</f>
        <v>#N/A</v>
      </c>
    </row>
    <row r="343" spans="1:22" x14ac:dyDescent="0.25">
      <c r="A343" s="5">
        <v>1</v>
      </c>
      <c r="B343" s="5">
        <v>95</v>
      </c>
      <c r="C343" s="5">
        <v>74</v>
      </c>
      <c r="D343" s="5" t="s">
        <v>23</v>
      </c>
      <c r="E343" s="5">
        <v>21</v>
      </c>
      <c r="F343" s="5">
        <v>73</v>
      </c>
      <c r="G343" s="5">
        <v>25.9</v>
      </c>
      <c r="H343" s="5" t="s">
        <v>30</v>
      </c>
      <c r="I343" s="5">
        <v>0.67300000000000004</v>
      </c>
      <c r="J343" s="5">
        <v>36</v>
      </c>
      <c r="K343" s="5" t="s">
        <v>36</v>
      </c>
      <c r="L343" s="15">
        <v>0</v>
      </c>
      <c r="M343" s="5" t="s">
        <v>57</v>
      </c>
      <c r="N343" s="5" t="s">
        <v>58</v>
      </c>
      <c r="O343" s="5" t="s">
        <v>31</v>
      </c>
      <c r="R343" s="5">
        <f>IF(diabetesoriginal[[#This Row],[Diabetes]]=$R$1,diabetesoriginal[[#This Row],[Skin Thickness]],NA())</f>
        <v>21</v>
      </c>
      <c r="S343" s="5" t="e">
        <f>IF(diabetesoriginal[[#This Row],[Diabetes]]=$S$1,diabetesoriginal[[#This Row],[Skin Thickness]],NA())</f>
        <v>#N/A</v>
      </c>
      <c r="U343" s="5">
        <f>IF(diabetesoriginal[[#This Row],[Diabetes]]=$U$1,diabetesoriginal[[#This Row],[Insulin]],NA())</f>
        <v>73</v>
      </c>
      <c r="V343" s="5" t="e">
        <f>IF(diabetesoriginal[[#This Row],[Diabetes]]=$S$1,diabetesoriginal[[#This Row],[Insulin]],NA())</f>
        <v>#N/A</v>
      </c>
    </row>
    <row r="344" spans="1:22" x14ac:dyDescent="0.25">
      <c r="A344" s="5">
        <v>1</v>
      </c>
      <c r="B344" s="5">
        <v>117</v>
      </c>
      <c r="C344" s="5">
        <v>68</v>
      </c>
      <c r="D344" s="5" t="s">
        <v>23</v>
      </c>
      <c r="E344" s="5">
        <v>35</v>
      </c>
      <c r="F344" s="5">
        <v>125</v>
      </c>
      <c r="G344" s="5">
        <v>32</v>
      </c>
      <c r="H344" s="5" t="s">
        <v>29</v>
      </c>
      <c r="I344" s="5">
        <v>0.38900000000000001</v>
      </c>
      <c r="J344" s="5">
        <v>22</v>
      </c>
      <c r="K344" s="5" t="s">
        <v>35</v>
      </c>
      <c r="L344" s="15">
        <v>0</v>
      </c>
      <c r="M344" s="5" t="s">
        <v>57</v>
      </c>
      <c r="N344" s="5" t="s">
        <v>56</v>
      </c>
      <c r="O344" s="5" t="s">
        <v>31</v>
      </c>
      <c r="R344" s="5">
        <f>IF(diabetesoriginal[[#This Row],[Diabetes]]=$R$1,diabetesoriginal[[#This Row],[Skin Thickness]],NA())</f>
        <v>35</v>
      </c>
      <c r="S344" s="5" t="e">
        <f>IF(diabetesoriginal[[#This Row],[Diabetes]]=$S$1,diabetesoriginal[[#This Row],[Skin Thickness]],NA())</f>
        <v>#N/A</v>
      </c>
      <c r="U344" s="5">
        <f>IF(diabetesoriginal[[#This Row],[Diabetes]]=$U$1,diabetesoriginal[[#This Row],[Insulin]],NA())</f>
        <v>125</v>
      </c>
      <c r="V344" s="5" t="e">
        <f>IF(diabetesoriginal[[#This Row],[Diabetes]]=$S$1,diabetesoriginal[[#This Row],[Insulin]],NA())</f>
        <v>#N/A</v>
      </c>
    </row>
    <row r="345" spans="1:22" x14ac:dyDescent="0.25">
      <c r="A345" s="5">
        <v>5</v>
      </c>
      <c r="B345" s="5">
        <v>122</v>
      </c>
      <c r="C345" s="5">
        <v>86</v>
      </c>
      <c r="D345" s="5" t="s">
        <v>25</v>
      </c>
      <c r="E345" s="5">
        <v>29</v>
      </c>
      <c r="F345" s="5">
        <v>125</v>
      </c>
      <c r="G345" s="5">
        <v>34.700000000000003</v>
      </c>
      <c r="H345" s="5" t="s">
        <v>29</v>
      </c>
      <c r="I345" s="5">
        <v>0.28999999999999998</v>
      </c>
      <c r="J345" s="5">
        <v>33</v>
      </c>
      <c r="K345" s="5" t="s">
        <v>36</v>
      </c>
      <c r="L345" s="15">
        <v>0</v>
      </c>
      <c r="M345" s="5" t="s">
        <v>57</v>
      </c>
      <c r="N345" s="5" t="s">
        <v>56</v>
      </c>
      <c r="O345" s="5" t="s">
        <v>31</v>
      </c>
      <c r="R345" s="5">
        <f>IF(diabetesoriginal[[#This Row],[Diabetes]]=$R$1,diabetesoriginal[[#This Row],[Skin Thickness]],NA())</f>
        <v>29</v>
      </c>
      <c r="S345" s="5" t="e">
        <f>IF(diabetesoriginal[[#This Row],[Diabetes]]=$S$1,diabetesoriginal[[#This Row],[Skin Thickness]],NA())</f>
        <v>#N/A</v>
      </c>
      <c r="U345" s="5">
        <f>IF(diabetesoriginal[[#This Row],[Diabetes]]=$U$1,diabetesoriginal[[#This Row],[Insulin]],NA())</f>
        <v>125</v>
      </c>
      <c r="V345" s="5" t="e">
        <f>IF(diabetesoriginal[[#This Row],[Diabetes]]=$S$1,diabetesoriginal[[#This Row],[Insulin]],NA())</f>
        <v>#N/A</v>
      </c>
    </row>
    <row r="346" spans="1:22" x14ac:dyDescent="0.25">
      <c r="A346" s="5">
        <v>8</v>
      </c>
      <c r="B346" s="5">
        <v>95</v>
      </c>
      <c r="C346" s="5">
        <v>72</v>
      </c>
      <c r="D346" s="5" t="s">
        <v>23</v>
      </c>
      <c r="E346" s="5">
        <v>29</v>
      </c>
      <c r="F346" s="5">
        <v>125</v>
      </c>
      <c r="G346" s="5">
        <v>36.799999999999997</v>
      </c>
      <c r="H346" s="5" t="s">
        <v>29</v>
      </c>
      <c r="I346" s="5">
        <v>0.48499999999999999</v>
      </c>
      <c r="J346" s="5">
        <v>57</v>
      </c>
      <c r="K346" s="5" t="s">
        <v>38</v>
      </c>
      <c r="L346" s="15">
        <v>0</v>
      </c>
      <c r="M346" s="5" t="s">
        <v>57</v>
      </c>
      <c r="N346" s="5" t="s">
        <v>56</v>
      </c>
      <c r="O346" s="5" t="s">
        <v>31</v>
      </c>
      <c r="R346" s="5">
        <f>IF(diabetesoriginal[[#This Row],[Diabetes]]=$R$1,diabetesoriginal[[#This Row],[Skin Thickness]],NA())</f>
        <v>29</v>
      </c>
      <c r="S346" s="5" t="e">
        <f>IF(diabetesoriginal[[#This Row],[Diabetes]]=$S$1,diabetesoriginal[[#This Row],[Skin Thickness]],NA())</f>
        <v>#N/A</v>
      </c>
      <c r="U346" s="5">
        <f>IF(diabetesoriginal[[#This Row],[Diabetes]]=$U$1,diabetesoriginal[[#This Row],[Insulin]],NA())</f>
        <v>125</v>
      </c>
      <c r="V346" s="5" t="e">
        <f>IF(diabetesoriginal[[#This Row],[Diabetes]]=$S$1,diabetesoriginal[[#This Row],[Insulin]],NA())</f>
        <v>#N/A</v>
      </c>
    </row>
    <row r="347" spans="1:22" x14ac:dyDescent="0.25">
      <c r="A347" s="5">
        <v>8</v>
      </c>
      <c r="B347" s="5">
        <v>126</v>
      </c>
      <c r="C347" s="5">
        <v>88</v>
      </c>
      <c r="D347" s="5" t="s">
        <v>25</v>
      </c>
      <c r="E347" s="5">
        <v>36</v>
      </c>
      <c r="F347" s="5">
        <v>108</v>
      </c>
      <c r="G347" s="5">
        <v>38.5</v>
      </c>
      <c r="H347" s="5" t="s">
        <v>29</v>
      </c>
      <c r="I347" s="5">
        <v>0.34899999999999998</v>
      </c>
      <c r="J347" s="5">
        <v>49</v>
      </c>
      <c r="K347" s="5" t="s">
        <v>37</v>
      </c>
      <c r="L347" s="15">
        <v>0</v>
      </c>
      <c r="M347" s="5" t="s">
        <v>57</v>
      </c>
      <c r="N347" s="5" t="s">
        <v>56</v>
      </c>
      <c r="O347" s="5" t="s">
        <v>31</v>
      </c>
      <c r="R347" s="5">
        <f>IF(diabetesoriginal[[#This Row],[Diabetes]]=$R$1,diabetesoriginal[[#This Row],[Skin Thickness]],NA())</f>
        <v>36</v>
      </c>
      <c r="S347" s="5" t="e">
        <f>IF(diabetesoriginal[[#This Row],[Diabetes]]=$S$1,diabetesoriginal[[#This Row],[Skin Thickness]],NA())</f>
        <v>#N/A</v>
      </c>
      <c r="U347" s="5">
        <f>IF(diabetesoriginal[[#This Row],[Diabetes]]=$U$1,diabetesoriginal[[#This Row],[Insulin]],NA())</f>
        <v>108</v>
      </c>
      <c r="V347" s="5" t="e">
        <f>IF(diabetesoriginal[[#This Row],[Diabetes]]=$S$1,diabetesoriginal[[#This Row],[Insulin]],NA())</f>
        <v>#N/A</v>
      </c>
    </row>
    <row r="348" spans="1:22" x14ac:dyDescent="0.25">
      <c r="A348" s="5">
        <v>1</v>
      </c>
      <c r="B348" s="5">
        <v>139</v>
      </c>
      <c r="C348" s="5">
        <v>46</v>
      </c>
      <c r="D348" s="5" t="s">
        <v>23</v>
      </c>
      <c r="E348" s="5">
        <v>19</v>
      </c>
      <c r="F348" s="5">
        <v>83</v>
      </c>
      <c r="G348" s="5">
        <v>28.7</v>
      </c>
      <c r="H348" s="5" t="s">
        <v>30</v>
      </c>
      <c r="I348" s="5">
        <v>0.65400000000000003</v>
      </c>
      <c r="J348" s="5">
        <v>22</v>
      </c>
      <c r="K348" s="5" t="s">
        <v>35</v>
      </c>
      <c r="L348" s="15">
        <v>0</v>
      </c>
      <c r="M348" s="5" t="s">
        <v>57</v>
      </c>
      <c r="N348" s="5" t="s">
        <v>58</v>
      </c>
      <c r="O348" s="5" t="s">
        <v>31</v>
      </c>
      <c r="R348" s="5">
        <f>IF(diabetesoriginal[[#This Row],[Diabetes]]=$R$1,diabetesoriginal[[#This Row],[Skin Thickness]],NA())</f>
        <v>19</v>
      </c>
      <c r="S348" s="5" t="e">
        <f>IF(diabetesoriginal[[#This Row],[Diabetes]]=$S$1,diabetesoriginal[[#This Row],[Skin Thickness]],NA())</f>
        <v>#N/A</v>
      </c>
      <c r="U348" s="5">
        <f>IF(diabetesoriginal[[#This Row],[Diabetes]]=$U$1,diabetesoriginal[[#This Row],[Insulin]],NA())</f>
        <v>83</v>
      </c>
      <c r="V348" s="5" t="e">
        <f>IF(diabetesoriginal[[#This Row],[Diabetes]]=$S$1,diabetesoriginal[[#This Row],[Insulin]],NA())</f>
        <v>#N/A</v>
      </c>
    </row>
    <row r="349" spans="1:22" x14ac:dyDescent="0.25">
      <c r="A349" s="5">
        <v>3</v>
      </c>
      <c r="B349" s="5">
        <v>116</v>
      </c>
      <c r="C349" s="5">
        <v>72</v>
      </c>
      <c r="D349" s="5" t="s">
        <v>23</v>
      </c>
      <c r="E349" s="5">
        <v>29</v>
      </c>
      <c r="F349" s="5">
        <v>125</v>
      </c>
      <c r="G349" s="5">
        <v>23.5</v>
      </c>
      <c r="H349" s="5" t="s">
        <v>31</v>
      </c>
      <c r="I349" s="5">
        <v>0.187</v>
      </c>
      <c r="J349" s="5">
        <v>23</v>
      </c>
      <c r="K349" s="5" t="s">
        <v>35</v>
      </c>
      <c r="L349" s="15">
        <v>0</v>
      </c>
      <c r="M349" s="5" t="s">
        <v>57</v>
      </c>
      <c r="N349" s="5" t="s">
        <v>56</v>
      </c>
      <c r="O349" s="5" t="s">
        <v>31</v>
      </c>
      <c r="R349" s="5">
        <f>IF(diabetesoriginal[[#This Row],[Diabetes]]=$R$1,diabetesoriginal[[#This Row],[Skin Thickness]],NA())</f>
        <v>29</v>
      </c>
      <c r="S349" s="5" t="e">
        <f>IF(diabetesoriginal[[#This Row],[Diabetes]]=$S$1,diabetesoriginal[[#This Row],[Skin Thickness]],NA())</f>
        <v>#N/A</v>
      </c>
      <c r="U349" s="5">
        <f>IF(diabetesoriginal[[#This Row],[Diabetes]]=$U$1,diabetesoriginal[[#This Row],[Insulin]],NA())</f>
        <v>125</v>
      </c>
      <c r="V349" s="5" t="e">
        <f>IF(diabetesoriginal[[#This Row],[Diabetes]]=$S$1,diabetesoriginal[[#This Row],[Insulin]],NA())</f>
        <v>#N/A</v>
      </c>
    </row>
    <row r="350" spans="1:22" x14ac:dyDescent="0.25">
      <c r="A350" s="5">
        <v>3</v>
      </c>
      <c r="B350" s="5">
        <v>99</v>
      </c>
      <c r="C350" s="5">
        <v>62</v>
      </c>
      <c r="D350" s="5" t="s">
        <v>23</v>
      </c>
      <c r="E350" s="5">
        <v>19</v>
      </c>
      <c r="F350" s="5">
        <v>74</v>
      </c>
      <c r="G350" s="5">
        <v>21.8</v>
      </c>
      <c r="H350" s="5" t="s">
        <v>31</v>
      </c>
      <c r="I350" s="5">
        <v>0.27900000000000003</v>
      </c>
      <c r="J350" s="5">
        <v>26</v>
      </c>
      <c r="K350" s="5" t="s">
        <v>35</v>
      </c>
      <c r="L350" s="15">
        <v>0</v>
      </c>
      <c r="M350" s="5" t="s">
        <v>57</v>
      </c>
      <c r="N350" s="5" t="s">
        <v>58</v>
      </c>
      <c r="O350" s="5" t="s">
        <v>31</v>
      </c>
      <c r="R350" s="5">
        <f>IF(diabetesoriginal[[#This Row],[Diabetes]]=$R$1,diabetesoriginal[[#This Row],[Skin Thickness]],NA())</f>
        <v>19</v>
      </c>
      <c r="S350" s="5" t="e">
        <f>IF(diabetesoriginal[[#This Row],[Diabetes]]=$S$1,diabetesoriginal[[#This Row],[Skin Thickness]],NA())</f>
        <v>#N/A</v>
      </c>
      <c r="U350" s="5">
        <f>IF(diabetesoriginal[[#This Row],[Diabetes]]=$U$1,diabetesoriginal[[#This Row],[Insulin]],NA())</f>
        <v>74</v>
      </c>
      <c r="V350" s="5" t="e">
        <f>IF(diabetesoriginal[[#This Row],[Diabetes]]=$S$1,diabetesoriginal[[#This Row],[Insulin]],NA())</f>
        <v>#N/A</v>
      </c>
    </row>
    <row r="351" spans="1:22" x14ac:dyDescent="0.25">
      <c r="A351" s="5">
        <v>5</v>
      </c>
      <c r="B351" s="5">
        <v>117</v>
      </c>
      <c r="C351" s="5">
        <v>80</v>
      </c>
      <c r="D351" s="5" t="s">
        <v>25</v>
      </c>
      <c r="E351" s="5">
        <v>32</v>
      </c>
      <c r="F351" s="5">
        <v>125</v>
      </c>
      <c r="G351" s="5">
        <v>41</v>
      </c>
      <c r="H351" s="5" t="s">
        <v>32</v>
      </c>
      <c r="I351" s="5">
        <v>0.34599999999999997</v>
      </c>
      <c r="J351" s="5">
        <v>37</v>
      </c>
      <c r="K351" s="5" t="s">
        <v>36</v>
      </c>
      <c r="L351" s="15">
        <v>1</v>
      </c>
      <c r="M351" s="5" t="s">
        <v>57</v>
      </c>
      <c r="N351" s="5" t="s">
        <v>56</v>
      </c>
      <c r="O351" s="5" t="s">
        <v>31</v>
      </c>
      <c r="R351" s="5" t="e">
        <f>IF(diabetesoriginal[[#This Row],[Diabetes]]=$R$1,diabetesoriginal[[#This Row],[Skin Thickness]],NA())</f>
        <v>#N/A</v>
      </c>
      <c r="S351" s="5">
        <f>IF(diabetesoriginal[[#This Row],[Diabetes]]=$S$1,diabetesoriginal[[#This Row],[Skin Thickness]],NA())</f>
        <v>32</v>
      </c>
      <c r="U351" s="5" t="e">
        <f>IF(diabetesoriginal[[#This Row],[Diabetes]]=$U$1,diabetesoriginal[[#This Row],[Insulin]],NA())</f>
        <v>#N/A</v>
      </c>
      <c r="V351" s="5">
        <f>IF(diabetesoriginal[[#This Row],[Diabetes]]=$S$1,diabetesoriginal[[#This Row],[Insulin]],NA())</f>
        <v>125</v>
      </c>
    </row>
    <row r="352" spans="1:22" x14ac:dyDescent="0.25">
      <c r="A352" s="5">
        <v>4</v>
      </c>
      <c r="B352" s="5">
        <v>92</v>
      </c>
      <c r="C352" s="5">
        <v>80</v>
      </c>
      <c r="D352" s="5" t="s">
        <v>25</v>
      </c>
      <c r="E352" s="5">
        <v>29</v>
      </c>
      <c r="F352" s="5">
        <v>125</v>
      </c>
      <c r="G352" s="5">
        <v>42.2</v>
      </c>
      <c r="H352" s="5" t="s">
        <v>32</v>
      </c>
      <c r="I352" s="5">
        <v>0.23699999999999999</v>
      </c>
      <c r="J352" s="5">
        <v>29</v>
      </c>
      <c r="K352" s="5" t="s">
        <v>35</v>
      </c>
      <c r="L352" s="15">
        <v>0</v>
      </c>
      <c r="M352" s="5" t="s">
        <v>57</v>
      </c>
      <c r="N352" s="5" t="s">
        <v>56</v>
      </c>
      <c r="O352" s="5" t="s">
        <v>31</v>
      </c>
      <c r="R352" s="5">
        <f>IF(diabetesoriginal[[#This Row],[Diabetes]]=$R$1,diabetesoriginal[[#This Row],[Skin Thickness]],NA())</f>
        <v>29</v>
      </c>
      <c r="S352" s="5" t="e">
        <f>IF(diabetesoriginal[[#This Row],[Diabetes]]=$S$1,diabetesoriginal[[#This Row],[Skin Thickness]],NA())</f>
        <v>#N/A</v>
      </c>
      <c r="U352" s="5">
        <f>IF(diabetesoriginal[[#This Row],[Diabetes]]=$U$1,diabetesoriginal[[#This Row],[Insulin]],NA())</f>
        <v>125</v>
      </c>
      <c r="V352" s="5" t="e">
        <f>IF(diabetesoriginal[[#This Row],[Diabetes]]=$S$1,diabetesoriginal[[#This Row],[Insulin]],NA())</f>
        <v>#N/A</v>
      </c>
    </row>
    <row r="353" spans="1:22" x14ac:dyDescent="0.25">
      <c r="A353" s="5">
        <v>4</v>
      </c>
      <c r="B353" s="5">
        <v>137</v>
      </c>
      <c r="C353" s="5">
        <v>84</v>
      </c>
      <c r="D353" s="5" t="s">
        <v>25</v>
      </c>
      <c r="E353" s="5">
        <v>29</v>
      </c>
      <c r="F353" s="5">
        <v>125</v>
      </c>
      <c r="G353" s="5">
        <v>31.2</v>
      </c>
      <c r="H353" s="5" t="s">
        <v>29</v>
      </c>
      <c r="I353" s="5">
        <v>0.252</v>
      </c>
      <c r="J353" s="5">
        <v>30</v>
      </c>
      <c r="K353" s="5" t="s">
        <v>36</v>
      </c>
      <c r="L353" s="15">
        <v>0</v>
      </c>
      <c r="M353" s="5" t="s">
        <v>57</v>
      </c>
      <c r="N353" s="5" t="s">
        <v>56</v>
      </c>
      <c r="O353" s="5" t="s">
        <v>31</v>
      </c>
      <c r="R353" s="5">
        <f>IF(diabetesoriginal[[#This Row],[Diabetes]]=$R$1,diabetesoriginal[[#This Row],[Skin Thickness]],NA())</f>
        <v>29</v>
      </c>
      <c r="S353" s="5" t="e">
        <f>IF(diabetesoriginal[[#This Row],[Diabetes]]=$S$1,diabetesoriginal[[#This Row],[Skin Thickness]],NA())</f>
        <v>#N/A</v>
      </c>
      <c r="U353" s="5">
        <f>IF(diabetesoriginal[[#This Row],[Diabetes]]=$U$1,diabetesoriginal[[#This Row],[Insulin]],NA())</f>
        <v>125</v>
      </c>
      <c r="V353" s="5" t="e">
        <f>IF(diabetesoriginal[[#This Row],[Diabetes]]=$S$1,diabetesoriginal[[#This Row],[Insulin]],NA())</f>
        <v>#N/A</v>
      </c>
    </row>
    <row r="354" spans="1:22" x14ac:dyDescent="0.25">
      <c r="A354" s="5">
        <v>3</v>
      </c>
      <c r="B354" s="5">
        <v>61</v>
      </c>
      <c r="C354" s="5">
        <v>82</v>
      </c>
      <c r="D354" s="5" t="s">
        <v>25</v>
      </c>
      <c r="E354" s="5">
        <v>28</v>
      </c>
      <c r="F354" s="5">
        <v>125</v>
      </c>
      <c r="G354" s="5">
        <v>34.4</v>
      </c>
      <c r="H354" s="5" t="s">
        <v>29</v>
      </c>
      <c r="I354" s="5">
        <v>0.24299999999999999</v>
      </c>
      <c r="J354" s="5">
        <v>46</v>
      </c>
      <c r="K354" s="5" t="s">
        <v>37</v>
      </c>
      <c r="L354" s="15">
        <v>0</v>
      </c>
      <c r="M354" s="5" t="s">
        <v>57</v>
      </c>
      <c r="N354" s="5" t="s">
        <v>56</v>
      </c>
      <c r="O354" s="5" t="s">
        <v>31</v>
      </c>
      <c r="R354" s="5">
        <f>IF(diabetesoriginal[[#This Row],[Diabetes]]=$R$1,diabetesoriginal[[#This Row],[Skin Thickness]],NA())</f>
        <v>28</v>
      </c>
      <c r="S354" s="5" t="e">
        <f>IF(diabetesoriginal[[#This Row],[Diabetes]]=$S$1,diabetesoriginal[[#This Row],[Skin Thickness]],NA())</f>
        <v>#N/A</v>
      </c>
      <c r="U354" s="5">
        <f>IF(diabetesoriginal[[#This Row],[Diabetes]]=$U$1,diabetesoriginal[[#This Row],[Insulin]],NA())</f>
        <v>125</v>
      </c>
      <c r="V354" s="5" t="e">
        <f>IF(diabetesoriginal[[#This Row],[Diabetes]]=$S$1,diabetesoriginal[[#This Row],[Insulin]],NA())</f>
        <v>#N/A</v>
      </c>
    </row>
    <row r="355" spans="1:22" x14ac:dyDescent="0.25">
      <c r="A355" s="5">
        <v>1</v>
      </c>
      <c r="B355" s="5">
        <v>90</v>
      </c>
      <c r="C355" s="5">
        <v>62</v>
      </c>
      <c r="D355" s="5" t="s">
        <v>23</v>
      </c>
      <c r="E355" s="5">
        <v>12</v>
      </c>
      <c r="F355" s="5">
        <v>43</v>
      </c>
      <c r="G355" s="5">
        <v>27.2</v>
      </c>
      <c r="H355" s="5" t="s">
        <v>30</v>
      </c>
      <c r="I355" s="5">
        <v>0.57999999999999996</v>
      </c>
      <c r="J355" s="5">
        <v>24</v>
      </c>
      <c r="K355" s="5" t="s">
        <v>35</v>
      </c>
      <c r="L355" s="15">
        <v>0</v>
      </c>
      <c r="M355" s="5" t="s">
        <v>57</v>
      </c>
      <c r="N355" s="5" t="s">
        <v>58</v>
      </c>
      <c r="O355" s="5" t="s">
        <v>31</v>
      </c>
      <c r="R355" s="5">
        <f>IF(diabetesoriginal[[#This Row],[Diabetes]]=$R$1,diabetesoriginal[[#This Row],[Skin Thickness]],NA())</f>
        <v>12</v>
      </c>
      <c r="S355" s="5" t="e">
        <f>IF(diabetesoriginal[[#This Row],[Diabetes]]=$S$1,diabetesoriginal[[#This Row],[Skin Thickness]],NA())</f>
        <v>#N/A</v>
      </c>
      <c r="U355" s="5">
        <f>IF(diabetesoriginal[[#This Row],[Diabetes]]=$U$1,diabetesoriginal[[#This Row],[Insulin]],NA())</f>
        <v>43</v>
      </c>
      <c r="V355" s="5" t="e">
        <f>IF(diabetesoriginal[[#This Row],[Diabetes]]=$S$1,diabetesoriginal[[#This Row],[Insulin]],NA())</f>
        <v>#N/A</v>
      </c>
    </row>
    <row r="356" spans="1:22" x14ac:dyDescent="0.25">
      <c r="A356" s="5">
        <v>3</v>
      </c>
      <c r="B356" s="5">
        <v>90</v>
      </c>
      <c r="C356" s="5">
        <v>78</v>
      </c>
      <c r="D356" s="5" t="s">
        <v>23</v>
      </c>
      <c r="E356" s="5">
        <v>29</v>
      </c>
      <c r="F356" s="5">
        <v>125</v>
      </c>
      <c r="G356" s="5">
        <v>42.7</v>
      </c>
      <c r="H356" s="5" t="s">
        <v>32</v>
      </c>
      <c r="I356" s="5">
        <v>0.55900000000000005</v>
      </c>
      <c r="J356" s="5">
        <v>21</v>
      </c>
      <c r="K356" s="5" t="s">
        <v>35</v>
      </c>
      <c r="L356" s="15">
        <v>0</v>
      </c>
      <c r="M356" s="5" t="s">
        <v>57</v>
      </c>
      <c r="N356" s="5" t="s">
        <v>56</v>
      </c>
      <c r="O356" s="5" t="s">
        <v>31</v>
      </c>
      <c r="R356" s="5">
        <f>IF(diabetesoriginal[[#This Row],[Diabetes]]=$R$1,diabetesoriginal[[#This Row],[Skin Thickness]],NA())</f>
        <v>29</v>
      </c>
      <c r="S356" s="5" t="e">
        <f>IF(diabetesoriginal[[#This Row],[Diabetes]]=$S$1,diabetesoriginal[[#This Row],[Skin Thickness]],NA())</f>
        <v>#N/A</v>
      </c>
      <c r="U356" s="5">
        <f>IF(diabetesoriginal[[#This Row],[Diabetes]]=$U$1,diabetesoriginal[[#This Row],[Insulin]],NA())</f>
        <v>125</v>
      </c>
      <c r="V356" s="5" t="e">
        <f>IF(diabetesoriginal[[#This Row],[Diabetes]]=$S$1,diabetesoriginal[[#This Row],[Insulin]],NA())</f>
        <v>#N/A</v>
      </c>
    </row>
    <row r="357" spans="1:22" x14ac:dyDescent="0.25">
      <c r="A357" s="5">
        <v>9</v>
      </c>
      <c r="B357" s="5">
        <v>165</v>
      </c>
      <c r="C357" s="5">
        <v>88</v>
      </c>
      <c r="D357" s="5" t="s">
        <v>25</v>
      </c>
      <c r="E357" s="5">
        <v>29</v>
      </c>
      <c r="F357" s="5">
        <v>125</v>
      </c>
      <c r="G357" s="5">
        <v>30.4</v>
      </c>
      <c r="H357" s="5" t="s">
        <v>29</v>
      </c>
      <c r="I357" s="5">
        <v>0.30199999999999999</v>
      </c>
      <c r="J357" s="5">
        <v>49</v>
      </c>
      <c r="K357" s="5" t="s">
        <v>37</v>
      </c>
      <c r="L357" s="15">
        <v>1</v>
      </c>
      <c r="M357" s="5" t="s">
        <v>22</v>
      </c>
      <c r="N357" s="5" t="s">
        <v>56</v>
      </c>
      <c r="O357" s="5" t="s">
        <v>31</v>
      </c>
      <c r="R357" s="5" t="e">
        <f>IF(diabetesoriginal[[#This Row],[Diabetes]]=$R$1,diabetesoriginal[[#This Row],[Skin Thickness]],NA())</f>
        <v>#N/A</v>
      </c>
      <c r="S357" s="5">
        <f>IF(diabetesoriginal[[#This Row],[Diabetes]]=$S$1,diabetesoriginal[[#This Row],[Skin Thickness]],NA())</f>
        <v>29</v>
      </c>
      <c r="U357" s="5" t="e">
        <f>IF(diabetesoriginal[[#This Row],[Diabetes]]=$U$1,diabetesoriginal[[#This Row],[Insulin]],NA())</f>
        <v>#N/A</v>
      </c>
      <c r="V357" s="5">
        <f>IF(diabetesoriginal[[#This Row],[Diabetes]]=$S$1,diabetesoriginal[[#This Row],[Insulin]],NA())</f>
        <v>125</v>
      </c>
    </row>
    <row r="358" spans="1:22" x14ac:dyDescent="0.25">
      <c r="A358" s="5">
        <v>1</v>
      </c>
      <c r="B358" s="5">
        <v>125</v>
      </c>
      <c r="C358" s="5">
        <v>50</v>
      </c>
      <c r="D358" s="5" t="s">
        <v>23</v>
      </c>
      <c r="E358" s="5">
        <v>40</v>
      </c>
      <c r="F358" s="5">
        <v>167</v>
      </c>
      <c r="G358" s="5">
        <v>33.299999999999997</v>
      </c>
      <c r="H358" s="5" t="s">
        <v>29</v>
      </c>
      <c r="I358" s="5">
        <v>0.96199999999999997</v>
      </c>
      <c r="J358" s="5">
        <v>28</v>
      </c>
      <c r="K358" s="5" t="s">
        <v>35</v>
      </c>
      <c r="L358" s="15">
        <v>1</v>
      </c>
      <c r="M358" s="5" t="s">
        <v>57</v>
      </c>
      <c r="N358" s="5" t="s">
        <v>56</v>
      </c>
      <c r="O358" s="5" t="s">
        <v>59</v>
      </c>
      <c r="R358" s="5" t="e">
        <f>IF(diabetesoriginal[[#This Row],[Diabetes]]=$R$1,diabetesoriginal[[#This Row],[Skin Thickness]],NA())</f>
        <v>#N/A</v>
      </c>
      <c r="S358" s="5">
        <f>IF(diabetesoriginal[[#This Row],[Diabetes]]=$S$1,diabetesoriginal[[#This Row],[Skin Thickness]],NA())</f>
        <v>40</v>
      </c>
      <c r="U358" s="5" t="e">
        <f>IF(diabetesoriginal[[#This Row],[Diabetes]]=$U$1,diabetesoriginal[[#This Row],[Insulin]],NA())</f>
        <v>#N/A</v>
      </c>
      <c r="V358" s="5">
        <f>IF(diabetesoriginal[[#This Row],[Diabetes]]=$S$1,diabetesoriginal[[#This Row],[Insulin]],NA())</f>
        <v>167</v>
      </c>
    </row>
    <row r="359" spans="1:22" x14ac:dyDescent="0.25">
      <c r="A359" s="5">
        <v>13</v>
      </c>
      <c r="B359" s="5">
        <v>129</v>
      </c>
      <c r="C359" s="5">
        <v>72</v>
      </c>
      <c r="D359" s="5" t="s">
        <v>23</v>
      </c>
      <c r="E359" s="5">
        <v>30</v>
      </c>
      <c r="F359" s="5">
        <v>125</v>
      </c>
      <c r="G359" s="5">
        <v>39.9</v>
      </c>
      <c r="H359" s="5" t="s">
        <v>29</v>
      </c>
      <c r="I359" s="5">
        <v>0.56899999999999995</v>
      </c>
      <c r="J359" s="5">
        <v>44</v>
      </c>
      <c r="K359" s="5" t="s">
        <v>37</v>
      </c>
      <c r="L359" s="15">
        <v>1</v>
      </c>
      <c r="M359" s="5" t="s">
        <v>57</v>
      </c>
      <c r="N359" s="5" t="s">
        <v>56</v>
      </c>
      <c r="O359" s="5" t="s">
        <v>31</v>
      </c>
      <c r="R359" s="5" t="e">
        <f>IF(diabetesoriginal[[#This Row],[Diabetes]]=$R$1,diabetesoriginal[[#This Row],[Skin Thickness]],NA())</f>
        <v>#N/A</v>
      </c>
      <c r="S359" s="5">
        <f>IF(diabetesoriginal[[#This Row],[Diabetes]]=$S$1,diabetesoriginal[[#This Row],[Skin Thickness]],NA())</f>
        <v>30</v>
      </c>
      <c r="U359" s="5" t="e">
        <f>IF(diabetesoriginal[[#This Row],[Diabetes]]=$U$1,diabetesoriginal[[#This Row],[Insulin]],NA())</f>
        <v>#N/A</v>
      </c>
      <c r="V359" s="5">
        <f>IF(diabetesoriginal[[#This Row],[Diabetes]]=$S$1,diabetesoriginal[[#This Row],[Insulin]],NA())</f>
        <v>125</v>
      </c>
    </row>
    <row r="360" spans="1:22" x14ac:dyDescent="0.25">
      <c r="A360" s="5">
        <v>12</v>
      </c>
      <c r="B360" s="5">
        <v>88</v>
      </c>
      <c r="C360" s="5">
        <v>74</v>
      </c>
      <c r="D360" s="5" t="s">
        <v>23</v>
      </c>
      <c r="E360" s="5">
        <v>40</v>
      </c>
      <c r="F360" s="5">
        <v>54</v>
      </c>
      <c r="G360" s="5">
        <v>35.299999999999997</v>
      </c>
      <c r="H360" s="5" t="s">
        <v>29</v>
      </c>
      <c r="I360" s="5">
        <v>0.378</v>
      </c>
      <c r="J360" s="5">
        <v>48</v>
      </c>
      <c r="K360" s="5" t="s">
        <v>37</v>
      </c>
      <c r="L360" s="15">
        <v>0</v>
      </c>
      <c r="M360" s="5" t="s">
        <v>57</v>
      </c>
      <c r="N360" s="5" t="s">
        <v>56</v>
      </c>
      <c r="O360" s="5" t="s">
        <v>31</v>
      </c>
      <c r="R360" s="5">
        <f>IF(diabetesoriginal[[#This Row],[Diabetes]]=$R$1,diabetesoriginal[[#This Row],[Skin Thickness]],NA())</f>
        <v>40</v>
      </c>
      <c r="S360" s="5" t="e">
        <f>IF(diabetesoriginal[[#This Row],[Diabetes]]=$S$1,diabetesoriginal[[#This Row],[Skin Thickness]],NA())</f>
        <v>#N/A</v>
      </c>
      <c r="U360" s="5">
        <f>IF(diabetesoriginal[[#This Row],[Diabetes]]=$U$1,diabetesoriginal[[#This Row],[Insulin]],NA())</f>
        <v>54</v>
      </c>
      <c r="V360" s="5" t="e">
        <f>IF(diabetesoriginal[[#This Row],[Diabetes]]=$S$1,diabetesoriginal[[#This Row],[Insulin]],NA())</f>
        <v>#N/A</v>
      </c>
    </row>
    <row r="361" spans="1:22" x14ac:dyDescent="0.25">
      <c r="A361" s="5">
        <v>1</v>
      </c>
      <c r="B361" s="5">
        <v>196</v>
      </c>
      <c r="C361" s="5">
        <v>76</v>
      </c>
      <c r="D361" s="5" t="s">
        <v>23</v>
      </c>
      <c r="E361" s="5">
        <v>36</v>
      </c>
      <c r="F361" s="5">
        <v>249</v>
      </c>
      <c r="G361" s="5">
        <v>36.5</v>
      </c>
      <c r="H361" s="5" t="s">
        <v>29</v>
      </c>
      <c r="I361" s="5">
        <v>0.875</v>
      </c>
      <c r="J361" s="5">
        <v>29</v>
      </c>
      <c r="K361" s="5" t="s">
        <v>35</v>
      </c>
      <c r="L361" s="15">
        <v>1</v>
      </c>
      <c r="M361" s="5" t="s">
        <v>22</v>
      </c>
      <c r="N361" s="5" t="s">
        <v>56</v>
      </c>
      <c r="O361" s="5" t="s">
        <v>59</v>
      </c>
      <c r="R361" s="5" t="e">
        <f>IF(diabetesoriginal[[#This Row],[Diabetes]]=$R$1,diabetesoriginal[[#This Row],[Skin Thickness]],NA())</f>
        <v>#N/A</v>
      </c>
      <c r="S361" s="5">
        <f>IF(diabetesoriginal[[#This Row],[Diabetes]]=$S$1,diabetesoriginal[[#This Row],[Skin Thickness]],NA())</f>
        <v>36</v>
      </c>
      <c r="U361" s="5" t="e">
        <f>IF(diabetesoriginal[[#This Row],[Diabetes]]=$U$1,diabetesoriginal[[#This Row],[Insulin]],NA())</f>
        <v>#N/A</v>
      </c>
      <c r="V361" s="5">
        <f>IF(diabetesoriginal[[#This Row],[Diabetes]]=$S$1,diabetesoriginal[[#This Row],[Insulin]],NA())</f>
        <v>249</v>
      </c>
    </row>
    <row r="362" spans="1:22" x14ac:dyDescent="0.25">
      <c r="A362" s="5">
        <v>5</v>
      </c>
      <c r="B362" s="5">
        <v>189</v>
      </c>
      <c r="C362" s="5">
        <v>64</v>
      </c>
      <c r="D362" s="5" t="s">
        <v>23</v>
      </c>
      <c r="E362" s="5">
        <v>33</v>
      </c>
      <c r="F362" s="5">
        <v>325</v>
      </c>
      <c r="G362" s="5">
        <v>31.2</v>
      </c>
      <c r="H362" s="5" t="s">
        <v>29</v>
      </c>
      <c r="I362" s="5">
        <v>0.58299999999999996</v>
      </c>
      <c r="J362" s="5">
        <v>29</v>
      </c>
      <c r="K362" s="5" t="s">
        <v>35</v>
      </c>
      <c r="L362" s="15">
        <v>1</v>
      </c>
      <c r="M362" s="5" t="s">
        <v>22</v>
      </c>
      <c r="N362" s="5" t="s">
        <v>56</v>
      </c>
      <c r="O362" s="5" t="s">
        <v>59</v>
      </c>
      <c r="R362" s="5" t="e">
        <f>IF(diabetesoriginal[[#This Row],[Diabetes]]=$R$1,diabetesoriginal[[#This Row],[Skin Thickness]],NA())</f>
        <v>#N/A</v>
      </c>
      <c r="S362" s="5">
        <f>IF(diabetesoriginal[[#This Row],[Diabetes]]=$S$1,diabetesoriginal[[#This Row],[Skin Thickness]],NA())</f>
        <v>33</v>
      </c>
      <c r="U362" s="5" t="e">
        <f>IF(diabetesoriginal[[#This Row],[Diabetes]]=$U$1,diabetesoriginal[[#This Row],[Insulin]],NA())</f>
        <v>#N/A</v>
      </c>
      <c r="V362" s="5">
        <f>IF(diabetesoriginal[[#This Row],[Diabetes]]=$S$1,diabetesoriginal[[#This Row],[Insulin]],NA())</f>
        <v>325</v>
      </c>
    </row>
    <row r="363" spans="1:22" x14ac:dyDescent="0.25">
      <c r="A363" s="5">
        <v>5</v>
      </c>
      <c r="B363" s="5">
        <v>158</v>
      </c>
      <c r="C363" s="5">
        <v>70</v>
      </c>
      <c r="D363" s="5" t="s">
        <v>23</v>
      </c>
      <c r="E363" s="5">
        <v>29</v>
      </c>
      <c r="F363" s="5">
        <v>125</v>
      </c>
      <c r="G363" s="5">
        <v>29.8</v>
      </c>
      <c r="H363" s="5" t="s">
        <v>30</v>
      </c>
      <c r="I363" s="5">
        <v>0.20699999999999999</v>
      </c>
      <c r="J363" s="5">
        <v>63</v>
      </c>
      <c r="K363" s="5" t="s">
        <v>39</v>
      </c>
      <c r="L363" s="15">
        <v>0</v>
      </c>
      <c r="M363" s="5" t="s">
        <v>22</v>
      </c>
      <c r="N363" s="5" t="s">
        <v>56</v>
      </c>
      <c r="O363" s="5" t="s">
        <v>31</v>
      </c>
      <c r="R363" s="5">
        <f>IF(diabetesoriginal[[#This Row],[Diabetes]]=$R$1,diabetesoriginal[[#This Row],[Skin Thickness]],NA())</f>
        <v>29</v>
      </c>
      <c r="S363" s="5" t="e">
        <f>IF(diabetesoriginal[[#This Row],[Diabetes]]=$S$1,diabetesoriginal[[#This Row],[Skin Thickness]],NA())</f>
        <v>#N/A</v>
      </c>
      <c r="U363" s="5">
        <f>IF(diabetesoriginal[[#This Row],[Diabetes]]=$U$1,diabetesoriginal[[#This Row],[Insulin]],NA())</f>
        <v>125</v>
      </c>
      <c r="V363" s="5" t="e">
        <f>IF(diabetesoriginal[[#This Row],[Diabetes]]=$S$1,diabetesoriginal[[#This Row],[Insulin]],NA())</f>
        <v>#N/A</v>
      </c>
    </row>
    <row r="364" spans="1:22" x14ac:dyDescent="0.25">
      <c r="A364" s="5">
        <v>5</v>
      </c>
      <c r="B364" s="5">
        <v>103</v>
      </c>
      <c r="C364" s="5">
        <v>108</v>
      </c>
      <c r="D364" s="5" t="s">
        <v>26</v>
      </c>
      <c r="E364" s="5">
        <v>37</v>
      </c>
      <c r="F364" s="5">
        <v>125</v>
      </c>
      <c r="G364" s="5">
        <v>39.200000000000003</v>
      </c>
      <c r="H364" s="5" t="s">
        <v>29</v>
      </c>
      <c r="I364" s="5">
        <v>0.30499999999999999</v>
      </c>
      <c r="J364" s="5">
        <v>65</v>
      </c>
      <c r="K364" s="5" t="s">
        <v>39</v>
      </c>
      <c r="L364" s="15">
        <v>0</v>
      </c>
      <c r="M364" s="5" t="s">
        <v>57</v>
      </c>
      <c r="N364" s="5" t="s">
        <v>56</v>
      </c>
      <c r="O364" s="5" t="s">
        <v>31</v>
      </c>
      <c r="R364" s="5">
        <f>IF(diabetesoriginal[[#This Row],[Diabetes]]=$R$1,diabetesoriginal[[#This Row],[Skin Thickness]],NA())</f>
        <v>37</v>
      </c>
      <c r="S364" s="5" t="e">
        <f>IF(diabetesoriginal[[#This Row],[Diabetes]]=$S$1,diabetesoriginal[[#This Row],[Skin Thickness]],NA())</f>
        <v>#N/A</v>
      </c>
      <c r="U364" s="5">
        <f>IF(diabetesoriginal[[#This Row],[Diabetes]]=$U$1,diabetesoriginal[[#This Row],[Insulin]],NA())</f>
        <v>125</v>
      </c>
      <c r="V364" s="5" t="e">
        <f>IF(diabetesoriginal[[#This Row],[Diabetes]]=$S$1,diabetesoriginal[[#This Row],[Insulin]],NA())</f>
        <v>#N/A</v>
      </c>
    </row>
    <row r="365" spans="1:22" x14ac:dyDescent="0.25">
      <c r="A365" s="5">
        <v>4</v>
      </c>
      <c r="B365" s="5">
        <v>146</v>
      </c>
      <c r="C365" s="5">
        <v>78</v>
      </c>
      <c r="D365" s="5" t="s">
        <v>23</v>
      </c>
      <c r="E365" s="5">
        <v>29</v>
      </c>
      <c r="F365" s="5">
        <v>125</v>
      </c>
      <c r="G365" s="5">
        <v>38.5</v>
      </c>
      <c r="H365" s="5" t="s">
        <v>29</v>
      </c>
      <c r="I365" s="5">
        <v>0.52</v>
      </c>
      <c r="J365" s="5">
        <v>67</v>
      </c>
      <c r="K365" s="5" t="s">
        <v>39</v>
      </c>
      <c r="L365" s="15">
        <v>1</v>
      </c>
      <c r="M365" s="5" t="s">
        <v>22</v>
      </c>
      <c r="N365" s="5" t="s">
        <v>56</v>
      </c>
      <c r="O365" s="5" t="s">
        <v>31</v>
      </c>
      <c r="R365" s="5" t="e">
        <f>IF(diabetesoriginal[[#This Row],[Diabetes]]=$R$1,diabetesoriginal[[#This Row],[Skin Thickness]],NA())</f>
        <v>#N/A</v>
      </c>
      <c r="S365" s="5">
        <f>IF(diabetesoriginal[[#This Row],[Diabetes]]=$S$1,diabetesoriginal[[#This Row],[Skin Thickness]],NA())</f>
        <v>29</v>
      </c>
      <c r="U365" s="5" t="e">
        <f>IF(diabetesoriginal[[#This Row],[Diabetes]]=$U$1,diabetesoriginal[[#This Row],[Insulin]],NA())</f>
        <v>#N/A</v>
      </c>
      <c r="V365" s="5">
        <f>IF(diabetesoriginal[[#This Row],[Diabetes]]=$S$1,diabetesoriginal[[#This Row],[Insulin]],NA())</f>
        <v>125</v>
      </c>
    </row>
    <row r="366" spans="1:22" x14ac:dyDescent="0.25">
      <c r="A366" s="5">
        <v>4</v>
      </c>
      <c r="B366" s="5">
        <v>147</v>
      </c>
      <c r="C366" s="5">
        <v>74</v>
      </c>
      <c r="D366" s="5" t="s">
        <v>23</v>
      </c>
      <c r="E366" s="5">
        <v>25</v>
      </c>
      <c r="F366" s="5">
        <v>293</v>
      </c>
      <c r="G366" s="5">
        <v>34.9</v>
      </c>
      <c r="H366" s="5" t="s">
        <v>29</v>
      </c>
      <c r="I366" s="5">
        <v>0.38500000000000001</v>
      </c>
      <c r="J366" s="5">
        <v>30</v>
      </c>
      <c r="K366" s="5" t="s">
        <v>36</v>
      </c>
      <c r="L366" s="15">
        <v>0</v>
      </c>
      <c r="M366" s="5" t="s">
        <v>22</v>
      </c>
      <c r="N366" s="5" t="s">
        <v>56</v>
      </c>
      <c r="O366" s="5" t="s">
        <v>59</v>
      </c>
      <c r="R366" s="5">
        <f>IF(diabetesoriginal[[#This Row],[Diabetes]]=$R$1,diabetesoriginal[[#This Row],[Skin Thickness]],NA())</f>
        <v>25</v>
      </c>
      <c r="S366" s="5" t="e">
        <f>IF(diabetesoriginal[[#This Row],[Diabetes]]=$S$1,diabetesoriginal[[#This Row],[Skin Thickness]],NA())</f>
        <v>#N/A</v>
      </c>
      <c r="U366" s="5">
        <f>IF(diabetesoriginal[[#This Row],[Diabetes]]=$U$1,diabetesoriginal[[#This Row],[Insulin]],NA())</f>
        <v>293</v>
      </c>
      <c r="V366" s="5" t="e">
        <f>IF(diabetesoriginal[[#This Row],[Diabetes]]=$S$1,diabetesoriginal[[#This Row],[Insulin]],NA())</f>
        <v>#N/A</v>
      </c>
    </row>
    <row r="367" spans="1:22" x14ac:dyDescent="0.25">
      <c r="A367" s="5">
        <v>5</v>
      </c>
      <c r="B367" s="5">
        <v>99</v>
      </c>
      <c r="C367" s="5">
        <v>54</v>
      </c>
      <c r="D367" s="5" t="s">
        <v>23</v>
      </c>
      <c r="E367" s="5">
        <v>28</v>
      </c>
      <c r="F367" s="5">
        <v>83</v>
      </c>
      <c r="G367" s="5">
        <v>34</v>
      </c>
      <c r="H367" s="5" t="s">
        <v>29</v>
      </c>
      <c r="I367" s="5">
        <v>0.499</v>
      </c>
      <c r="J367" s="5">
        <v>30</v>
      </c>
      <c r="K367" s="5" t="s">
        <v>36</v>
      </c>
      <c r="L367" s="15">
        <v>0</v>
      </c>
      <c r="M367" s="5" t="s">
        <v>57</v>
      </c>
      <c r="N367" s="5" t="s">
        <v>56</v>
      </c>
      <c r="O367" s="5" t="s">
        <v>31</v>
      </c>
      <c r="R367" s="5">
        <f>IF(diabetesoriginal[[#This Row],[Diabetes]]=$R$1,diabetesoriginal[[#This Row],[Skin Thickness]],NA())</f>
        <v>28</v>
      </c>
      <c r="S367" s="5" t="e">
        <f>IF(diabetesoriginal[[#This Row],[Diabetes]]=$S$1,diabetesoriginal[[#This Row],[Skin Thickness]],NA())</f>
        <v>#N/A</v>
      </c>
      <c r="U367" s="5">
        <f>IF(diabetesoriginal[[#This Row],[Diabetes]]=$U$1,diabetesoriginal[[#This Row],[Insulin]],NA())</f>
        <v>83</v>
      </c>
      <c r="V367" s="5" t="e">
        <f>IF(diabetesoriginal[[#This Row],[Diabetes]]=$S$1,diabetesoriginal[[#This Row],[Insulin]],NA())</f>
        <v>#N/A</v>
      </c>
    </row>
    <row r="368" spans="1:22" x14ac:dyDescent="0.25">
      <c r="A368" s="5">
        <v>6</v>
      </c>
      <c r="B368" s="5">
        <v>124</v>
      </c>
      <c r="C368" s="5">
        <v>72</v>
      </c>
      <c r="D368" s="5" t="s">
        <v>23</v>
      </c>
      <c r="E368" s="5">
        <v>29</v>
      </c>
      <c r="F368" s="5">
        <v>125</v>
      </c>
      <c r="G368" s="5">
        <v>27.6</v>
      </c>
      <c r="H368" s="5" t="s">
        <v>30</v>
      </c>
      <c r="I368" s="5">
        <v>0.36799999999999999</v>
      </c>
      <c r="J368" s="5">
        <v>29</v>
      </c>
      <c r="K368" s="5" t="s">
        <v>35</v>
      </c>
      <c r="L368" s="15">
        <v>1</v>
      </c>
      <c r="M368" s="5" t="s">
        <v>57</v>
      </c>
      <c r="N368" s="5" t="s">
        <v>56</v>
      </c>
      <c r="O368" s="5" t="s">
        <v>31</v>
      </c>
      <c r="R368" s="5" t="e">
        <f>IF(diabetesoriginal[[#This Row],[Diabetes]]=$R$1,diabetesoriginal[[#This Row],[Skin Thickness]],NA())</f>
        <v>#N/A</v>
      </c>
      <c r="S368" s="5">
        <f>IF(diabetesoriginal[[#This Row],[Diabetes]]=$S$1,diabetesoriginal[[#This Row],[Skin Thickness]],NA())</f>
        <v>29</v>
      </c>
      <c r="U368" s="5" t="e">
        <f>IF(diabetesoriginal[[#This Row],[Diabetes]]=$U$1,diabetesoriginal[[#This Row],[Insulin]],NA())</f>
        <v>#N/A</v>
      </c>
      <c r="V368" s="5">
        <f>IF(diabetesoriginal[[#This Row],[Diabetes]]=$S$1,diabetesoriginal[[#This Row],[Insulin]],NA())</f>
        <v>125</v>
      </c>
    </row>
    <row r="369" spans="1:22" x14ac:dyDescent="0.25">
      <c r="A369" s="5">
        <v>0</v>
      </c>
      <c r="B369" s="5">
        <v>101</v>
      </c>
      <c r="C369" s="5">
        <v>64</v>
      </c>
      <c r="D369" s="5" t="s">
        <v>23</v>
      </c>
      <c r="E369" s="5">
        <v>17</v>
      </c>
      <c r="F369" s="5">
        <v>125</v>
      </c>
      <c r="G369" s="5">
        <v>21</v>
      </c>
      <c r="H369" s="5" t="s">
        <v>31</v>
      </c>
      <c r="I369" s="5">
        <v>0.252</v>
      </c>
      <c r="J369" s="5">
        <v>21</v>
      </c>
      <c r="K369" s="5" t="s">
        <v>35</v>
      </c>
      <c r="L369" s="15">
        <v>0</v>
      </c>
      <c r="M369" s="5" t="s">
        <v>57</v>
      </c>
      <c r="N369" s="5" t="s">
        <v>58</v>
      </c>
      <c r="O369" s="5" t="s">
        <v>31</v>
      </c>
      <c r="R369" s="5">
        <f>IF(diabetesoriginal[[#This Row],[Diabetes]]=$R$1,diabetesoriginal[[#This Row],[Skin Thickness]],NA())</f>
        <v>17</v>
      </c>
      <c r="S369" s="5" t="e">
        <f>IF(diabetesoriginal[[#This Row],[Diabetes]]=$S$1,diabetesoriginal[[#This Row],[Skin Thickness]],NA())</f>
        <v>#N/A</v>
      </c>
      <c r="U369" s="5">
        <f>IF(diabetesoriginal[[#This Row],[Diabetes]]=$U$1,diabetesoriginal[[#This Row],[Insulin]],NA())</f>
        <v>125</v>
      </c>
      <c r="V369" s="5" t="e">
        <f>IF(diabetesoriginal[[#This Row],[Diabetes]]=$S$1,diabetesoriginal[[#This Row],[Insulin]],NA())</f>
        <v>#N/A</v>
      </c>
    </row>
    <row r="370" spans="1:22" x14ac:dyDescent="0.25">
      <c r="A370" s="5">
        <v>3</v>
      </c>
      <c r="B370" s="5">
        <v>81</v>
      </c>
      <c r="C370" s="5">
        <v>86</v>
      </c>
      <c r="D370" s="5" t="s">
        <v>25</v>
      </c>
      <c r="E370" s="5">
        <v>16</v>
      </c>
      <c r="F370" s="5">
        <v>66</v>
      </c>
      <c r="G370" s="5">
        <v>27.5</v>
      </c>
      <c r="H370" s="5" t="s">
        <v>30</v>
      </c>
      <c r="I370" s="5">
        <v>0.30599999999999999</v>
      </c>
      <c r="J370" s="5">
        <v>22</v>
      </c>
      <c r="K370" s="5" t="s">
        <v>35</v>
      </c>
      <c r="L370" s="15">
        <v>0</v>
      </c>
      <c r="M370" s="5" t="s">
        <v>57</v>
      </c>
      <c r="N370" s="5" t="s">
        <v>58</v>
      </c>
      <c r="O370" s="5" t="s">
        <v>31</v>
      </c>
      <c r="R370" s="5">
        <f>IF(diabetesoriginal[[#This Row],[Diabetes]]=$R$1,diabetesoriginal[[#This Row],[Skin Thickness]],NA())</f>
        <v>16</v>
      </c>
      <c r="S370" s="5" t="e">
        <f>IF(diabetesoriginal[[#This Row],[Diabetes]]=$S$1,diabetesoriginal[[#This Row],[Skin Thickness]],NA())</f>
        <v>#N/A</v>
      </c>
      <c r="U370" s="5">
        <f>IF(diabetesoriginal[[#This Row],[Diabetes]]=$U$1,diabetesoriginal[[#This Row],[Insulin]],NA())</f>
        <v>66</v>
      </c>
      <c r="V370" s="5" t="e">
        <f>IF(diabetesoriginal[[#This Row],[Diabetes]]=$S$1,diabetesoriginal[[#This Row],[Insulin]],NA())</f>
        <v>#N/A</v>
      </c>
    </row>
    <row r="371" spans="1:22" x14ac:dyDescent="0.25">
      <c r="A371" s="5">
        <v>1</v>
      </c>
      <c r="B371" s="5">
        <v>133</v>
      </c>
      <c r="C371" s="5">
        <v>102</v>
      </c>
      <c r="D371" s="5" t="s">
        <v>26</v>
      </c>
      <c r="E371" s="5">
        <v>28</v>
      </c>
      <c r="F371" s="5">
        <v>140</v>
      </c>
      <c r="G371" s="5">
        <v>32.799999999999997</v>
      </c>
      <c r="H371" s="5" t="s">
        <v>29</v>
      </c>
      <c r="I371" s="5">
        <v>0.23400000000000001</v>
      </c>
      <c r="J371" s="5">
        <v>45</v>
      </c>
      <c r="K371" s="5" t="s">
        <v>37</v>
      </c>
      <c r="L371" s="15">
        <v>1</v>
      </c>
      <c r="M371" s="5" t="s">
        <v>57</v>
      </c>
      <c r="N371" s="5" t="s">
        <v>56</v>
      </c>
      <c r="O371" s="5" t="s">
        <v>31</v>
      </c>
      <c r="R371" s="5" t="e">
        <f>IF(diabetesoriginal[[#This Row],[Diabetes]]=$R$1,diabetesoriginal[[#This Row],[Skin Thickness]],NA())</f>
        <v>#N/A</v>
      </c>
      <c r="S371" s="5">
        <f>IF(diabetesoriginal[[#This Row],[Diabetes]]=$S$1,diabetesoriginal[[#This Row],[Skin Thickness]],NA())</f>
        <v>28</v>
      </c>
      <c r="U371" s="5" t="e">
        <f>IF(diabetesoriginal[[#This Row],[Diabetes]]=$U$1,diabetesoriginal[[#This Row],[Insulin]],NA())</f>
        <v>#N/A</v>
      </c>
      <c r="V371" s="5">
        <f>IF(diabetesoriginal[[#This Row],[Diabetes]]=$S$1,diabetesoriginal[[#This Row],[Insulin]],NA())</f>
        <v>140</v>
      </c>
    </row>
    <row r="372" spans="1:22" x14ac:dyDescent="0.25">
      <c r="A372" s="5">
        <v>3</v>
      </c>
      <c r="B372" s="5">
        <v>173</v>
      </c>
      <c r="C372" s="5">
        <v>82</v>
      </c>
      <c r="D372" s="5" t="s">
        <v>25</v>
      </c>
      <c r="E372" s="5">
        <v>48</v>
      </c>
      <c r="F372" s="5">
        <v>465</v>
      </c>
      <c r="G372" s="5">
        <v>38.4</v>
      </c>
      <c r="H372" s="5" t="s">
        <v>29</v>
      </c>
      <c r="I372" s="5">
        <v>2.137</v>
      </c>
      <c r="J372" s="5">
        <v>25</v>
      </c>
      <c r="K372" s="5" t="s">
        <v>35</v>
      </c>
      <c r="L372" s="15">
        <v>1</v>
      </c>
      <c r="M372" s="5" t="s">
        <v>22</v>
      </c>
      <c r="N372" s="5" t="s">
        <v>56</v>
      </c>
      <c r="O372" s="5" t="s">
        <v>59</v>
      </c>
      <c r="R372" s="5" t="e">
        <f>IF(diabetesoriginal[[#This Row],[Diabetes]]=$R$1,diabetesoriginal[[#This Row],[Skin Thickness]],NA())</f>
        <v>#N/A</v>
      </c>
      <c r="S372" s="5">
        <f>IF(diabetesoriginal[[#This Row],[Diabetes]]=$S$1,diabetesoriginal[[#This Row],[Skin Thickness]],NA())</f>
        <v>48</v>
      </c>
      <c r="U372" s="5" t="e">
        <f>IF(diabetesoriginal[[#This Row],[Diabetes]]=$U$1,diabetesoriginal[[#This Row],[Insulin]],NA())</f>
        <v>#N/A</v>
      </c>
      <c r="V372" s="5">
        <f>IF(diabetesoriginal[[#This Row],[Diabetes]]=$S$1,diabetesoriginal[[#This Row],[Insulin]],NA())</f>
        <v>465</v>
      </c>
    </row>
    <row r="373" spans="1:22" x14ac:dyDescent="0.25">
      <c r="A373" s="5">
        <v>0</v>
      </c>
      <c r="B373" s="5">
        <v>118</v>
      </c>
      <c r="C373" s="5">
        <v>64</v>
      </c>
      <c r="D373" s="5" t="s">
        <v>23</v>
      </c>
      <c r="E373" s="5">
        <v>23</v>
      </c>
      <c r="F373" s="5">
        <v>89</v>
      </c>
      <c r="G373" s="5">
        <v>32.299999999999997</v>
      </c>
      <c r="H373" s="5" t="s">
        <v>29</v>
      </c>
      <c r="I373" s="5">
        <v>1.7310000000000001</v>
      </c>
      <c r="J373" s="5">
        <v>21</v>
      </c>
      <c r="K373" s="5" t="s">
        <v>35</v>
      </c>
      <c r="L373" s="15">
        <v>0</v>
      </c>
      <c r="M373" s="5" t="s">
        <v>57</v>
      </c>
      <c r="N373" s="5" t="s">
        <v>58</v>
      </c>
      <c r="O373" s="5" t="s">
        <v>31</v>
      </c>
      <c r="R373" s="5">
        <f>IF(diabetesoriginal[[#This Row],[Diabetes]]=$R$1,diabetesoriginal[[#This Row],[Skin Thickness]],NA())</f>
        <v>23</v>
      </c>
      <c r="S373" s="5" t="e">
        <f>IF(diabetesoriginal[[#This Row],[Diabetes]]=$S$1,diabetesoriginal[[#This Row],[Skin Thickness]],NA())</f>
        <v>#N/A</v>
      </c>
      <c r="U373" s="5">
        <f>IF(diabetesoriginal[[#This Row],[Diabetes]]=$U$1,diabetesoriginal[[#This Row],[Insulin]],NA())</f>
        <v>89</v>
      </c>
      <c r="V373" s="5" t="e">
        <f>IF(diabetesoriginal[[#This Row],[Diabetes]]=$S$1,diabetesoriginal[[#This Row],[Insulin]],NA())</f>
        <v>#N/A</v>
      </c>
    </row>
    <row r="374" spans="1:22" x14ac:dyDescent="0.25">
      <c r="A374" s="5">
        <v>0</v>
      </c>
      <c r="B374" s="5">
        <v>84</v>
      </c>
      <c r="C374" s="5">
        <v>64</v>
      </c>
      <c r="D374" s="5" t="s">
        <v>23</v>
      </c>
      <c r="E374" s="5">
        <v>22</v>
      </c>
      <c r="F374" s="5">
        <v>66</v>
      </c>
      <c r="G374" s="5">
        <v>35.799999999999997</v>
      </c>
      <c r="H374" s="5" t="s">
        <v>29</v>
      </c>
      <c r="I374" s="5">
        <v>0.54500000000000004</v>
      </c>
      <c r="J374" s="5">
        <v>21</v>
      </c>
      <c r="K374" s="5" t="s">
        <v>35</v>
      </c>
      <c r="L374" s="15">
        <v>0</v>
      </c>
      <c r="M374" s="5" t="s">
        <v>57</v>
      </c>
      <c r="N374" s="5" t="s">
        <v>58</v>
      </c>
      <c r="O374" s="5" t="s">
        <v>31</v>
      </c>
      <c r="R374" s="5">
        <f>IF(diabetesoriginal[[#This Row],[Diabetes]]=$R$1,diabetesoriginal[[#This Row],[Skin Thickness]],NA())</f>
        <v>22</v>
      </c>
      <c r="S374" s="5" t="e">
        <f>IF(diabetesoriginal[[#This Row],[Diabetes]]=$S$1,diabetesoriginal[[#This Row],[Skin Thickness]],NA())</f>
        <v>#N/A</v>
      </c>
      <c r="U374" s="5">
        <f>IF(diabetesoriginal[[#This Row],[Diabetes]]=$U$1,diabetesoriginal[[#This Row],[Insulin]],NA())</f>
        <v>66</v>
      </c>
      <c r="V374" s="5" t="e">
        <f>IF(diabetesoriginal[[#This Row],[Diabetes]]=$S$1,diabetesoriginal[[#This Row],[Insulin]],NA())</f>
        <v>#N/A</v>
      </c>
    </row>
    <row r="375" spans="1:22" x14ac:dyDescent="0.25">
      <c r="A375" s="5">
        <v>2</v>
      </c>
      <c r="B375" s="5">
        <v>105</v>
      </c>
      <c r="C375" s="5">
        <v>58</v>
      </c>
      <c r="D375" s="5" t="s">
        <v>23</v>
      </c>
      <c r="E375" s="5">
        <v>40</v>
      </c>
      <c r="F375" s="5">
        <v>94</v>
      </c>
      <c r="G375" s="5">
        <v>34.9</v>
      </c>
      <c r="H375" s="5" t="s">
        <v>29</v>
      </c>
      <c r="I375" s="5">
        <v>0.22500000000000001</v>
      </c>
      <c r="J375" s="5">
        <v>25</v>
      </c>
      <c r="K375" s="5" t="s">
        <v>35</v>
      </c>
      <c r="L375" s="15">
        <v>0</v>
      </c>
      <c r="M375" s="5" t="s">
        <v>57</v>
      </c>
      <c r="N375" s="5" t="s">
        <v>56</v>
      </c>
      <c r="O375" s="5" t="s">
        <v>31</v>
      </c>
      <c r="R375" s="5">
        <f>IF(diabetesoriginal[[#This Row],[Diabetes]]=$R$1,diabetesoriginal[[#This Row],[Skin Thickness]],NA())</f>
        <v>40</v>
      </c>
      <c r="S375" s="5" t="e">
        <f>IF(diabetesoriginal[[#This Row],[Diabetes]]=$S$1,diabetesoriginal[[#This Row],[Skin Thickness]],NA())</f>
        <v>#N/A</v>
      </c>
      <c r="U375" s="5">
        <f>IF(diabetesoriginal[[#This Row],[Diabetes]]=$U$1,diabetesoriginal[[#This Row],[Insulin]],NA())</f>
        <v>94</v>
      </c>
      <c r="V375" s="5" t="e">
        <f>IF(diabetesoriginal[[#This Row],[Diabetes]]=$S$1,diabetesoriginal[[#This Row],[Insulin]],NA())</f>
        <v>#N/A</v>
      </c>
    </row>
    <row r="376" spans="1:22" x14ac:dyDescent="0.25">
      <c r="A376" s="5">
        <v>2</v>
      </c>
      <c r="B376" s="5">
        <v>122</v>
      </c>
      <c r="C376" s="5">
        <v>52</v>
      </c>
      <c r="D376" s="5" t="s">
        <v>23</v>
      </c>
      <c r="E376" s="5">
        <v>43</v>
      </c>
      <c r="F376" s="5">
        <v>158</v>
      </c>
      <c r="G376" s="5">
        <v>36.200000000000003</v>
      </c>
      <c r="H376" s="5" t="s">
        <v>29</v>
      </c>
      <c r="I376" s="5">
        <v>0.81599999999999995</v>
      </c>
      <c r="J376" s="5">
        <v>28</v>
      </c>
      <c r="K376" s="5" t="s">
        <v>35</v>
      </c>
      <c r="L376" s="15">
        <v>0</v>
      </c>
      <c r="M376" s="5" t="s">
        <v>57</v>
      </c>
      <c r="N376" s="5" t="s">
        <v>56</v>
      </c>
      <c r="O376" s="5" t="s">
        <v>31</v>
      </c>
      <c r="R376" s="5">
        <f>IF(diabetesoriginal[[#This Row],[Diabetes]]=$R$1,diabetesoriginal[[#This Row],[Skin Thickness]],NA())</f>
        <v>43</v>
      </c>
      <c r="S376" s="5" t="e">
        <f>IF(diabetesoriginal[[#This Row],[Diabetes]]=$S$1,diabetesoriginal[[#This Row],[Skin Thickness]],NA())</f>
        <v>#N/A</v>
      </c>
      <c r="U376" s="5">
        <f>IF(diabetesoriginal[[#This Row],[Diabetes]]=$U$1,diabetesoriginal[[#This Row],[Insulin]],NA())</f>
        <v>158</v>
      </c>
      <c r="V376" s="5" t="e">
        <f>IF(diabetesoriginal[[#This Row],[Diabetes]]=$S$1,diabetesoriginal[[#This Row],[Insulin]],NA())</f>
        <v>#N/A</v>
      </c>
    </row>
    <row r="377" spans="1:22" x14ac:dyDescent="0.25">
      <c r="A377" s="5">
        <v>12</v>
      </c>
      <c r="B377" s="5">
        <v>140</v>
      </c>
      <c r="C377" s="5">
        <v>82</v>
      </c>
      <c r="D377" s="5" t="s">
        <v>25</v>
      </c>
      <c r="E377" s="5">
        <v>43</v>
      </c>
      <c r="F377" s="5">
        <v>325</v>
      </c>
      <c r="G377" s="5">
        <v>39.200000000000003</v>
      </c>
      <c r="H377" s="5" t="s">
        <v>29</v>
      </c>
      <c r="I377" s="5">
        <v>0.52800000000000002</v>
      </c>
      <c r="J377" s="5">
        <v>58</v>
      </c>
      <c r="K377" s="5" t="s">
        <v>38</v>
      </c>
      <c r="L377" s="15">
        <v>1</v>
      </c>
      <c r="M377" s="5" t="s">
        <v>22</v>
      </c>
      <c r="N377" s="5" t="s">
        <v>56</v>
      </c>
      <c r="O377" s="5" t="s">
        <v>59</v>
      </c>
      <c r="R377" s="5" t="e">
        <f>IF(diabetesoriginal[[#This Row],[Diabetes]]=$R$1,diabetesoriginal[[#This Row],[Skin Thickness]],NA())</f>
        <v>#N/A</v>
      </c>
      <c r="S377" s="5">
        <f>IF(diabetesoriginal[[#This Row],[Diabetes]]=$S$1,diabetesoriginal[[#This Row],[Skin Thickness]],NA())</f>
        <v>43</v>
      </c>
      <c r="U377" s="5" t="e">
        <f>IF(diabetesoriginal[[#This Row],[Diabetes]]=$U$1,diabetesoriginal[[#This Row],[Insulin]],NA())</f>
        <v>#N/A</v>
      </c>
      <c r="V377" s="5">
        <f>IF(diabetesoriginal[[#This Row],[Diabetes]]=$S$1,diabetesoriginal[[#This Row],[Insulin]],NA())</f>
        <v>325</v>
      </c>
    </row>
    <row r="378" spans="1:22" x14ac:dyDescent="0.25">
      <c r="A378" s="5">
        <v>0</v>
      </c>
      <c r="B378" s="5">
        <v>98</v>
      </c>
      <c r="C378" s="5">
        <v>82</v>
      </c>
      <c r="D378" s="5" t="s">
        <v>25</v>
      </c>
      <c r="E378" s="5">
        <v>15</v>
      </c>
      <c r="F378" s="5">
        <v>84</v>
      </c>
      <c r="G378" s="5">
        <v>25.2</v>
      </c>
      <c r="H378" s="5" t="s">
        <v>30</v>
      </c>
      <c r="I378" s="5">
        <v>0.29899999999999999</v>
      </c>
      <c r="J378" s="5">
        <v>22</v>
      </c>
      <c r="K378" s="5" t="s">
        <v>35</v>
      </c>
      <c r="L378" s="15">
        <v>0</v>
      </c>
      <c r="M378" s="5" t="s">
        <v>57</v>
      </c>
      <c r="N378" s="5" t="s">
        <v>58</v>
      </c>
      <c r="O378" s="5" t="s">
        <v>31</v>
      </c>
      <c r="R378" s="5">
        <f>IF(diabetesoriginal[[#This Row],[Diabetes]]=$R$1,diabetesoriginal[[#This Row],[Skin Thickness]],NA())</f>
        <v>15</v>
      </c>
      <c r="S378" s="5" t="e">
        <f>IF(diabetesoriginal[[#This Row],[Diabetes]]=$S$1,diabetesoriginal[[#This Row],[Skin Thickness]],NA())</f>
        <v>#N/A</v>
      </c>
      <c r="U378" s="5">
        <f>IF(diabetesoriginal[[#This Row],[Diabetes]]=$U$1,diabetesoriginal[[#This Row],[Insulin]],NA())</f>
        <v>84</v>
      </c>
      <c r="V378" s="5" t="e">
        <f>IF(diabetesoriginal[[#This Row],[Diabetes]]=$S$1,diabetesoriginal[[#This Row],[Insulin]],NA())</f>
        <v>#N/A</v>
      </c>
    </row>
    <row r="379" spans="1:22" x14ac:dyDescent="0.25">
      <c r="A379" s="5">
        <v>1</v>
      </c>
      <c r="B379" s="5">
        <v>87</v>
      </c>
      <c r="C379" s="5">
        <v>60</v>
      </c>
      <c r="D379" s="5" t="s">
        <v>23</v>
      </c>
      <c r="E379" s="5">
        <v>37</v>
      </c>
      <c r="F379" s="5">
        <v>75</v>
      </c>
      <c r="G379" s="5">
        <v>37.200000000000003</v>
      </c>
      <c r="H379" s="5" t="s">
        <v>29</v>
      </c>
      <c r="I379" s="5">
        <v>0.50900000000000001</v>
      </c>
      <c r="J379" s="5">
        <v>22</v>
      </c>
      <c r="K379" s="5" t="s">
        <v>35</v>
      </c>
      <c r="L379" s="15">
        <v>0</v>
      </c>
      <c r="M379" s="5" t="s">
        <v>57</v>
      </c>
      <c r="N379" s="5" t="s">
        <v>56</v>
      </c>
      <c r="O379" s="5" t="s">
        <v>31</v>
      </c>
      <c r="R379" s="5">
        <f>IF(diabetesoriginal[[#This Row],[Diabetes]]=$R$1,diabetesoriginal[[#This Row],[Skin Thickness]],NA())</f>
        <v>37</v>
      </c>
      <c r="S379" s="5" t="e">
        <f>IF(diabetesoriginal[[#This Row],[Diabetes]]=$S$1,diabetesoriginal[[#This Row],[Skin Thickness]],NA())</f>
        <v>#N/A</v>
      </c>
      <c r="U379" s="5">
        <f>IF(diabetesoriginal[[#This Row],[Diabetes]]=$U$1,diabetesoriginal[[#This Row],[Insulin]],NA())</f>
        <v>75</v>
      </c>
      <c r="V379" s="5" t="e">
        <f>IF(diabetesoriginal[[#This Row],[Diabetes]]=$S$1,diabetesoriginal[[#This Row],[Insulin]],NA())</f>
        <v>#N/A</v>
      </c>
    </row>
    <row r="380" spans="1:22" x14ac:dyDescent="0.25">
      <c r="A380" s="5">
        <v>4</v>
      </c>
      <c r="B380" s="5">
        <v>156</v>
      </c>
      <c r="C380" s="5">
        <v>75</v>
      </c>
      <c r="D380" s="5" t="s">
        <v>23</v>
      </c>
      <c r="E380" s="5">
        <v>29</v>
      </c>
      <c r="F380" s="5">
        <v>125</v>
      </c>
      <c r="G380" s="5">
        <v>48.3</v>
      </c>
      <c r="H380" s="5" t="s">
        <v>32</v>
      </c>
      <c r="I380" s="5">
        <v>0.23799999999999999</v>
      </c>
      <c r="J380" s="5">
        <v>32</v>
      </c>
      <c r="K380" s="5" t="s">
        <v>36</v>
      </c>
      <c r="L380" s="15">
        <v>1</v>
      </c>
      <c r="M380" s="5" t="s">
        <v>22</v>
      </c>
      <c r="N380" s="5" t="s">
        <v>56</v>
      </c>
      <c r="O380" s="5" t="s">
        <v>31</v>
      </c>
      <c r="R380" s="5" t="e">
        <f>IF(diabetesoriginal[[#This Row],[Diabetes]]=$R$1,diabetesoriginal[[#This Row],[Skin Thickness]],NA())</f>
        <v>#N/A</v>
      </c>
      <c r="S380" s="5">
        <f>IF(diabetesoriginal[[#This Row],[Diabetes]]=$S$1,diabetesoriginal[[#This Row],[Skin Thickness]],NA())</f>
        <v>29</v>
      </c>
      <c r="U380" s="5" t="e">
        <f>IF(diabetesoriginal[[#This Row],[Diabetes]]=$U$1,diabetesoriginal[[#This Row],[Insulin]],NA())</f>
        <v>#N/A</v>
      </c>
      <c r="V380" s="5">
        <f>IF(diabetesoriginal[[#This Row],[Diabetes]]=$S$1,diabetesoriginal[[#This Row],[Insulin]],NA())</f>
        <v>125</v>
      </c>
    </row>
    <row r="381" spans="1:22" x14ac:dyDescent="0.25">
      <c r="A381" s="5">
        <v>0</v>
      </c>
      <c r="B381" s="5">
        <v>93</v>
      </c>
      <c r="C381" s="5">
        <v>100</v>
      </c>
      <c r="D381" s="5" t="s">
        <v>26</v>
      </c>
      <c r="E381" s="5">
        <v>39</v>
      </c>
      <c r="F381" s="5">
        <v>72</v>
      </c>
      <c r="G381" s="5">
        <v>43.4</v>
      </c>
      <c r="H381" s="5" t="s">
        <v>32</v>
      </c>
      <c r="I381" s="5">
        <v>1.0209999999999999</v>
      </c>
      <c r="J381" s="5">
        <v>35</v>
      </c>
      <c r="K381" s="5" t="s">
        <v>36</v>
      </c>
      <c r="L381" s="15">
        <v>0</v>
      </c>
      <c r="M381" s="5" t="s">
        <v>57</v>
      </c>
      <c r="N381" s="5" t="s">
        <v>56</v>
      </c>
      <c r="O381" s="5" t="s">
        <v>31</v>
      </c>
      <c r="R381" s="5">
        <f>IF(diabetesoriginal[[#This Row],[Diabetes]]=$R$1,diabetesoriginal[[#This Row],[Skin Thickness]],NA())</f>
        <v>39</v>
      </c>
      <c r="S381" s="5" t="e">
        <f>IF(diabetesoriginal[[#This Row],[Diabetes]]=$S$1,diabetesoriginal[[#This Row],[Skin Thickness]],NA())</f>
        <v>#N/A</v>
      </c>
      <c r="U381" s="5">
        <f>IF(diabetesoriginal[[#This Row],[Diabetes]]=$U$1,diabetesoriginal[[#This Row],[Insulin]],NA())</f>
        <v>72</v>
      </c>
      <c r="V381" s="5" t="e">
        <f>IF(diabetesoriginal[[#This Row],[Diabetes]]=$S$1,diabetesoriginal[[#This Row],[Insulin]],NA())</f>
        <v>#N/A</v>
      </c>
    </row>
    <row r="382" spans="1:22" x14ac:dyDescent="0.25">
      <c r="A382" s="5">
        <v>1</v>
      </c>
      <c r="B382" s="5">
        <v>107</v>
      </c>
      <c r="C382" s="5">
        <v>72</v>
      </c>
      <c r="D382" s="5" t="s">
        <v>23</v>
      </c>
      <c r="E382" s="5">
        <v>30</v>
      </c>
      <c r="F382" s="5">
        <v>82</v>
      </c>
      <c r="G382" s="5">
        <v>30.8</v>
      </c>
      <c r="H382" s="5" t="s">
        <v>29</v>
      </c>
      <c r="I382" s="5">
        <v>0.82099999999999995</v>
      </c>
      <c r="J382" s="5">
        <v>24</v>
      </c>
      <c r="K382" s="5" t="s">
        <v>35</v>
      </c>
      <c r="L382" s="15">
        <v>0</v>
      </c>
      <c r="M382" s="5" t="s">
        <v>57</v>
      </c>
      <c r="N382" s="5" t="s">
        <v>56</v>
      </c>
      <c r="O382" s="5" t="s">
        <v>31</v>
      </c>
      <c r="R382" s="5">
        <f>IF(diabetesoriginal[[#This Row],[Diabetes]]=$R$1,diabetesoriginal[[#This Row],[Skin Thickness]],NA())</f>
        <v>30</v>
      </c>
      <c r="S382" s="5" t="e">
        <f>IF(diabetesoriginal[[#This Row],[Diabetes]]=$S$1,diabetesoriginal[[#This Row],[Skin Thickness]],NA())</f>
        <v>#N/A</v>
      </c>
      <c r="U382" s="5">
        <f>IF(diabetesoriginal[[#This Row],[Diabetes]]=$U$1,diabetesoriginal[[#This Row],[Insulin]],NA())</f>
        <v>82</v>
      </c>
      <c r="V382" s="5" t="e">
        <f>IF(diabetesoriginal[[#This Row],[Diabetes]]=$S$1,diabetesoriginal[[#This Row],[Insulin]],NA())</f>
        <v>#N/A</v>
      </c>
    </row>
    <row r="383" spans="1:22" x14ac:dyDescent="0.25">
      <c r="A383" s="5">
        <v>0</v>
      </c>
      <c r="B383" s="5">
        <v>105</v>
      </c>
      <c r="C383" s="5">
        <v>68</v>
      </c>
      <c r="D383" s="5" t="s">
        <v>23</v>
      </c>
      <c r="E383" s="5">
        <v>22</v>
      </c>
      <c r="F383" s="5">
        <v>125</v>
      </c>
      <c r="G383" s="5">
        <v>20</v>
      </c>
      <c r="H383" s="5" t="s">
        <v>31</v>
      </c>
      <c r="I383" s="5">
        <v>0.23599999999999999</v>
      </c>
      <c r="J383" s="5">
        <v>22</v>
      </c>
      <c r="K383" s="5" t="s">
        <v>35</v>
      </c>
      <c r="L383" s="15">
        <v>0</v>
      </c>
      <c r="M383" s="5" t="s">
        <v>57</v>
      </c>
      <c r="N383" s="5" t="s">
        <v>58</v>
      </c>
      <c r="O383" s="5" t="s">
        <v>31</v>
      </c>
      <c r="R383" s="5">
        <f>IF(diabetesoriginal[[#This Row],[Diabetes]]=$R$1,diabetesoriginal[[#This Row],[Skin Thickness]],NA())</f>
        <v>22</v>
      </c>
      <c r="S383" s="5" t="e">
        <f>IF(diabetesoriginal[[#This Row],[Diabetes]]=$S$1,diabetesoriginal[[#This Row],[Skin Thickness]],NA())</f>
        <v>#N/A</v>
      </c>
      <c r="U383" s="5">
        <f>IF(diabetesoriginal[[#This Row],[Diabetes]]=$U$1,diabetesoriginal[[#This Row],[Insulin]],NA())</f>
        <v>125</v>
      </c>
      <c r="V383" s="5" t="e">
        <f>IF(diabetesoriginal[[#This Row],[Diabetes]]=$S$1,diabetesoriginal[[#This Row],[Insulin]],NA())</f>
        <v>#N/A</v>
      </c>
    </row>
    <row r="384" spans="1:22" x14ac:dyDescent="0.25">
      <c r="A384" s="5">
        <v>1</v>
      </c>
      <c r="B384" s="5">
        <v>109</v>
      </c>
      <c r="C384" s="5">
        <v>60</v>
      </c>
      <c r="D384" s="5" t="s">
        <v>23</v>
      </c>
      <c r="E384" s="5">
        <v>8</v>
      </c>
      <c r="F384" s="5">
        <v>182</v>
      </c>
      <c r="G384" s="5">
        <v>25.4</v>
      </c>
      <c r="H384" s="5" t="s">
        <v>30</v>
      </c>
      <c r="I384" s="5">
        <v>0.94699999999999995</v>
      </c>
      <c r="J384" s="5">
        <v>21</v>
      </c>
      <c r="K384" s="5" t="s">
        <v>35</v>
      </c>
      <c r="L384" s="15">
        <v>0</v>
      </c>
      <c r="M384" s="5" t="s">
        <v>57</v>
      </c>
      <c r="N384" s="5" t="s">
        <v>58</v>
      </c>
      <c r="O384" s="5" t="s">
        <v>59</v>
      </c>
      <c r="R384" s="5">
        <f>IF(diabetesoriginal[[#This Row],[Diabetes]]=$R$1,diabetesoriginal[[#This Row],[Skin Thickness]],NA())</f>
        <v>8</v>
      </c>
      <c r="S384" s="5" t="e">
        <f>IF(diabetesoriginal[[#This Row],[Diabetes]]=$S$1,diabetesoriginal[[#This Row],[Skin Thickness]],NA())</f>
        <v>#N/A</v>
      </c>
      <c r="U384" s="5">
        <f>IF(diabetesoriginal[[#This Row],[Diabetes]]=$U$1,diabetesoriginal[[#This Row],[Insulin]],NA())</f>
        <v>182</v>
      </c>
      <c r="V384" s="5" t="e">
        <f>IF(diabetesoriginal[[#This Row],[Diabetes]]=$S$1,diabetesoriginal[[#This Row],[Insulin]],NA())</f>
        <v>#N/A</v>
      </c>
    </row>
    <row r="385" spans="1:22" x14ac:dyDescent="0.25">
      <c r="A385" s="5">
        <v>1</v>
      </c>
      <c r="B385" s="5">
        <v>90</v>
      </c>
      <c r="C385" s="5">
        <v>62</v>
      </c>
      <c r="D385" s="5" t="s">
        <v>23</v>
      </c>
      <c r="E385" s="5">
        <v>18</v>
      </c>
      <c r="F385" s="5">
        <v>59</v>
      </c>
      <c r="G385" s="5">
        <v>25.1</v>
      </c>
      <c r="H385" s="5" t="s">
        <v>30</v>
      </c>
      <c r="I385" s="5">
        <v>1.268</v>
      </c>
      <c r="J385" s="5">
        <v>25</v>
      </c>
      <c r="K385" s="5" t="s">
        <v>35</v>
      </c>
      <c r="L385" s="15">
        <v>0</v>
      </c>
      <c r="M385" s="5" t="s">
        <v>57</v>
      </c>
      <c r="N385" s="5" t="s">
        <v>58</v>
      </c>
      <c r="O385" s="5" t="s">
        <v>31</v>
      </c>
      <c r="R385" s="5">
        <f>IF(diabetesoriginal[[#This Row],[Diabetes]]=$R$1,diabetesoriginal[[#This Row],[Skin Thickness]],NA())</f>
        <v>18</v>
      </c>
      <c r="S385" s="5" t="e">
        <f>IF(diabetesoriginal[[#This Row],[Diabetes]]=$S$1,diabetesoriginal[[#This Row],[Skin Thickness]],NA())</f>
        <v>#N/A</v>
      </c>
      <c r="U385" s="5">
        <f>IF(diabetesoriginal[[#This Row],[Diabetes]]=$U$1,diabetesoriginal[[#This Row],[Insulin]],NA())</f>
        <v>59</v>
      </c>
      <c r="V385" s="5" t="e">
        <f>IF(diabetesoriginal[[#This Row],[Diabetes]]=$S$1,diabetesoriginal[[#This Row],[Insulin]],NA())</f>
        <v>#N/A</v>
      </c>
    </row>
    <row r="386" spans="1:22" x14ac:dyDescent="0.25">
      <c r="A386" s="5">
        <v>1</v>
      </c>
      <c r="B386" s="5">
        <v>125</v>
      </c>
      <c r="C386" s="5">
        <v>70</v>
      </c>
      <c r="D386" s="5" t="s">
        <v>23</v>
      </c>
      <c r="E386" s="5">
        <v>24</v>
      </c>
      <c r="F386" s="5">
        <v>110</v>
      </c>
      <c r="G386" s="5">
        <v>24.3</v>
      </c>
      <c r="H386" s="5" t="s">
        <v>31</v>
      </c>
      <c r="I386" s="5">
        <v>0.221</v>
      </c>
      <c r="J386" s="5">
        <v>25</v>
      </c>
      <c r="K386" s="5" t="s">
        <v>35</v>
      </c>
      <c r="L386" s="15">
        <v>0</v>
      </c>
      <c r="M386" s="5" t="s">
        <v>57</v>
      </c>
      <c r="N386" s="5" t="s">
        <v>56</v>
      </c>
      <c r="O386" s="5" t="s">
        <v>31</v>
      </c>
      <c r="R386" s="5">
        <f>IF(diabetesoriginal[[#This Row],[Diabetes]]=$R$1,diabetesoriginal[[#This Row],[Skin Thickness]],NA())</f>
        <v>24</v>
      </c>
      <c r="S386" s="5" t="e">
        <f>IF(diabetesoriginal[[#This Row],[Diabetes]]=$S$1,diabetesoriginal[[#This Row],[Skin Thickness]],NA())</f>
        <v>#N/A</v>
      </c>
      <c r="U386" s="5">
        <f>IF(diabetesoriginal[[#This Row],[Diabetes]]=$U$1,diabetesoriginal[[#This Row],[Insulin]],NA())</f>
        <v>110</v>
      </c>
      <c r="V386" s="5" t="e">
        <f>IF(diabetesoriginal[[#This Row],[Diabetes]]=$S$1,diabetesoriginal[[#This Row],[Insulin]],NA())</f>
        <v>#N/A</v>
      </c>
    </row>
    <row r="387" spans="1:22" x14ac:dyDescent="0.25">
      <c r="A387" s="5">
        <v>1</v>
      </c>
      <c r="B387" s="5">
        <v>119</v>
      </c>
      <c r="C387" s="5">
        <v>54</v>
      </c>
      <c r="D387" s="5" t="s">
        <v>23</v>
      </c>
      <c r="E387" s="5">
        <v>13</v>
      </c>
      <c r="F387" s="5">
        <v>50</v>
      </c>
      <c r="G387" s="5">
        <v>22.3</v>
      </c>
      <c r="H387" s="5" t="s">
        <v>31</v>
      </c>
      <c r="I387" s="5">
        <v>0.20499999999999999</v>
      </c>
      <c r="J387" s="5">
        <v>24</v>
      </c>
      <c r="K387" s="5" t="s">
        <v>35</v>
      </c>
      <c r="L387" s="15">
        <v>0</v>
      </c>
      <c r="M387" s="5" t="s">
        <v>57</v>
      </c>
      <c r="N387" s="5" t="s">
        <v>58</v>
      </c>
      <c r="O387" s="5" t="s">
        <v>31</v>
      </c>
      <c r="R387" s="5">
        <f>IF(diabetesoriginal[[#This Row],[Diabetes]]=$R$1,diabetesoriginal[[#This Row],[Skin Thickness]],NA())</f>
        <v>13</v>
      </c>
      <c r="S387" s="5" t="e">
        <f>IF(diabetesoriginal[[#This Row],[Diabetes]]=$S$1,diabetesoriginal[[#This Row],[Skin Thickness]],NA())</f>
        <v>#N/A</v>
      </c>
      <c r="U387" s="5">
        <f>IF(diabetesoriginal[[#This Row],[Diabetes]]=$U$1,diabetesoriginal[[#This Row],[Insulin]],NA())</f>
        <v>50</v>
      </c>
      <c r="V387" s="5" t="e">
        <f>IF(diabetesoriginal[[#This Row],[Diabetes]]=$S$1,diabetesoriginal[[#This Row],[Insulin]],NA())</f>
        <v>#N/A</v>
      </c>
    </row>
    <row r="388" spans="1:22" x14ac:dyDescent="0.25">
      <c r="A388" s="5">
        <v>5</v>
      </c>
      <c r="B388" s="5">
        <v>116</v>
      </c>
      <c r="C388" s="5">
        <v>74</v>
      </c>
      <c r="D388" s="5" t="s">
        <v>23</v>
      </c>
      <c r="E388" s="5">
        <v>29</v>
      </c>
      <c r="F388" s="5">
        <v>125</v>
      </c>
      <c r="G388" s="5">
        <v>32.299999999999997</v>
      </c>
      <c r="H388" s="5" t="s">
        <v>29</v>
      </c>
      <c r="I388" s="5">
        <v>0.66</v>
      </c>
      <c r="J388" s="5">
        <v>35</v>
      </c>
      <c r="K388" s="5" t="s">
        <v>36</v>
      </c>
      <c r="L388" s="15">
        <v>1</v>
      </c>
      <c r="M388" s="5" t="s">
        <v>57</v>
      </c>
      <c r="N388" s="5" t="s">
        <v>56</v>
      </c>
      <c r="O388" s="5" t="s">
        <v>31</v>
      </c>
      <c r="R388" s="5" t="e">
        <f>IF(diabetesoriginal[[#This Row],[Diabetes]]=$R$1,diabetesoriginal[[#This Row],[Skin Thickness]],NA())</f>
        <v>#N/A</v>
      </c>
      <c r="S388" s="5">
        <f>IF(diabetesoriginal[[#This Row],[Diabetes]]=$S$1,diabetesoriginal[[#This Row],[Skin Thickness]],NA())</f>
        <v>29</v>
      </c>
      <c r="U388" s="5" t="e">
        <f>IF(diabetesoriginal[[#This Row],[Diabetes]]=$U$1,diabetesoriginal[[#This Row],[Insulin]],NA())</f>
        <v>#N/A</v>
      </c>
      <c r="V388" s="5">
        <f>IF(diabetesoriginal[[#This Row],[Diabetes]]=$S$1,diabetesoriginal[[#This Row],[Insulin]],NA())</f>
        <v>125</v>
      </c>
    </row>
    <row r="389" spans="1:22" x14ac:dyDescent="0.25">
      <c r="A389" s="5">
        <v>8</v>
      </c>
      <c r="B389" s="5">
        <v>105</v>
      </c>
      <c r="C389" s="5">
        <v>100</v>
      </c>
      <c r="D389" s="5" t="s">
        <v>26</v>
      </c>
      <c r="E389" s="5">
        <v>36</v>
      </c>
      <c r="F389" s="5">
        <v>125</v>
      </c>
      <c r="G389" s="5">
        <v>43.3</v>
      </c>
      <c r="H389" s="5" t="s">
        <v>32</v>
      </c>
      <c r="I389" s="5">
        <v>0.23899999999999999</v>
      </c>
      <c r="J389" s="5">
        <v>45</v>
      </c>
      <c r="K389" s="5" t="s">
        <v>37</v>
      </c>
      <c r="L389" s="15">
        <v>1</v>
      </c>
      <c r="M389" s="5" t="s">
        <v>57</v>
      </c>
      <c r="N389" s="5" t="s">
        <v>56</v>
      </c>
      <c r="O389" s="5" t="s">
        <v>31</v>
      </c>
      <c r="R389" s="5" t="e">
        <f>IF(diabetesoriginal[[#This Row],[Diabetes]]=$R$1,diabetesoriginal[[#This Row],[Skin Thickness]],NA())</f>
        <v>#N/A</v>
      </c>
      <c r="S389" s="5">
        <f>IF(diabetesoriginal[[#This Row],[Diabetes]]=$S$1,diabetesoriginal[[#This Row],[Skin Thickness]],NA())</f>
        <v>36</v>
      </c>
      <c r="U389" s="5" t="e">
        <f>IF(diabetesoriginal[[#This Row],[Diabetes]]=$U$1,diabetesoriginal[[#This Row],[Insulin]],NA())</f>
        <v>#N/A</v>
      </c>
      <c r="V389" s="5">
        <f>IF(diabetesoriginal[[#This Row],[Diabetes]]=$S$1,diabetesoriginal[[#This Row],[Insulin]],NA())</f>
        <v>125</v>
      </c>
    </row>
    <row r="390" spans="1:22" x14ac:dyDescent="0.25">
      <c r="A390" s="5">
        <v>5</v>
      </c>
      <c r="B390" s="5">
        <v>144</v>
      </c>
      <c r="C390" s="5">
        <v>82</v>
      </c>
      <c r="D390" s="5" t="s">
        <v>25</v>
      </c>
      <c r="E390" s="5">
        <v>26</v>
      </c>
      <c r="F390" s="5">
        <v>285</v>
      </c>
      <c r="G390" s="5">
        <v>32</v>
      </c>
      <c r="H390" s="5" t="s">
        <v>29</v>
      </c>
      <c r="I390" s="5">
        <v>0.45200000000000001</v>
      </c>
      <c r="J390" s="5">
        <v>58</v>
      </c>
      <c r="K390" s="5" t="s">
        <v>38</v>
      </c>
      <c r="L390" s="15">
        <v>1</v>
      </c>
      <c r="M390" s="5" t="s">
        <v>22</v>
      </c>
      <c r="N390" s="5" t="s">
        <v>56</v>
      </c>
      <c r="O390" s="5" t="s">
        <v>59</v>
      </c>
      <c r="R390" s="5" t="e">
        <f>IF(diabetesoriginal[[#This Row],[Diabetes]]=$R$1,diabetesoriginal[[#This Row],[Skin Thickness]],NA())</f>
        <v>#N/A</v>
      </c>
      <c r="S390" s="5">
        <f>IF(diabetesoriginal[[#This Row],[Diabetes]]=$S$1,diabetesoriginal[[#This Row],[Skin Thickness]],NA())</f>
        <v>26</v>
      </c>
      <c r="U390" s="5" t="e">
        <f>IF(diabetesoriginal[[#This Row],[Diabetes]]=$U$1,diabetesoriginal[[#This Row],[Insulin]],NA())</f>
        <v>#N/A</v>
      </c>
      <c r="V390" s="5">
        <f>IF(diabetesoriginal[[#This Row],[Diabetes]]=$S$1,diabetesoriginal[[#This Row],[Insulin]],NA())</f>
        <v>285</v>
      </c>
    </row>
    <row r="391" spans="1:22" x14ac:dyDescent="0.25">
      <c r="A391" s="5">
        <v>3</v>
      </c>
      <c r="B391" s="5">
        <v>100</v>
      </c>
      <c r="C391" s="5">
        <v>68</v>
      </c>
      <c r="D391" s="5" t="s">
        <v>23</v>
      </c>
      <c r="E391" s="5">
        <v>23</v>
      </c>
      <c r="F391" s="5">
        <v>81</v>
      </c>
      <c r="G391" s="5">
        <v>31.6</v>
      </c>
      <c r="H391" s="5" t="s">
        <v>29</v>
      </c>
      <c r="I391" s="5">
        <v>0.94899999999999995</v>
      </c>
      <c r="J391" s="5">
        <v>28</v>
      </c>
      <c r="K391" s="5" t="s">
        <v>35</v>
      </c>
      <c r="L391" s="15">
        <v>0</v>
      </c>
      <c r="M391" s="5" t="s">
        <v>57</v>
      </c>
      <c r="N391" s="5" t="s">
        <v>58</v>
      </c>
      <c r="O391" s="5" t="s">
        <v>31</v>
      </c>
      <c r="R391" s="5">
        <f>IF(diabetesoriginal[[#This Row],[Diabetes]]=$R$1,diabetesoriginal[[#This Row],[Skin Thickness]],NA())</f>
        <v>23</v>
      </c>
      <c r="S391" s="5" t="e">
        <f>IF(diabetesoriginal[[#This Row],[Diabetes]]=$S$1,diabetesoriginal[[#This Row],[Skin Thickness]],NA())</f>
        <v>#N/A</v>
      </c>
      <c r="U391" s="5">
        <f>IF(diabetesoriginal[[#This Row],[Diabetes]]=$U$1,diabetesoriginal[[#This Row],[Insulin]],NA())</f>
        <v>81</v>
      </c>
      <c r="V391" s="5" t="e">
        <f>IF(diabetesoriginal[[#This Row],[Diabetes]]=$S$1,diabetesoriginal[[#This Row],[Insulin]],NA())</f>
        <v>#N/A</v>
      </c>
    </row>
    <row r="392" spans="1:22" x14ac:dyDescent="0.25">
      <c r="A392" s="5">
        <v>1</v>
      </c>
      <c r="B392" s="5">
        <v>100</v>
      </c>
      <c r="C392" s="5">
        <v>66</v>
      </c>
      <c r="D392" s="5" t="s">
        <v>23</v>
      </c>
      <c r="E392" s="5">
        <v>29</v>
      </c>
      <c r="F392" s="5">
        <v>196</v>
      </c>
      <c r="G392" s="5">
        <v>32</v>
      </c>
      <c r="H392" s="5" t="s">
        <v>29</v>
      </c>
      <c r="I392" s="5">
        <v>0.44400000000000001</v>
      </c>
      <c r="J392" s="5">
        <v>42</v>
      </c>
      <c r="K392" s="5" t="s">
        <v>37</v>
      </c>
      <c r="L392" s="15">
        <v>0</v>
      </c>
      <c r="M392" s="5" t="s">
        <v>57</v>
      </c>
      <c r="N392" s="5" t="s">
        <v>56</v>
      </c>
      <c r="O392" s="5" t="s">
        <v>59</v>
      </c>
      <c r="R392" s="5">
        <f>IF(diabetesoriginal[[#This Row],[Diabetes]]=$R$1,diabetesoriginal[[#This Row],[Skin Thickness]],NA())</f>
        <v>29</v>
      </c>
      <c r="S392" s="5" t="e">
        <f>IF(diabetesoriginal[[#This Row],[Diabetes]]=$S$1,diabetesoriginal[[#This Row],[Skin Thickness]],NA())</f>
        <v>#N/A</v>
      </c>
      <c r="U392" s="5">
        <f>IF(diabetesoriginal[[#This Row],[Diabetes]]=$U$1,diabetesoriginal[[#This Row],[Insulin]],NA())</f>
        <v>196</v>
      </c>
      <c r="V392" s="5" t="e">
        <f>IF(diabetesoriginal[[#This Row],[Diabetes]]=$S$1,diabetesoriginal[[#This Row],[Insulin]],NA())</f>
        <v>#N/A</v>
      </c>
    </row>
    <row r="393" spans="1:22" x14ac:dyDescent="0.25">
      <c r="A393" s="5">
        <v>5</v>
      </c>
      <c r="B393" s="5">
        <v>166</v>
      </c>
      <c r="C393" s="5">
        <v>76</v>
      </c>
      <c r="D393" s="5" t="s">
        <v>23</v>
      </c>
      <c r="E393" s="5">
        <v>29</v>
      </c>
      <c r="F393" s="5">
        <v>125</v>
      </c>
      <c r="G393" s="5">
        <v>45.7</v>
      </c>
      <c r="H393" s="5" t="s">
        <v>32</v>
      </c>
      <c r="I393" s="5">
        <v>0.34</v>
      </c>
      <c r="J393" s="5">
        <v>27</v>
      </c>
      <c r="K393" s="5" t="s">
        <v>35</v>
      </c>
      <c r="L393" s="15">
        <v>1</v>
      </c>
      <c r="M393" s="5" t="s">
        <v>22</v>
      </c>
      <c r="N393" s="5" t="s">
        <v>56</v>
      </c>
      <c r="O393" s="5" t="s">
        <v>31</v>
      </c>
      <c r="R393" s="5" t="e">
        <f>IF(diabetesoriginal[[#This Row],[Diabetes]]=$R$1,diabetesoriginal[[#This Row],[Skin Thickness]],NA())</f>
        <v>#N/A</v>
      </c>
      <c r="S393" s="5">
        <f>IF(diabetesoriginal[[#This Row],[Diabetes]]=$S$1,diabetesoriginal[[#This Row],[Skin Thickness]],NA())</f>
        <v>29</v>
      </c>
      <c r="U393" s="5" t="e">
        <f>IF(diabetesoriginal[[#This Row],[Diabetes]]=$U$1,diabetesoriginal[[#This Row],[Insulin]],NA())</f>
        <v>#N/A</v>
      </c>
      <c r="V393" s="5">
        <f>IF(diabetesoriginal[[#This Row],[Diabetes]]=$S$1,diabetesoriginal[[#This Row],[Insulin]],NA())</f>
        <v>125</v>
      </c>
    </row>
    <row r="394" spans="1:22" x14ac:dyDescent="0.25">
      <c r="A394" s="5">
        <v>1</v>
      </c>
      <c r="B394" s="5">
        <v>131</v>
      </c>
      <c r="C394" s="5">
        <v>64</v>
      </c>
      <c r="D394" s="5" t="s">
        <v>23</v>
      </c>
      <c r="E394" s="5">
        <v>14</v>
      </c>
      <c r="F394" s="5">
        <v>415</v>
      </c>
      <c r="G394" s="5">
        <v>23.7</v>
      </c>
      <c r="H394" s="5" t="s">
        <v>31</v>
      </c>
      <c r="I394" s="5">
        <v>0.38900000000000001</v>
      </c>
      <c r="J394" s="5">
        <v>21</v>
      </c>
      <c r="K394" s="5" t="s">
        <v>35</v>
      </c>
      <c r="L394" s="15">
        <v>0</v>
      </c>
      <c r="M394" s="5" t="s">
        <v>57</v>
      </c>
      <c r="N394" s="5" t="s">
        <v>58</v>
      </c>
      <c r="O394" s="5" t="s">
        <v>59</v>
      </c>
      <c r="R394" s="5">
        <f>IF(diabetesoriginal[[#This Row],[Diabetes]]=$R$1,diabetesoriginal[[#This Row],[Skin Thickness]],NA())</f>
        <v>14</v>
      </c>
      <c r="S394" s="5" t="e">
        <f>IF(diabetesoriginal[[#This Row],[Diabetes]]=$S$1,diabetesoriginal[[#This Row],[Skin Thickness]],NA())</f>
        <v>#N/A</v>
      </c>
      <c r="U394" s="5">
        <f>IF(diabetesoriginal[[#This Row],[Diabetes]]=$U$1,diabetesoriginal[[#This Row],[Insulin]],NA())</f>
        <v>415</v>
      </c>
      <c r="V394" s="5" t="e">
        <f>IF(diabetesoriginal[[#This Row],[Diabetes]]=$S$1,diabetesoriginal[[#This Row],[Insulin]],NA())</f>
        <v>#N/A</v>
      </c>
    </row>
    <row r="395" spans="1:22" x14ac:dyDescent="0.25">
      <c r="A395" s="5">
        <v>4</v>
      </c>
      <c r="B395" s="5">
        <v>116</v>
      </c>
      <c r="C395" s="5">
        <v>72</v>
      </c>
      <c r="D395" s="5" t="s">
        <v>23</v>
      </c>
      <c r="E395" s="5">
        <v>12</v>
      </c>
      <c r="F395" s="5">
        <v>87</v>
      </c>
      <c r="G395" s="5">
        <v>22.1</v>
      </c>
      <c r="H395" s="5" t="s">
        <v>31</v>
      </c>
      <c r="I395" s="5">
        <v>0.46300000000000002</v>
      </c>
      <c r="J395" s="5">
        <v>37</v>
      </c>
      <c r="K395" s="5" t="s">
        <v>36</v>
      </c>
      <c r="L395" s="15">
        <v>0</v>
      </c>
      <c r="M395" s="5" t="s">
        <v>57</v>
      </c>
      <c r="N395" s="5" t="s">
        <v>58</v>
      </c>
      <c r="O395" s="5" t="s">
        <v>31</v>
      </c>
      <c r="R395" s="5">
        <f>IF(diabetesoriginal[[#This Row],[Diabetes]]=$R$1,diabetesoriginal[[#This Row],[Skin Thickness]],NA())</f>
        <v>12</v>
      </c>
      <c r="S395" s="5" t="e">
        <f>IF(diabetesoriginal[[#This Row],[Diabetes]]=$S$1,diabetesoriginal[[#This Row],[Skin Thickness]],NA())</f>
        <v>#N/A</v>
      </c>
      <c r="U395" s="5">
        <f>IF(diabetesoriginal[[#This Row],[Diabetes]]=$U$1,diabetesoriginal[[#This Row],[Insulin]],NA())</f>
        <v>87</v>
      </c>
      <c r="V395" s="5" t="e">
        <f>IF(diabetesoriginal[[#This Row],[Diabetes]]=$S$1,diabetesoriginal[[#This Row],[Insulin]],NA())</f>
        <v>#N/A</v>
      </c>
    </row>
    <row r="396" spans="1:22" x14ac:dyDescent="0.25">
      <c r="A396" s="5">
        <v>4</v>
      </c>
      <c r="B396" s="5">
        <v>158</v>
      </c>
      <c r="C396" s="5">
        <v>78</v>
      </c>
      <c r="D396" s="5" t="s">
        <v>23</v>
      </c>
      <c r="E396" s="5">
        <v>29</v>
      </c>
      <c r="F396" s="5">
        <v>125</v>
      </c>
      <c r="G396" s="5">
        <v>32.9</v>
      </c>
      <c r="H396" s="5" t="s">
        <v>29</v>
      </c>
      <c r="I396" s="5">
        <v>0.80300000000000005</v>
      </c>
      <c r="J396" s="5">
        <v>31</v>
      </c>
      <c r="K396" s="5" t="s">
        <v>36</v>
      </c>
      <c r="L396" s="15">
        <v>1</v>
      </c>
      <c r="M396" s="5" t="s">
        <v>22</v>
      </c>
      <c r="N396" s="5" t="s">
        <v>56</v>
      </c>
      <c r="O396" s="5" t="s">
        <v>31</v>
      </c>
      <c r="R396" s="5" t="e">
        <f>IF(diabetesoriginal[[#This Row],[Diabetes]]=$R$1,diabetesoriginal[[#This Row],[Skin Thickness]],NA())</f>
        <v>#N/A</v>
      </c>
      <c r="S396" s="5">
        <f>IF(diabetesoriginal[[#This Row],[Diabetes]]=$S$1,diabetesoriginal[[#This Row],[Skin Thickness]],NA())</f>
        <v>29</v>
      </c>
      <c r="U396" s="5" t="e">
        <f>IF(diabetesoriginal[[#This Row],[Diabetes]]=$U$1,diabetesoriginal[[#This Row],[Insulin]],NA())</f>
        <v>#N/A</v>
      </c>
      <c r="V396" s="5">
        <f>IF(diabetesoriginal[[#This Row],[Diabetes]]=$S$1,diabetesoriginal[[#This Row],[Insulin]],NA())</f>
        <v>125</v>
      </c>
    </row>
    <row r="397" spans="1:22" x14ac:dyDescent="0.25">
      <c r="A397" s="5">
        <v>2</v>
      </c>
      <c r="B397" s="5">
        <v>127</v>
      </c>
      <c r="C397" s="5">
        <v>58</v>
      </c>
      <c r="D397" s="5" t="s">
        <v>23</v>
      </c>
      <c r="E397" s="5">
        <v>24</v>
      </c>
      <c r="F397" s="5">
        <v>275</v>
      </c>
      <c r="G397" s="5">
        <v>27.7</v>
      </c>
      <c r="H397" s="5" t="s">
        <v>30</v>
      </c>
      <c r="I397" s="5">
        <v>1.6</v>
      </c>
      <c r="J397" s="5">
        <v>25</v>
      </c>
      <c r="K397" s="5" t="s">
        <v>35</v>
      </c>
      <c r="L397" s="15">
        <v>0</v>
      </c>
      <c r="M397" s="5" t="s">
        <v>57</v>
      </c>
      <c r="N397" s="5" t="s">
        <v>56</v>
      </c>
      <c r="O397" s="5" t="s">
        <v>59</v>
      </c>
      <c r="R397" s="5">
        <f>IF(diabetesoriginal[[#This Row],[Diabetes]]=$R$1,diabetesoriginal[[#This Row],[Skin Thickness]],NA())</f>
        <v>24</v>
      </c>
      <c r="S397" s="5" t="e">
        <f>IF(diabetesoriginal[[#This Row],[Diabetes]]=$S$1,diabetesoriginal[[#This Row],[Skin Thickness]],NA())</f>
        <v>#N/A</v>
      </c>
      <c r="U397" s="5">
        <f>IF(diabetesoriginal[[#This Row],[Diabetes]]=$U$1,diabetesoriginal[[#This Row],[Insulin]],NA())</f>
        <v>275</v>
      </c>
      <c r="V397" s="5" t="e">
        <f>IF(diabetesoriginal[[#This Row],[Diabetes]]=$S$1,diabetesoriginal[[#This Row],[Insulin]],NA())</f>
        <v>#N/A</v>
      </c>
    </row>
    <row r="398" spans="1:22" x14ac:dyDescent="0.25">
      <c r="A398" s="5">
        <v>3</v>
      </c>
      <c r="B398" s="5">
        <v>96</v>
      </c>
      <c r="C398" s="5">
        <v>56</v>
      </c>
      <c r="D398" s="5" t="s">
        <v>23</v>
      </c>
      <c r="E398" s="5">
        <v>34</v>
      </c>
      <c r="F398" s="5">
        <v>115</v>
      </c>
      <c r="G398" s="5">
        <v>24.7</v>
      </c>
      <c r="H398" s="5" t="s">
        <v>31</v>
      </c>
      <c r="I398" s="5">
        <v>0.94399999999999995</v>
      </c>
      <c r="J398" s="5">
        <v>39</v>
      </c>
      <c r="K398" s="5" t="s">
        <v>36</v>
      </c>
      <c r="L398" s="15">
        <v>0</v>
      </c>
      <c r="M398" s="5" t="s">
        <v>57</v>
      </c>
      <c r="N398" s="5" t="s">
        <v>56</v>
      </c>
      <c r="O398" s="5" t="s">
        <v>31</v>
      </c>
      <c r="R398" s="5">
        <f>IF(diabetesoriginal[[#This Row],[Diabetes]]=$R$1,diabetesoriginal[[#This Row],[Skin Thickness]],NA())</f>
        <v>34</v>
      </c>
      <c r="S398" s="5" t="e">
        <f>IF(diabetesoriginal[[#This Row],[Diabetes]]=$S$1,diabetesoriginal[[#This Row],[Skin Thickness]],NA())</f>
        <v>#N/A</v>
      </c>
      <c r="U398" s="5">
        <f>IF(diabetesoriginal[[#This Row],[Diabetes]]=$U$1,diabetesoriginal[[#This Row],[Insulin]],NA())</f>
        <v>115</v>
      </c>
      <c r="V398" s="5" t="e">
        <f>IF(diabetesoriginal[[#This Row],[Diabetes]]=$S$1,diabetesoriginal[[#This Row],[Insulin]],NA())</f>
        <v>#N/A</v>
      </c>
    </row>
    <row r="399" spans="1:22" x14ac:dyDescent="0.25">
      <c r="A399" s="5">
        <v>0</v>
      </c>
      <c r="B399" s="5">
        <v>131</v>
      </c>
      <c r="C399" s="5">
        <v>66</v>
      </c>
      <c r="D399" s="5" t="s">
        <v>23</v>
      </c>
      <c r="E399" s="5">
        <v>40</v>
      </c>
      <c r="F399" s="5">
        <v>125</v>
      </c>
      <c r="G399" s="5">
        <v>34.299999999999997</v>
      </c>
      <c r="H399" s="5" t="s">
        <v>29</v>
      </c>
      <c r="I399" s="5">
        <v>0.19600000000000001</v>
      </c>
      <c r="J399" s="5">
        <v>22</v>
      </c>
      <c r="K399" s="5" t="s">
        <v>35</v>
      </c>
      <c r="L399" s="15">
        <v>1</v>
      </c>
      <c r="M399" s="5" t="s">
        <v>57</v>
      </c>
      <c r="N399" s="5" t="s">
        <v>56</v>
      </c>
      <c r="O399" s="5" t="s">
        <v>31</v>
      </c>
      <c r="R399" s="5" t="e">
        <f>IF(diabetesoriginal[[#This Row],[Diabetes]]=$R$1,diabetesoriginal[[#This Row],[Skin Thickness]],NA())</f>
        <v>#N/A</v>
      </c>
      <c r="S399" s="5">
        <f>IF(diabetesoriginal[[#This Row],[Diabetes]]=$S$1,diabetesoriginal[[#This Row],[Skin Thickness]],NA())</f>
        <v>40</v>
      </c>
      <c r="U399" s="5" t="e">
        <f>IF(diabetesoriginal[[#This Row],[Diabetes]]=$U$1,diabetesoriginal[[#This Row],[Insulin]],NA())</f>
        <v>#N/A</v>
      </c>
      <c r="V399" s="5">
        <f>IF(diabetesoriginal[[#This Row],[Diabetes]]=$S$1,diabetesoriginal[[#This Row],[Insulin]],NA())</f>
        <v>125</v>
      </c>
    </row>
    <row r="400" spans="1:22" x14ac:dyDescent="0.25">
      <c r="A400" s="5">
        <v>3</v>
      </c>
      <c r="B400" s="5">
        <v>82</v>
      </c>
      <c r="C400" s="5">
        <v>70</v>
      </c>
      <c r="D400" s="5" t="s">
        <v>23</v>
      </c>
      <c r="E400" s="5">
        <v>29</v>
      </c>
      <c r="F400" s="5">
        <v>125</v>
      </c>
      <c r="G400" s="5">
        <v>21.1</v>
      </c>
      <c r="H400" s="5" t="s">
        <v>31</v>
      </c>
      <c r="I400" s="5">
        <v>0.38900000000000001</v>
      </c>
      <c r="J400" s="5">
        <v>25</v>
      </c>
      <c r="K400" s="5" t="s">
        <v>35</v>
      </c>
      <c r="L400" s="15">
        <v>0</v>
      </c>
      <c r="M400" s="5" t="s">
        <v>57</v>
      </c>
      <c r="N400" s="5" t="s">
        <v>56</v>
      </c>
      <c r="O400" s="5" t="s">
        <v>31</v>
      </c>
      <c r="R400" s="5">
        <f>IF(diabetesoriginal[[#This Row],[Diabetes]]=$R$1,diabetesoriginal[[#This Row],[Skin Thickness]],NA())</f>
        <v>29</v>
      </c>
      <c r="S400" s="5" t="e">
        <f>IF(diabetesoriginal[[#This Row],[Diabetes]]=$S$1,diabetesoriginal[[#This Row],[Skin Thickness]],NA())</f>
        <v>#N/A</v>
      </c>
      <c r="U400" s="5">
        <f>IF(diabetesoriginal[[#This Row],[Diabetes]]=$U$1,diabetesoriginal[[#This Row],[Insulin]],NA())</f>
        <v>125</v>
      </c>
      <c r="V400" s="5" t="e">
        <f>IF(diabetesoriginal[[#This Row],[Diabetes]]=$S$1,diabetesoriginal[[#This Row],[Insulin]],NA())</f>
        <v>#N/A</v>
      </c>
    </row>
    <row r="401" spans="1:22" x14ac:dyDescent="0.25">
      <c r="A401" s="5">
        <v>3</v>
      </c>
      <c r="B401" s="5">
        <v>193</v>
      </c>
      <c r="C401" s="5">
        <v>70</v>
      </c>
      <c r="D401" s="5" t="s">
        <v>23</v>
      </c>
      <c r="E401" s="5">
        <v>31</v>
      </c>
      <c r="F401" s="5">
        <v>125</v>
      </c>
      <c r="G401" s="5">
        <v>34.9</v>
      </c>
      <c r="H401" s="5" t="s">
        <v>29</v>
      </c>
      <c r="I401" s="5">
        <v>0.24099999999999999</v>
      </c>
      <c r="J401" s="5">
        <v>25</v>
      </c>
      <c r="K401" s="5" t="s">
        <v>35</v>
      </c>
      <c r="L401" s="15">
        <v>1</v>
      </c>
      <c r="M401" s="5" t="s">
        <v>22</v>
      </c>
      <c r="N401" s="5" t="s">
        <v>56</v>
      </c>
      <c r="O401" s="5" t="s">
        <v>31</v>
      </c>
      <c r="R401" s="5" t="e">
        <f>IF(diabetesoriginal[[#This Row],[Diabetes]]=$R$1,diabetesoriginal[[#This Row],[Skin Thickness]],NA())</f>
        <v>#N/A</v>
      </c>
      <c r="S401" s="5">
        <f>IF(diabetesoriginal[[#This Row],[Diabetes]]=$S$1,diabetesoriginal[[#This Row],[Skin Thickness]],NA())</f>
        <v>31</v>
      </c>
      <c r="U401" s="5" t="e">
        <f>IF(diabetesoriginal[[#This Row],[Diabetes]]=$U$1,diabetesoriginal[[#This Row],[Insulin]],NA())</f>
        <v>#N/A</v>
      </c>
      <c r="V401" s="5">
        <f>IF(diabetesoriginal[[#This Row],[Diabetes]]=$S$1,diabetesoriginal[[#This Row],[Insulin]],NA())</f>
        <v>125</v>
      </c>
    </row>
    <row r="402" spans="1:22" x14ac:dyDescent="0.25">
      <c r="A402" s="5">
        <v>4</v>
      </c>
      <c r="B402" s="5">
        <v>95</v>
      </c>
      <c r="C402" s="5">
        <v>64</v>
      </c>
      <c r="D402" s="5" t="s">
        <v>23</v>
      </c>
      <c r="E402" s="5">
        <v>29</v>
      </c>
      <c r="F402" s="5">
        <v>125</v>
      </c>
      <c r="G402" s="5">
        <v>32</v>
      </c>
      <c r="H402" s="5" t="s">
        <v>29</v>
      </c>
      <c r="I402" s="5">
        <v>0.161</v>
      </c>
      <c r="J402" s="5">
        <v>31</v>
      </c>
      <c r="K402" s="5" t="s">
        <v>36</v>
      </c>
      <c r="L402" s="15">
        <v>1</v>
      </c>
      <c r="M402" s="5" t="s">
        <v>57</v>
      </c>
      <c r="N402" s="5" t="s">
        <v>56</v>
      </c>
      <c r="O402" s="5" t="s">
        <v>31</v>
      </c>
      <c r="R402" s="5" t="e">
        <f>IF(diabetesoriginal[[#This Row],[Diabetes]]=$R$1,diabetesoriginal[[#This Row],[Skin Thickness]],NA())</f>
        <v>#N/A</v>
      </c>
      <c r="S402" s="5">
        <f>IF(diabetesoriginal[[#This Row],[Diabetes]]=$S$1,diabetesoriginal[[#This Row],[Skin Thickness]],NA())</f>
        <v>29</v>
      </c>
      <c r="U402" s="5" t="e">
        <f>IF(diabetesoriginal[[#This Row],[Diabetes]]=$U$1,diabetesoriginal[[#This Row],[Insulin]],NA())</f>
        <v>#N/A</v>
      </c>
      <c r="V402" s="5">
        <f>IF(diabetesoriginal[[#This Row],[Diabetes]]=$S$1,diabetesoriginal[[#This Row],[Insulin]],NA())</f>
        <v>125</v>
      </c>
    </row>
    <row r="403" spans="1:22" x14ac:dyDescent="0.25">
      <c r="A403" s="5">
        <v>6</v>
      </c>
      <c r="B403" s="5">
        <v>137</v>
      </c>
      <c r="C403" s="5">
        <v>61</v>
      </c>
      <c r="D403" s="5" t="s">
        <v>23</v>
      </c>
      <c r="E403" s="5">
        <v>29</v>
      </c>
      <c r="F403" s="5">
        <v>125</v>
      </c>
      <c r="G403" s="5">
        <v>24.2</v>
      </c>
      <c r="H403" s="5" t="s">
        <v>31</v>
      </c>
      <c r="I403" s="5">
        <v>0.151</v>
      </c>
      <c r="J403" s="5">
        <v>55</v>
      </c>
      <c r="K403" s="5" t="s">
        <v>38</v>
      </c>
      <c r="L403" s="15">
        <v>0</v>
      </c>
      <c r="M403" s="5" t="s">
        <v>57</v>
      </c>
      <c r="N403" s="5" t="s">
        <v>56</v>
      </c>
      <c r="O403" s="5" t="s">
        <v>31</v>
      </c>
      <c r="R403" s="5">
        <f>IF(diabetesoriginal[[#This Row],[Diabetes]]=$R$1,diabetesoriginal[[#This Row],[Skin Thickness]],NA())</f>
        <v>29</v>
      </c>
      <c r="S403" s="5" t="e">
        <f>IF(diabetesoriginal[[#This Row],[Diabetes]]=$S$1,diabetesoriginal[[#This Row],[Skin Thickness]],NA())</f>
        <v>#N/A</v>
      </c>
      <c r="U403" s="5">
        <f>IF(diabetesoriginal[[#This Row],[Diabetes]]=$U$1,diabetesoriginal[[#This Row],[Insulin]],NA())</f>
        <v>125</v>
      </c>
      <c r="V403" s="5" t="e">
        <f>IF(diabetesoriginal[[#This Row],[Diabetes]]=$S$1,diabetesoriginal[[#This Row],[Insulin]],NA())</f>
        <v>#N/A</v>
      </c>
    </row>
    <row r="404" spans="1:22" x14ac:dyDescent="0.25">
      <c r="A404" s="5">
        <v>5</v>
      </c>
      <c r="B404" s="5">
        <v>136</v>
      </c>
      <c r="C404" s="5">
        <v>84</v>
      </c>
      <c r="D404" s="5" t="s">
        <v>25</v>
      </c>
      <c r="E404" s="5">
        <v>41</v>
      </c>
      <c r="F404" s="5">
        <v>88</v>
      </c>
      <c r="G404" s="5">
        <v>35</v>
      </c>
      <c r="H404" s="5" t="s">
        <v>29</v>
      </c>
      <c r="I404" s="5">
        <v>0.28599999999999998</v>
      </c>
      <c r="J404" s="5">
        <v>35</v>
      </c>
      <c r="K404" s="5" t="s">
        <v>36</v>
      </c>
      <c r="L404" s="15">
        <v>1</v>
      </c>
      <c r="M404" s="5" t="s">
        <v>57</v>
      </c>
      <c r="N404" s="5" t="s">
        <v>56</v>
      </c>
      <c r="O404" s="5" t="s">
        <v>31</v>
      </c>
      <c r="R404" s="5" t="e">
        <f>IF(diabetesoriginal[[#This Row],[Diabetes]]=$R$1,diabetesoriginal[[#This Row],[Skin Thickness]],NA())</f>
        <v>#N/A</v>
      </c>
      <c r="S404" s="5">
        <f>IF(diabetesoriginal[[#This Row],[Diabetes]]=$S$1,diabetesoriginal[[#This Row],[Skin Thickness]],NA())</f>
        <v>41</v>
      </c>
      <c r="U404" s="5" t="e">
        <f>IF(diabetesoriginal[[#This Row],[Diabetes]]=$U$1,diabetesoriginal[[#This Row],[Insulin]],NA())</f>
        <v>#N/A</v>
      </c>
      <c r="V404" s="5">
        <f>IF(diabetesoriginal[[#This Row],[Diabetes]]=$S$1,diabetesoriginal[[#This Row],[Insulin]],NA())</f>
        <v>88</v>
      </c>
    </row>
    <row r="405" spans="1:22" x14ac:dyDescent="0.25">
      <c r="A405" s="5">
        <v>9</v>
      </c>
      <c r="B405" s="5">
        <v>72</v>
      </c>
      <c r="C405" s="5">
        <v>78</v>
      </c>
      <c r="D405" s="5" t="s">
        <v>23</v>
      </c>
      <c r="E405" s="5">
        <v>25</v>
      </c>
      <c r="F405" s="5">
        <v>125</v>
      </c>
      <c r="G405" s="5">
        <v>31.6</v>
      </c>
      <c r="H405" s="5" t="s">
        <v>29</v>
      </c>
      <c r="I405" s="5">
        <v>0.28000000000000003</v>
      </c>
      <c r="J405" s="5">
        <v>38</v>
      </c>
      <c r="K405" s="5" t="s">
        <v>36</v>
      </c>
      <c r="L405" s="15">
        <v>0</v>
      </c>
      <c r="M405" s="5" t="s">
        <v>57</v>
      </c>
      <c r="N405" s="5" t="s">
        <v>56</v>
      </c>
      <c r="O405" s="5" t="s">
        <v>31</v>
      </c>
      <c r="R405" s="5">
        <f>IF(diabetesoriginal[[#This Row],[Diabetes]]=$R$1,diabetesoriginal[[#This Row],[Skin Thickness]],NA())</f>
        <v>25</v>
      </c>
      <c r="S405" s="5" t="e">
        <f>IF(diabetesoriginal[[#This Row],[Diabetes]]=$S$1,diabetesoriginal[[#This Row],[Skin Thickness]],NA())</f>
        <v>#N/A</v>
      </c>
      <c r="U405" s="5">
        <f>IF(diabetesoriginal[[#This Row],[Diabetes]]=$U$1,diabetesoriginal[[#This Row],[Insulin]],NA())</f>
        <v>125</v>
      </c>
      <c r="V405" s="5" t="e">
        <f>IF(diabetesoriginal[[#This Row],[Diabetes]]=$S$1,diabetesoriginal[[#This Row],[Insulin]],NA())</f>
        <v>#N/A</v>
      </c>
    </row>
    <row r="406" spans="1:22" x14ac:dyDescent="0.25">
      <c r="A406" s="5">
        <v>5</v>
      </c>
      <c r="B406" s="5">
        <v>168</v>
      </c>
      <c r="C406" s="5">
        <v>64</v>
      </c>
      <c r="D406" s="5" t="s">
        <v>23</v>
      </c>
      <c r="E406" s="5">
        <v>29</v>
      </c>
      <c r="F406" s="5">
        <v>125</v>
      </c>
      <c r="G406" s="5">
        <v>32.9</v>
      </c>
      <c r="H406" s="5" t="s">
        <v>29</v>
      </c>
      <c r="I406" s="5">
        <v>0.13500000000000001</v>
      </c>
      <c r="J406" s="5">
        <v>41</v>
      </c>
      <c r="K406" s="5" t="s">
        <v>37</v>
      </c>
      <c r="L406" s="15">
        <v>1</v>
      </c>
      <c r="M406" s="5" t="s">
        <v>22</v>
      </c>
      <c r="N406" s="5" t="s">
        <v>56</v>
      </c>
      <c r="O406" s="5" t="s">
        <v>31</v>
      </c>
      <c r="R406" s="5" t="e">
        <f>IF(diabetesoriginal[[#This Row],[Diabetes]]=$R$1,diabetesoriginal[[#This Row],[Skin Thickness]],NA())</f>
        <v>#N/A</v>
      </c>
      <c r="S406" s="5">
        <f>IF(diabetesoriginal[[#This Row],[Diabetes]]=$S$1,diabetesoriginal[[#This Row],[Skin Thickness]],NA())</f>
        <v>29</v>
      </c>
      <c r="U406" s="5" t="e">
        <f>IF(diabetesoriginal[[#This Row],[Diabetes]]=$U$1,diabetesoriginal[[#This Row],[Insulin]],NA())</f>
        <v>#N/A</v>
      </c>
      <c r="V406" s="5">
        <f>IF(diabetesoriginal[[#This Row],[Diabetes]]=$S$1,diabetesoriginal[[#This Row],[Insulin]],NA())</f>
        <v>125</v>
      </c>
    </row>
    <row r="407" spans="1:22" x14ac:dyDescent="0.25">
      <c r="A407" s="5">
        <v>2</v>
      </c>
      <c r="B407" s="5">
        <v>123</v>
      </c>
      <c r="C407" s="5">
        <v>48</v>
      </c>
      <c r="D407" s="5" t="s">
        <v>23</v>
      </c>
      <c r="E407" s="5">
        <v>32</v>
      </c>
      <c r="F407" s="5">
        <v>165</v>
      </c>
      <c r="G407" s="5">
        <v>42.1</v>
      </c>
      <c r="H407" s="5" t="s">
        <v>32</v>
      </c>
      <c r="I407" s="5">
        <v>0.52</v>
      </c>
      <c r="J407" s="5">
        <v>26</v>
      </c>
      <c r="K407" s="5" t="s">
        <v>35</v>
      </c>
      <c r="L407" s="15">
        <v>0</v>
      </c>
      <c r="M407" s="5" t="s">
        <v>57</v>
      </c>
      <c r="N407" s="5" t="s">
        <v>56</v>
      </c>
      <c r="O407" s="5" t="s">
        <v>31</v>
      </c>
      <c r="R407" s="5">
        <f>IF(diabetesoriginal[[#This Row],[Diabetes]]=$R$1,diabetesoriginal[[#This Row],[Skin Thickness]],NA())</f>
        <v>32</v>
      </c>
      <c r="S407" s="5" t="e">
        <f>IF(diabetesoriginal[[#This Row],[Diabetes]]=$S$1,diabetesoriginal[[#This Row],[Skin Thickness]],NA())</f>
        <v>#N/A</v>
      </c>
      <c r="U407" s="5">
        <f>IF(diabetesoriginal[[#This Row],[Diabetes]]=$U$1,diabetesoriginal[[#This Row],[Insulin]],NA())</f>
        <v>165</v>
      </c>
      <c r="V407" s="5" t="e">
        <f>IF(diabetesoriginal[[#This Row],[Diabetes]]=$S$1,diabetesoriginal[[#This Row],[Insulin]],NA())</f>
        <v>#N/A</v>
      </c>
    </row>
    <row r="408" spans="1:22" x14ac:dyDescent="0.25">
      <c r="A408" s="5">
        <v>4</v>
      </c>
      <c r="B408" s="5">
        <v>115</v>
      </c>
      <c r="C408" s="5">
        <v>72</v>
      </c>
      <c r="D408" s="5" t="s">
        <v>23</v>
      </c>
      <c r="E408" s="5">
        <v>29</v>
      </c>
      <c r="F408" s="5">
        <v>125</v>
      </c>
      <c r="G408" s="5">
        <v>28.9</v>
      </c>
      <c r="H408" s="5" t="s">
        <v>30</v>
      </c>
      <c r="I408" s="5">
        <v>0.376</v>
      </c>
      <c r="J408" s="5">
        <v>46</v>
      </c>
      <c r="K408" s="5" t="s">
        <v>37</v>
      </c>
      <c r="L408" s="15">
        <v>1</v>
      </c>
      <c r="M408" s="5" t="s">
        <v>57</v>
      </c>
      <c r="N408" s="5" t="s">
        <v>56</v>
      </c>
      <c r="O408" s="5" t="s">
        <v>31</v>
      </c>
      <c r="R408" s="5" t="e">
        <f>IF(diabetesoriginal[[#This Row],[Diabetes]]=$R$1,diabetesoriginal[[#This Row],[Skin Thickness]],NA())</f>
        <v>#N/A</v>
      </c>
      <c r="S408" s="5">
        <f>IF(diabetesoriginal[[#This Row],[Diabetes]]=$S$1,diabetesoriginal[[#This Row],[Skin Thickness]],NA())</f>
        <v>29</v>
      </c>
      <c r="U408" s="5" t="e">
        <f>IF(diabetesoriginal[[#This Row],[Diabetes]]=$U$1,diabetesoriginal[[#This Row],[Insulin]],NA())</f>
        <v>#N/A</v>
      </c>
      <c r="V408" s="5">
        <f>IF(diabetesoriginal[[#This Row],[Diabetes]]=$S$1,diabetesoriginal[[#This Row],[Insulin]],NA())</f>
        <v>125</v>
      </c>
    </row>
    <row r="409" spans="1:22" x14ac:dyDescent="0.25">
      <c r="A409" s="5">
        <v>0</v>
      </c>
      <c r="B409" s="5">
        <v>101</v>
      </c>
      <c r="C409" s="5">
        <v>62</v>
      </c>
      <c r="D409" s="5" t="s">
        <v>23</v>
      </c>
      <c r="E409" s="5">
        <v>29</v>
      </c>
      <c r="F409" s="5">
        <v>125</v>
      </c>
      <c r="G409" s="5">
        <v>21.9</v>
      </c>
      <c r="H409" s="5" t="s">
        <v>31</v>
      </c>
      <c r="I409" s="5">
        <v>0.33600000000000002</v>
      </c>
      <c r="J409" s="5">
        <v>25</v>
      </c>
      <c r="K409" s="5" t="s">
        <v>35</v>
      </c>
      <c r="L409" s="15">
        <v>0</v>
      </c>
      <c r="M409" s="5" t="s">
        <v>57</v>
      </c>
      <c r="N409" s="5" t="s">
        <v>56</v>
      </c>
      <c r="O409" s="5" t="s">
        <v>31</v>
      </c>
      <c r="R409" s="5">
        <f>IF(diabetesoriginal[[#This Row],[Diabetes]]=$R$1,diabetesoriginal[[#This Row],[Skin Thickness]],NA())</f>
        <v>29</v>
      </c>
      <c r="S409" s="5" t="e">
        <f>IF(diabetesoriginal[[#This Row],[Diabetes]]=$S$1,diabetesoriginal[[#This Row],[Skin Thickness]],NA())</f>
        <v>#N/A</v>
      </c>
      <c r="U409" s="5">
        <f>IF(diabetesoriginal[[#This Row],[Diabetes]]=$U$1,diabetesoriginal[[#This Row],[Insulin]],NA())</f>
        <v>125</v>
      </c>
      <c r="V409" s="5" t="e">
        <f>IF(diabetesoriginal[[#This Row],[Diabetes]]=$S$1,diabetesoriginal[[#This Row],[Insulin]],NA())</f>
        <v>#N/A</v>
      </c>
    </row>
    <row r="410" spans="1:22" x14ac:dyDescent="0.25">
      <c r="A410" s="5">
        <v>8</v>
      </c>
      <c r="B410" s="5">
        <v>197</v>
      </c>
      <c r="C410" s="5">
        <v>74</v>
      </c>
      <c r="D410" s="5" t="s">
        <v>23</v>
      </c>
      <c r="E410" s="5">
        <v>29</v>
      </c>
      <c r="F410" s="5">
        <v>125</v>
      </c>
      <c r="G410" s="5">
        <v>25.9</v>
      </c>
      <c r="H410" s="5" t="s">
        <v>30</v>
      </c>
      <c r="I410" s="5">
        <v>1.1910000000000001</v>
      </c>
      <c r="J410" s="5">
        <v>39</v>
      </c>
      <c r="K410" s="5" t="s">
        <v>36</v>
      </c>
      <c r="L410" s="15">
        <v>1</v>
      </c>
      <c r="M410" s="5" t="s">
        <v>22</v>
      </c>
      <c r="N410" s="5" t="s">
        <v>56</v>
      </c>
      <c r="O410" s="5" t="s">
        <v>31</v>
      </c>
      <c r="R410" s="5" t="e">
        <f>IF(diabetesoriginal[[#This Row],[Diabetes]]=$R$1,diabetesoriginal[[#This Row],[Skin Thickness]],NA())</f>
        <v>#N/A</v>
      </c>
      <c r="S410" s="5">
        <f>IF(diabetesoriginal[[#This Row],[Diabetes]]=$S$1,diabetesoriginal[[#This Row],[Skin Thickness]],NA())</f>
        <v>29</v>
      </c>
      <c r="U410" s="5" t="e">
        <f>IF(diabetesoriginal[[#This Row],[Diabetes]]=$U$1,diabetesoriginal[[#This Row],[Insulin]],NA())</f>
        <v>#N/A</v>
      </c>
      <c r="V410" s="5">
        <f>IF(diabetesoriginal[[#This Row],[Diabetes]]=$S$1,diabetesoriginal[[#This Row],[Insulin]],NA())</f>
        <v>125</v>
      </c>
    </row>
    <row r="411" spans="1:22" x14ac:dyDescent="0.25">
      <c r="A411" s="5">
        <v>1</v>
      </c>
      <c r="B411" s="5">
        <v>172</v>
      </c>
      <c r="C411" s="5">
        <v>68</v>
      </c>
      <c r="D411" s="5" t="s">
        <v>23</v>
      </c>
      <c r="E411" s="5">
        <v>49</v>
      </c>
      <c r="F411" s="5">
        <v>579</v>
      </c>
      <c r="G411" s="5">
        <v>42.4</v>
      </c>
      <c r="H411" s="5" t="s">
        <v>32</v>
      </c>
      <c r="I411" s="5">
        <v>0.70199999999999996</v>
      </c>
      <c r="J411" s="5">
        <v>28</v>
      </c>
      <c r="K411" s="5" t="s">
        <v>35</v>
      </c>
      <c r="L411" s="15">
        <v>1</v>
      </c>
      <c r="M411" s="5" t="s">
        <v>22</v>
      </c>
      <c r="N411" s="5" t="s">
        <v>56</v>
      </c>
      <c r="O411" s="5" t="s">
        <v>59</v>
      </c>
      <c r="R411" s="5" t="e">
        <f>IF(diabetesoriginal[[#This Row],[Diabetes]]=$R$1,diabetesoriginal[[#This Row],[Skin Thickness]],NA())</f>
        <v>#N/A</v>
      </c>
      <c r="S411" s="5">
        <f>IF(diabetesoriginal[[#This Row],[Diabetes]]=$S$1,diabetesoriginal[[#This Row],[Skin Thickness]],NA())</f>
        <v>49</v>
      </c>
      <c r="U411" s="5" t="e">
        <f>IF(diabetesoriginal[[#This Row],[Diabetes]]=$U$1,diabetesoriginal[[#This Row],[Insulin]],NA())</f>
        <v>#N/A</v>
      </c>
      <c r="V411" s="5">
        <f>IF(diabetesoriginal[[#This Row],[Diabetes]]=$S$1,diabetesoriginal[[#This Row],[Insulin]],NA())</f>
        <v>579</v>
      </c>
    </row>
    <row r="412" spans="1:22" x14ac:dyDescent="0.25">
      <c r="A412" s="5">
        <v>6</v>
      </c>
      <c r="B412" s="5">
        <v>102</v>
      </c>
      <c r="C412" s="5">
        <v>90</v>
      </c>
      <c r="D412" s="5" t="s">
        <v>24</v>
      </c>
      <c r="E412" s="5">
        <v>39</v>
      </c>
      <c r="F412" s="5">
        <v>125</v>
      </c>
      <c r="G412" s="5">
        <v>35.700000000000003</v>
      </c>
      <c r="H412" s="5" t="s">
        <v>29</v>
      </c>
      <c r="I412" s="5">
        <v>0.67400000000000004</v>
      </c>
      <c r="J412" s="5">
        <v>28</v>
      </c>
      <c r="K412" s="5" t="s">
        <v>35</v>
      </c>
      <c r="L412" s="15">
        <v>0</v>
      </c>
      <c r="M412" s="5" t="s">
        <v>57</v>
      </c>
      <c r="N412" s="5" t="s">
        <v>56</v>
      </c>
      <c r="O412" s="5" t="s">
        <v>31</v>
      </c>
      <c r="R412" s="5">
        <f>IF(diabetesoriginal[[#This Row],[Diabetes]]=$R$1,diabetesoriginal[[#This Row],[Skin Thickness]],NA())</f>
        <v>39</v>
      </c>
      <c r="S412" s="5" t="e">
        <f>IF(diabetesoriginal[[#This Row],[Diabetes]]=$S$1,diabetesoriginal[[#This Row],[Skin Thickness]],NA())</f>
        <v>#N/A</v>
      </c>
      <c r="U412" s="5">
        <f>IF(diabetesoriginal[[#This Row],[Diabetes]]=$U$1,diabetesoriginal[[#This Row],[Insulin]],NA())</f>
        <v>125</v>
      </c>
      <c r="V412" s="5" t="e">
        <f>IF(diabetesoriginal[[#This Row],[Diabetes]]=$S$1,diabetesoriginal[[#This Row],[Insulin]],NA())</f>
        <v>#N/A</v>
      </c>
    </row>
    <row r="413" spans="1:22" x14ac:dyDescent="0.25">
      <c r="A413" s="5">
        <v>1</v>
      </c>
      <c r="B413" s="5">
        <v>112</v>
      </c>
      <c r="C413" s="5">
        <v>72</v>
      </c>
      <c r="D413" s="5" t="s">
        <v>23</v>
      </c>
      <c r="E413" s="5">
        <v>30</v>
      </c>
      <c r="F413" s="5">
        <v>176</v>
      </c>
      <c r="G413" s="5">
        <v>34.4</v>
      </c>
      <c r="H413" s="5" t="s">
        <v>29</v>
      </c>
      <c r="I413" s="5">
        <v>0.52800000000000002</v>
      </c>
      <c r="J413" s="5">
        <v>25</v>
      </c>
      <c r="K413" s="5" t="s">
        <v>35</v>
      </c>
      <c r="L413" s="15">
        <v>0</v>
      </c>
      <c r="M413" s="5" t="s">
        <v>57</v>
      </c>
      <c r="N413" s="5" t="s">
        <v>56</v>
      </c>
      <c r="O413" s="5" t="s">
        <v>59</v>
      </c>
      <c r="R413" s="5">
        <f>IF(diabetesoriginal[[#This Row],[Diabetes]]=$R$1,diabetesoriginal[[#This Row],[Skin Thickness]],NA())</f>
        <v>30</v>
      </c>
      <c r="S413" s="5" t="e">
        <f>IF(diabetesoriginal[[#This Row],[Diabetes]]=$S$1,diabetesoriginal[[#This Row],[Skin Thickness]],NA())</f>
        <v>#N/A</v>
      </c>
      <c r="U413" s="5">
        <f>IF(diabetesoriginal[[#This Row],[Diabetes]]=$U$1,diabetesoriginal[[#This Row],[Insulin]],NA())</f>
        <v>176</v>
      </c>
      <c r="V413" s="5" t="e">
        <f>IF(diabetesoriginal[[#This Row],[Diabetes]]=$S$1,diabetesoriginal[[#This Row],[Insulin]],NA())</f>
        <v>#N/A</v>
      </c>
    </row>
    <row r="414" spans="1:22" x14ac:dyDescent="0.25">
      <c r="A414" s="5">
        <v>1</v>
      </c>
      <c r="B414" s="5">
        <v>143</v>
      </c>
      <c r="C414" s="5">
        <v>84</v>
      </c>
      <c r="D414" s="5" t="s">
        <v>25</v>
      </c>
      <c r="E414" s="5">
        <v>23</v>
      </c>
      <c r="F414" s="5">
        <v>310</v>
      </c>
      <c r="G414" s="5">
        <v>42.4</v>
      </c>
      <c r="H414" s="5" t="s">
        <v>32</v>
      </c>
      <c r="I414" s="5">
        <v>1.0760000000000001</v>
      </c>
      <c r="J414" s="5">
        <v>22</v>
      </c>
      <c r="K414" s="5" t="s">
        <v>35</v>
      </c>
      <c r="L414" s="15">
        <v>0</v>
      </c>
      <c r="M414" s="5" t="s">
        <v>22</v>
      </c>
      <c r="N414" s="5" t="s">
        <v>58</v>
      </c>
      <c r="O414" s="5" t="s">
        <v>59</v>
      </c>
      <c r="R414" s="5">
        <f>IF(diabetesoriginal[[#This Row],[Diabetes]]=$R$1,diabetesoriginal[[#This Row],[Skin Thickness]],NA())</f>
        <v>23</v>
      </c>
      <c r="S414" s="5" t="e">
        <f>IF(diabetesoriginal[[#This Row],[Diabetes]]=$S$1,diabetesoriginal[[#This Row],[Skin Thickness]],NA())</f>
        <v>#N/A</v>
      </c>
      <c r="U414" s="5">
        <f>IF(diabetesoriginal[[#This Row],[Diabetes]]=$U$1,diabetesoriginal[[#This Row],[Insulin]],NA())</f>
        <v>310</v>
      </c>
      <c r="V414" s="5" t="e">
        <f>IF(diabetesoriginal[[#This Row],[Diabetes]]=$S$1,diabetesoriginal[[#This Row],[Insulin]],NA())</f>
        <v>#N/A</v>
      </c>
    </row>
    <row r="415" spans="1:22" x14ac:dyDescent="0.25">
      <c r="A415" s="5">
        <v>1</v>
      </c>
      <c r="B415" s="5">
        <v>143</v>
      </c>
      <c r="C415" s="5">
        <v>74</v>
      </c>
      <c r="D415" s="5" t="s">
        <v>23</v>
      </c>
      <c r="E415" s="5">
        <v>22</v>
      </c>
      <c r="F415" s="5">
        <v>61</v>
      </c>
      <c r="G415" s="5">
        <v>26.2</v>
      </c>
      <c r="H415" s="5" t="s">
        <v>30</v>
      </c>
      <c r="I415" s="5">
        <v>0.25600000000000001</v>
      </c>
      <c r="J415" s="5">
        <v>21</v>
      </c>
      <c r="K415" s="5" t="s">
        <v>35</v>
      </c>
      <c r="L415" s="15">
        <v>0</v>
      </c>
      <c r="M415" s="5" t="s">
        <v>22</v>
      </c>
      <c r="N415" s="5" t="s">
        <v>58</v>
      </c>
      <c r="O415" s="5" t="s">
        <v>31</v>
      </c>
      <c r="R415" s="5">
        <f>IF(diabetesoriginal[[#This Row],[Diabetes]]=$R$1,diabetesoriginal[[#This Row],[Skin Thickness]],NA())</f>
        <v>22</v>
      </c>
      <c r="S415" s="5" t="e">
        <f>IF(diabetesoriginal[[#This Row],[Diabetes]]=$S$1,diabetesoriginal[[#This Row],[Skin Thickness]],NA())</f>
        <v>#N/A</v>
      </c>
      <c r="U415" s="5">
        <f>IF(diabetesoriginal[[#This Row],[Diabetes]]=$U$1,diabetesoriginal[[#This Row],[Insulin]],NA())</f>
        <v>61</v>
      </c>
      <c r="V415" s="5" t="e">
        <f>IF(diabetesoriginal[[#This Row],[Diabetes]]=$S$1,diabetesoriginal[[#This Row],[Insulin]],NA())</f>
        <v>#N/A</v>
      </c>
    </row>
    <row r="416" spans="1:22" x14ac:dyDescent="0.25">
      <c r="A416" s="5">
        <v>0</v>
      </c>
      <c r="B416" s="5">
        <v>138</v>
      </c>
      <c r="C416" s="5">
        <v>60</v>
      </c>
      <c r="D416" s="5" t="s">
        <v>23</v>
      </c>
      <c r="E416" s="5">
        <v>35</v>
      </c>
      <c r="F416" s="5">
        <v>167</v>
      </c>
      <c r="G416" s="5">
        <v>34.6</v>
      </c>
      <c r="H416" s="5" t="s">
        <v>29</v>
      </c>
      <c r="I416" s="5">
        <v>0.53400000000000003</v>
      </c>
      <c r="J416" s="5">
        <v>21</v>
      </c>
      <c r="K416" s="5" t="s">
        <v>35</v>
      </c>
      <c r="L416" s="15">
        <v>1</v>
      </c>
      <c r="M416" s="5" t="s">
        <v>57</v>
      </c>
      <c r="N416" s="5" t="s">
        <v>56</v>
      </c>
      <c r="O416" s="5" t="s">
        <v>59</v>
      </c>
      <c r="R416" s="5" t="e">
        <f>IF(diabetesoriginal[[#This Row],[Diabetes]]=$R$1,diabetesoriginal[[#This Row],[Skin Thickness]],NA())</f>
        <v>#N/A</v>
      </c>
      <c r="S416" s="5">
        <f>IF(diabetesoriginal[[#This Row],[Diabetes]]=$S$1,diabetesoriginal[[#This Row],[Skin Thickness]],NA())</f>
        <v>35</v>
      </c>
      <c r="U416" s="5" t="e">
        <f>IF(diabetesoriginal[[#This Row],[Diabetes]]=$U$1,diabetesoriginal[[#This Row],[Insulin]],NA())</f>
        <v>#N/A</v>
      </c>
      <c r="V416" s="5">
        <f>IF(diabetesoriginal[[#This Row],[Diabetes]]=$S$1,diabetesoriginal[[#This Row],[Insulin]],NA())</f>
        <v>167</v>
      </c>
    </row>
    <row r="417" spans="1:22" x14ac:dyDescent="0.25">
      <c r="A417" s="5">
        <v>3</v>
      </c>
      <c r="B417" s="5">
        <v>173</v>
      </c>
      <c r="C417" s="5">
        <v>84</v>
      </c>
      <c r="D417" s="5" t="s">
        <v>25</v>
      </c>
      <c r="E417" s="5">
        <v>33</v>
      </c>
      <c r="F417" s="5">
        <v>474</v>
      </c>
      <c r="G417" s="5">
        <v>35.700000000000003</v>
      </c>
      <c r="H417" s="5" t="s">
        <v>29</v>
      </c>
      <c r="I417" s="5">
        <v>0.25800000000000001</v>
      </c>
      <c r="J417" s="5">
        <v>22</v>
      </c>
      <c r="K417" s="5" t="s">
        <v>35</v>
      </c>
      <c r="L417" s="15">
        <v>1</v>
      </c>
      <c r="M417" s="5" t="s">
        <v>22</v>
      </c>
      <c r="N417" s="5" t="s">
        <v>56</v>
      </c>
      <c r="O417" s="5" t="s">
        <v>59</v>
      </c>
      <c r="R417" s="5" t="e">
        <f>IF(diabetesoriginal[[#This Row],[Diabetes]]=$R$1,diabetesoriginal[[#This Row],[Skin Thickness]],NA())</f>
        <v>#N/A</v>
      </c>
      <c r="S417" s="5">
        <f>IF(diabetesoriginal[[#This Row],[Diabetes]]=$S$1,diabetesoriginal[[#This Row],[Skin Thickness]],NA())</f>
        <v>33</v>
      </c>
      <c r="U417" s="5" t="e">
        <f>IF(diabetesoriginal[[#This Row],[Diabetes]]=$U$1,diabetesoriginal[[#This Row],[Insulin]],NA())</f>
        <v>#N/A</v>
      </c>
      <c r="V417" s="5">
        <f>IF(diabetesoriginal[[#This Row],[Diabetes]]=$S$1,diabetesoriginal[[#This Row],[Insulin]],NA())</f>
        <v>474</v>
      </c>
    </row>
    <row r="418" spans="1:22" x14ac:dyDescent="0.25">
      <c r="A418" s="5">
        <v>1</v>
      </c>
      <c r="B418" s="5">
        <v>97</v>
      </c>
      <c r="C418" s="5">
        <v>68</v>
      </c>
      <c r="D418" s="5" t="s">
        <v>23</v>
      </c>
      <c r="E418" s="5">
        <v>21</v>
      </c>
      <c r="F418" s="5">
        <v>125</v>
      </c>
      <c r="G418" s="5">
        <v>27.2</v>
      </c>
      <c r="H418" s="5" t="s">
        <v>30</v>
      </c>
      <c r="I418" s="5">
        <v>1.095</v>
      </c>
      <c r="J418" s="5">
        <v>22</v>
      </c>
      <c r="K418" s="5" t="s">
        <v>35</v>
      </c>
      <c r="L418" s="15">
        <v>0</v>
      </c>
      <c r="M418" s="5" t="s">
        <v>57</v>
      </c>
      <c r="N418" s="5" t="s">
        <v>58</v>
      </c>
      <c r="O418" s="5" t="s">
        <v>31</v>
      </c>
      <c r="R418" s="5">
        <f>IF(diabetesoriginal[[#This Row],[Diabetes]]=$R$1,diabetesoriginal[[#This Row],[Skin Thickness]],NA())</f>
        <v>21</v>
      </c>
      <c r="S418" s="5" t="e">
        <f>IF(diabetesoriginal[[#This Row],[Diabetes]]=$S$1,diabetesoriginal[[#This Row],[Skin Thickness]],NA())</f>
        <v>#N/A</v>
      </c>
      <c r="U418" s="5">
        <f>IF(diabetesoriginal[[#This Row],[Diabetes]]=$U$1,diabetesoriginal[[#This Row],[Insulin]],NA())</f>
        <v>125</v>
      </c>
      <c r="V418" s="5" t="e">
        <f>IF(diabetesoriginal[[#This Row],[Diabetes]]=$S$1,diabetesoriginal[[#This Row],[Insulin]],NA())</f>
        <v>#N/A</v>
      </c>
    </row>
    <row r="419" spans="1:22" x14ac:dyDescent="0.25">
      <c r="A419" s="5">
        <v>4</v>
      </c>
      <c r="B419" s="5">
        <v>144</v>
      </c>
      <c r="C419" s="5">
        <v>82</v>
      </c>
      <c r="D419" s="5" t="s">
        <v>25</v>
      </c>
      <c r="E419" s="5">
        <v>32</v>
      </c>
      <c r="F419" s="5">
        <v>125</v>
      </c>
      <c r="G419" s="5">
        <v>38.5</v>
      </c>
      <c r="H419" s="5" t="s">
        <v>29</v>
      </c>
      <c r="I419" s="5">
        <v>0.55400000000000005</v>
      </c>
      <c r="J419" s="5">
        <v>37</v>
      </c>
      <c r="K419" s="5" t="s">
        <v>36</v>
      </c>
      <c r="L419" s="15">
        <v>1</v>
      </c>
      <c r="M419" s="5" t="s">
        <v>22</v>
      </c>
      <c r="N419" s="5" t="s">
        <v>56</v>
      </c>
      <c r="O419" s="5" t="s">
        <v>31</v>
      </c>
      <c r="R419" s="5" t="e">
        <f>IF(diabetesoriginal[[#This Row],[Diabetes]]=$R$1,diabetesoriginal[[#This Row],[Skin Thickness]],NA())</f>
        <v>#N/A</v>
      </c>
      <c r="S419" s="5">
        <f>IF(diabetesoriginal[[#This Row],[Diabetes]]=$S$1,diabetesoriginal[[#This Row],[Skin Thickness]],NA())</f>
        <v>32</v>
      </c>
      <c r="U419" s="5" t="e">
        <f>IF(diabetesoriginal[[#This Row],[Diabetes]]=$U$1,diabetesoriginal[[#This Row],[Insulin]],NA())</f>
        <v>#N/A</v>
      </c>
      <c r="V419" s="5">
        <f>IF(diabetesoriginal[[#This Row],[Diabetes]]=$S$1,diabetesoriginal[[#This Row],[Insulin]],NA())</f>
        <v>125</v>
      </c>
    </row>
    <row r="420" spans="1:22" x14ac:dyDescent="0.25">
      <c r="A420" s="5">
        <v>1</v>
      </c>
      <c r="B420" s="5">
        <v>83</v>
      </c>
      <c r="C420" s="5">
        <v>68</v>
      </c>
      <c r="D420" s="5" t="s">
        <v>23</v>
      </c>
      <c r="E420" s="5">
        <v>29</v>
      </c>
      <c r="F420" s="5">
        <v>125</v>
      </c>
      <c r="G420" s="5">
        <v>18.2</v>
      </c>
      <c r="H420" s="5" t="s">
        <v>33</v>
      </c>
      <c r="I420" s="5">
        <v>0.624</v>
      </c>
      <c r="J420" s="5">
        <v>27</v>
      </c>
      <c r="K420" s="5" t="s">
        <v>35</v>
      </c>
      <c r="L420" s="15">
        <v>0</v>
      </c>
      <c r="M420" s="5" t="s">
        <v>57</v>
      </c>
      <c r="N420" s="5" t="s">
        <v>56</v>
      </c>
      <c r="O420" s="5" t="s">
        <v>31</v>
      </c>
      <c r="R420" s="5">
        <f>IF(diabetesoriginal[[#This Row],[Diabetes]]=$R$1,diabetesoriginal[[#This Row],[Skin Thickness]],NA())</f>
        <v>29</v>
      </c>
      <c r="S420" s="5" t="e">
        <f>IF(diabetesoriginal[[#This Row],[Diabetes]]=$S$1,diabetesoriginal[[#This Row],[Skin Thickness]],NA())</f>
        <v>#N/A</v>
      </c>
      <c r="U420" s="5">
        <f>IF(diabetesoriginal[[#This Row],[Diabetes]]=$U$1,diabetesoriginal[[#This Row],[Insulin]],NA())</f>
        <v>125</v>
      </c>
      <c r="V420" s="5" t="e">
        <f>IF(diabetesoriginal[[#This Row],[Diabetes]]=$S$1,diabetesoriginal[[#This Row],[Insulin]],NA())</f>
        <v>#N/A</v>
      </c>
    </row>
    <row r="421" spans="1:22" x14ac:dyDescent="0.25">
      <c r="A421" s="5">
        <v>3</v>
      </c>
      <c r="B421" s="5">
        <v>129</v>
      </c>
      <c r="C421" s="5">
        <v>64</v>
      </c>
      <c r="D421" s="5" t="s">
        <v>23</v>
      </c>
      <c r="E421" s="5">
        <v>29</v>
      </c>
      <c r="F421" s="5">
        <v>115</v>
      </c>
      <c r="G421" s="5">
        <v>26.4</v>
      </c>
      <c r="H421" s="5" t="s">
        <v>30</v>
      </c>
      <c r="I421" s="5">
        <v>0.219</v>
      </c>
      <c r="J421" s="5">
        <v>28</v>
      </c>
      <c r="K421" s="5" t="s">
        <v>35</v>
      </c>
      <c r="L421" s="15">
        <v>1</v>
      </c>
      <c r="M421" s="5" t="s">
        <v>57</v>
      </c>
      <c r="N421" s="5" t="s">
        <v>56</v>
      </c>
      <c r="O421" s="5" t="s">
        <v>31</v>
      </c>
      <c r="R421" s="5" t="e">
        <f>IF(diabetesoriginal[[#This Row],[Diabetes]]=$R$1,diabetesoriginal[[#This Row],[Skin Thickness]],NA())</f>
        <v>#N/A</v>
      </c>
      <c r="S421" s="5">
        <f>IF(diabetesoriginal[[#This Row],[Diabetes]]=$S$1,diabetesoriginal[[#This Row],[Skin Thickness]],NA())</f>
        <v>29</v>
      </c>
      <c r="U421" s="5" t="e">
        <f>IF(diabetesoriginal[[#This Row],[Diabetes]]=$U$1,diabetesoriginal[[#This Row],[Insulin]],NA())</f>
        <v>#N/A</v>
      </c>
      <c r="V421" s="5">
        <f>IF(diabetesoriginal[[#This Row],[Diabetes]]=$S$1,diabetesoriginal[[#This Row],[Insulin]],NA())</f>
        <v>115</v>
      </c>
    </row>
    <row r="422" spans="1:22" x14ac:dyDescent="0.25">
      <c r="A422" s="5">
        <v>1</v>
      </c>
      <c r="B422" s="5">
        <v>119</v>
      </c>
      <c r="C422" s="5">
        <v>88</v>
      </c>
      <c r="D422" s="5" t="s">
        <v>25</v>
      </c>
      <c r="E422" s="5">
        <v>41</v>
      </c>
      <c r="F422" s="5">
        <v>170</v>
      </c>
      <c r="G422" s="5">
        <v>45.3</v>
      </c>
      <c r="H422" s="5" t="s">
        <v>32</v>
      </c>
      <c r="I422" s="5">
        <v>0.50700000000000001</v>
      </c>
      <c r="J422" s="5">
        <v>26</v>
      </c>
      <c r="K422" s="5" t="s">
        <v>35</v>
      </c>
      <c r="L422" s="15">
        <v>0</v>
      </c>
      <c r="M422" s="5" t="s">
        <v>57</v>
      </c>
      <c r="N422" s="5" t="s">
        <v>56</v>
      </c>
      <c r="O422" s="5" t="s">
        <v>59</v>
      </c>
      <c r="R422" s="5">
        <f>IF(diabetesoriginal[[#This Row],[Diabetes]]=$R$1,diabetesoriginal[[#This Row],[Skin Thickness]],NA())</f>
        <v>41</v>
      </c>
      <c r="S422" s="5" t="e">
        <f>IF(diabetesoriginal[[#This Row],[Diabetes]]=$S$1,diabetesoriginal[[#This Row],[Skin Thickness]],NA())</f>
        <v>#N/A</v>
      </c>
      <c r="U422" s="5">
        <f>IF(diabetesoriginal[[#This Row],[Diabetes]]=$U$1,diabetesoriginal[[#This Row],[Insulin]],NA())</f>
        <v>170</v>
      </c>
      <c r="V422" s="5" t="e">
        <f>IF(diabetesoriginal[[#This Row],[Diabetes]]=$S$1,diabetesoriginal[[#This Row],[Insulin]],NA())</f>
        <v>#N/A</v>
      </c>
    </row>
    <row r="423" spans="1:22" x14ac:dyDescent="0.25">
      <c r="A423" s="5">
        <v>2</v>
      </c>
      <c r="B423" s="5">
        <v>94</v>
      </c>
      <c r="C423" s="5">
        <v>68</v>
      </c>
      <c r="D423" s="5" t="s">
        <v>23</v>
      </c>
      <c r="E423" s="5">
        <v>18</v>
      </c>
      <c r="F423" s="5">
        <v>76</v>
      </c>
      <c r="G423" s="5">
        <v>26</v>
      </c>
      <c r="H423" s="5" t="s">
        <v>30</v>
      </c>
      <c r="I423" s="5">
        <v>0.56100000000000005</v>
      </c>
      <c r="J423" s="5">
        <v>21</v>
      </c>
      <c r="K423" s="5" t="s">
        <v>35</v>
      </c>
      <c r="L423" s="15">
        <v>0</v>
      </c>
      <c r="M423" s="5" t="s">
        <v>57</v>
      </c>
      <c r="N423" s="5" t="s">
        <v>58</v>
      </c>
      <c r="O423" s="5" t="s">
        <v>31</v>
      </c>
      <c r="R423" s="5">
        <f>IF(diabetesoriginal[[#This Row],[Diabetes]]=$R$1,diabetesoriginal[[#This Row],[Skin Thickness]],NA())</f>
        <v>18</v>
      </c>
      <c r="S423" s="5" t="e">
        <f>IF(diabetesoriginal[[#This Row],[Diabetes]]=$S$1,diabetesoriginal[[#This Row],[Skin Thickness]],NA())</f>
        <v>#N/A</v>
      </c>
      <c r="U423" s="5">
        <f>IF(diabetesoriginal[[#This Row],[Diabetes]]=$U$1,diabetesoriginal[[#This Row],[Insulin]],NA())</f>
        <v>76</v>
      </c>
      <c r="V423" s="5" t="e">
        <f>IF(diabetesoriginal[[#This Row],[Diabetes]]=$S$1,diabetesoriginal[[#This Row],[Insulin]],NA())</f>
        <v>#N/A</v>
      </c>
    </row>
    <row r="424" spans="1:22" x14ac:dyDescent="0.25">
      <c r="A424" s="5">
        <v>0</v>
      </c>
      <c r="B424" s="5">
        <v>102</v>
      </c>
      <c r="C424" s="5">
        <v>64</v>
      </c>
      <c r="D424" s="5" t="s">
        <v>23</v>
      </c>
      <c r="E424" s="5">
        <v>46</v>
      </c>
      <c r="F424" s="5">
        <v>78</v>
      </c>
      <c r="G424" s="5">
        <v>40.6</v>
      </c>
      <c r="H424" s="5" t="s">
        <v>32</v>
      </c>
      <c r="I424" s="5">
        <v>0.496</v>
      </c>
      <c r="J424" s="5">
        <v>21</v>
      </c>
      <c r="K424" s="5" t="s">
        <v>35</v>
      </c>
      <c r="L424" s="15">
        <v>0</v>
      </c>
      <c r="M424" s="5" t="s">
        <v>57</v>
      </c>
      <c r="N424" s="5" t="s">
        <v>56</v>
      </c>
      <c r="O424" s="5" t="s">
        <v>31</v>
      </c>
      <c r="R424" s="5">
        <f>IF(diabetesoriginal[[#This Row],[Diabetes]]=$R$1,diabetesoriginal[[#This Row],[Skin Thickness]],NA())</f>
        <v>46</v>
      </c>
      <c r="S424" s="5" t="e">
        <f>IF(diabetesoriginal[[#This Row],[Diabetes]]=$S$1,diabetesoriginal[[#This Row],[Skin Thickness]],NA())</f>
        <v>#N/A</v>
      </c>
      <c r="U424" s="5">
        <f>IF(diabetesoriginal[[#This Row],[Diabetes]]=$U$1,diabetesoriginal[[#This Row],[Insulin]],NA())</f>
        <v>78</v>
      </c>
      <c r="V424" s="5" t="e">
        <f>IF(diabetesoriginal[[#This Row],[Diabetes]]=$S$1,diabetesoriginal[[#This Row],[Insulin]],NA())</f>
        <v>#N/A</v>
      </c>
    </row>
    <row r="425" spans="1:22" x14ac:dyDescent="0.25">
      <c r="A425" s="5">
        <v>2</v>
      </c>
      <c r="B425" s="5">
        <v>115</v>
      </c>
      <c r="C425" s="5">
        <v>64</v>
      </c>
      <c r="D425" s="5" t="s">
        <v>23</v>
      </c>
      <c r="E425" s="5">
        <v>22</v>
      </c>
      <c r="F425" s="5">
        <v>125</v>
      </c>
      <c r="G425" s="5">
        <v>30.8</v>
      </c>
      <c r="H425" s="5" t="s">
        <v>29</v>
      </c>
      <c r="I425" s="5">
        <v>0.42099999999999999</v>
      </c>
      <c r="J425" s="5">
        <v>21</v>
      </c>
      <c r="K425" s="5" t="s">
        <v>35</v>
      </c>
      <c r="L425" s="15">
        <v>0</v>
      </c>
      <c r="M425" s="5" t="s">
        <v>57</v>
      </c>
      <c r="N425" s="5" t="s">
        <v>58</v>
      </c>
      <c r="O425" s="5" t="s">
        <v>31</v>
      </c>
      <c r="R425" s="5">
        <f>IF(diabetesoriginal[[#This Row],[Diabetes]]=$R$1,diabetesoriginal[[#This Row],[Skin Thickness]],NA())</f>
        <v>22</v>
      </c>
      <c r="S425" s="5" t="e">
        <f>IF(diabetesoriginal[[#This Row],[Diabetes]]=$S$1,diabetesoriginal[[#This Row],[Skin Thickness]],NA())</f>
        <v>#N/A</v>
      </c>
      <c r="U425" s="5">
        <f>IF(diabetesoriginal[[#This Row],[Diabetes]]=$U$1,diabetesoriginal[[#This Row],[Insulin]],NA())</f>
        <v>125</v>
      </c>
      <c r="V425" s="5" t="e">
        <f>IF(diabetesoriginal[[#This Row],[Diabetes]]=$S$1,diabetesoriginal[[#This Row],[Insulin]],NA())</f>
        <v>#N/A</v>
      </c>
    </row>
    <row r="426" spans="1:22" x14ac:dyDescent="0.25">
      <c r="A426" s="5">
        <v>8</v>
      </c>
      <c r="B426" s="5">
        <v>151</v>
      </c>
      <c r="C426" s="5">
        <v>78</v>
      </c>
      <c r="D426" s="5" t="s">
        <v>23</v>
      </c>
      <c r="E426" s="5">
        <v>32</v>
      </c>
      <c r="F426" s="5">
        <v>210</v>
      </c>
      <c r="G426" s="5">
        <v>42.9</v>
      </c>
      <c r="H426" s="5" t="s">
        <v>32</v>
      </c>
      <c r="I426" s="5">
        <v>0.51600000000000001</v>
      </c>
      <c r="J426" s="5">
        <v>36</v>
      </c>
      <c r="K426" s="5" t="s">
        <v>36</v>
      </c>
      <c r="L426" s="15">
        <v>1</v>
      </c>
      <c r="M426" s="5" t="s">
        <v>22</v>
      </c>
      <c r="N426" s="5" t="s">
        <v>56</v>
      </c>
      <c r="O426" s="5" t="s">
        <v>59</v>
      </c>
      <c r="R426" s="5" t="e">
        <f>IF(diabetesoriginal[[#This Row],[Diabetes]]=$R$1,diabetesoriginal[[#This Row],[Skin Thickness]],NA())</f>
        <v>#N/A</v>
      </c>
      <c r="S426" s="5">
        <f>IF(diabetesoriginal[[#This Row],[Diabetes]]=$S$1,diabetesoriginal[[#This Row],[Skin Thickness]],NA())</f>
        <v>32</v>
      </c>
      <c r="U426" s="5" t="e">
        <f>IF(diabetesoriginal[[#This Row],[Diabetes]]=$U$1,diabetesoriginal[[#This Row],[Insulin]],NA())</f>
        <v>#N/A</v>
      </c>
      <c r="V426" s="5">
        <f>IF(diabetesoriginal[[#This Row],[Diabetes]]=$S$1,diabetesoriginal[[#This Row],[Insulin]],NA())</f>
        <v>210</v>
      </c>
    </row>
    <row r="427" spans="1:22" x14ac:dyDescent="0.25">
      <c r="A427" s="5">
        <v>4</v>
      </c>
      <c r="B427" s="5">
        <v>184</v>
      </c>
      <c r="C427" s="5">
        <v>78</v>
      </c>
      <c r="D427" s="5" t="s">
        <v>23</v>
      </c>
      <c r="E427" s="5">
        <v>39</v>
      </c>
      <c r="F427" s="5">
        <v>277</v>
      </c>
      <c r="G427" s="5">
        <v>37</v>
      </c>
      <c r="H427" s="5" t="s">
        <v>29</v>
      </c>
      <c r="I427" s="5">
        <v>0.26400000000000001</v>
      </c>
      <c r="J427" s="5">
        <v>31</v>
      </c>
      <c r="K427" s="5" t="s">
        <v>36</v>
      </c>
      <c r="L427" s="15">
        <v>1</v>
      </c>
      <c r="M427" s="5" t="s">
        <v>22</v>
      </c>
      <c r="N427" s="5" t="s">
        <v>56</v>
      </c>
      <c r="O427" s="5" t="s">
        <v>59</v>
      </c>
      <c r="R427" s="5" t="e">
        <f>IF(diabetesoriginal[[#This Row],[Diabetes]]=$R$1,diabetesoriginal[[#This Row],[Skin Thickness]],NA())</f>
        <v>#N/A</v>
      </c>
      <c r="S427" s="5">
        <f>IF(diabetesoriginal[[#This Row],[Diabetes]]=$S$1,diabetesoriginal[[#This Row],[Skin Thickness]],NA())</f>
        <v>39</v>
      </c>
      <c r="U427" s="5" t="e">
        <f>IF(diabetesoriginal[[#This Row],[Diabetes]]=$U$1,diabetesoriginal[[#This Row],[Insulin]],NA())</f>
        <v>#N/A</v>
      </c>
      <c r="V427" s="5">
        <f>IF(diabetesoriginal[[#This Row],[Diabetes]]=$S$1,diabetesoriginal[[#This Row],[Insulin]],NA())</f>
        <v>277</v>
      </c>
    </row>
    <row r="428" spans="1:22" x14ac:dyDescent="0.25">
      <c r="A428" s="5">
        <v>0</v>
      </c>
      <c r="B428" s="5">
        <v>94</v>
      </c>
      <c r="C428" s="5">
        <v>72</v>
      </c>
      <c r="D428" s="5" t="s">
        <v>23</v>
      </c>
      <c r="E428" s="5">
        <v>29</v>
      </c>
      <c r="F428" s="5">
        <v>125</v>
      </c>
      <c r="G428" s="5">
        <v>32.299999999999997</v>
      </c>
      <c r="H428" s="5" t="s">
        <v>29</v>
      </c>
      <c r="I428" s="5">
        <v>0.25600000000000001</v>
      </c>
      <c r="J428" s="5">
        <v>25</v>
      </c>
      <c r="K428" s="5" t="s">
        <v>35</v>
      </c>
      <c r="L428" s="15">
        <v>0</v>
      </c>
      <c r="M428" s="5" t="s">
        <v>57</v>
      </c>
      <c r="N428" s="5" t="s">
        <v>56</v>
      </c>
      <c r="O428" s="5" t="s">
        <v>31</v>
      </c>
      <c r="R428" s="5">
        <f>IF(diabetesoriginal[[#This Row],[Diabetes]]=$R$1,diabetesoriginal[[#This Row],[Skin Thickness]],NA())</f>
        <v>29</v>
      </c>
      <c r="S428" s="5" t="e">
        <f>IF(diabetesoriginal[[#This Row],[Diabetes]]=$S$1,diabetesoriginal[[#This Row],[Skin Thickness]],NA())</f>
        <v>#N/A</v>
      </c>
      <c r="U428" s="5">
        <f>IF(diabetesoriginal[[#This Row],[Diabetes]]=$U$1,diabetesoriginal[[#This Row],[Insulin]],NA())</f>
        <v>125</v>
      </c>
      <c r="V428" s="5" t="e">
        <f>IF(diabetesoriginal[[#This Row],[Diabetes]]=$S$1,diabetesoriginal[[#This Row],[Insulin]],NA())</f>
        <v>#N/A</v>
      </c>
    </row>
    <row r="429" spans="1:22" x14ac:dyDescent="0.25">
      <c r="A429" s="5">
        <v>1</v>
      </c>
      <c r="B429" s="5">
        <v>181</v>
      </c>
      <c r="C429" s="5">
        <v>64</v>
      </c>
      <c r="D429" s="5" t="s">
        <v>23</v>
      </c>
      <c r="E429" s="5">
        <v>30</v>
      </c>
      <c r="F429" s="5">
        <v>180</v>
      </c>
      <c r="G429" s="5">
        <v>34.1</v>
      </c>
      <c r="H429" s="5" t="s">
        <v>29</v>
      </c>
      <c r="I429" s="5">
        <v>0.32800000000000001</v>
      </c>
      <c r="J429" s="5">
        <v>38</v>
      </c>
      <c r="K429" s="5" t="s">
        <v>36</v>
      </c>
      <c r="L429" s="15">
        <v>1</v>
      </c>
      <c r="M429" s="5" t="s">
        <v>22</v>
      </c>
      <c r="N429" s="5" t="s">
        <v>56</v>
      </c>
      <c r="O429" s="5" t="s">
        <v>59</v>
      </c>
      <c r="R429" s="5" t="e">
        <f>IF(diabetesoriginal[[#This Row],[Diabetes]]=$R$1,diabetesoriginal[[#This Row],[Skin Thickness]],NA())</f>
        <v>#N/A</v>
      </c>
      <c r="S429" s="5">
        <f>IF(diabetesoriginal[[#This Row],[Diabetes]]=$S$1,diabetesoriginal[[#This Row],[Skin Thickness]],NA())</f>
        <v>30</v>
      </c>
      <c r="U429" s="5" t="e">
        <f>IF(diabetesoriginal[[#This Row],[Diabetes]]=$U$1,diabetesoriginal[[#This Row],[Insulin]],NA())</f>
        <v>#N/A</v>
      </c>
      <c r="V429" s="5">
        <f>IF(diabetesoriginal[[#This Row],[Diabetes]]=$S$1,diabetesoriginal[[#This Row],[Insulin]],NA())</f>
        <v>180</v>
      </c>
    </row>
    <row r="430" spans="1:22" x14ac:dyDescent="0.25">
      <c r="A430" s="5">
        <v>0</v>
      </c>
      <c r="B430" s="5">
        <v>135</v>
      </c>
      <c r="C430" s="5">
        <v>94</v>
      </c>
      <c r="D430" s="5" t="s">
        <v>24</v>
      </c>
      <c r="E430" s="5">
        <v>46</v>
      </c>
      <c r="F430" s="5">
        <v>145</v>
      </c>
      <c r="G430" s="5">
        <v>40.6</v>
      </c>
      <c r="H430" s="5" t="s">
        <v>32</v>
      </c>
      <c r="I430" s="5">
        <v>0.28399999999999997</v>
      </c>
      <c r="J430" s="5">
        <v>26</v>
      </c>
      <c r="K430" s="5" t="s">
        <v>35</v>
      </c>
      <c r="L430" s="15">
        <v>0</v>
      </c>
      <c r="M430" s="5" t="s">
        <v>57</v>
      </c>
      <c r="N430" s="5" t="s">
        <v>56</v>
      </c>
      <c r="O430" s="5" t="s">
        <v>31</v>
      </c>
      <c r="R430" s="5">
        <f>IF(diabetesoriginal[[#This Row],[Diabetes]]=$R$1,diabetesoriginal[[#This Row],[Skin Thickness]],NA())</f>
        <v>46</v>
      </c>
      <c r="S430" s="5" t="e">
        <f>IF(diabetesoriginal[[#This Row],[Diabetes]]=$S$1,diabetesoriginal[[#This Row],[Skin Thickness]],NA())</f>
        <v>#N/A</v>
      </c>
      <c r="U430" s="5">
        <f>IF(diabetesoriginal[[#This Row],[Diabetes]]=$U$1,diabetesoriginal[[#This Row],[Insulin]],NA())</f>
        <v>145</v>
      </c>
      <c r="V430" s="5" t="e">
        <f>IF(diabetesoriginal[[#This Row],[Diabetes]]=$S$1,diabetesoriginal[[#This Row],[Insulin]],NA())</f>
        <v>#N/A</v>
      </c>
    </row>
    <row r="431" spans="1:22" x14ac:dyDescent="0.25">
      <c r="A431" s="5">
        <v>1</v>
      </c>
      <c r="B431" s="5">
        <v>95</v>
      </c>
      <c r="C431" s="5">
        <v>82</v>
      </c>
      <c r="D431" s="5" t="s">
        <v>25</v>
      </c>
      <c r="E431" s="5">
        <v>25</v>
      </c>
      <c r="F431" s="5">
        <v>180</v>
      </c>
      <c r="G431" s="5">
        <v>35</v>
      </c>
      <c r="H431" s="5" t="s">
        <v>29</v>
      </c>
      <c r="I431" s="5">
        <v>0.23300000000000001</v>
      </c>
      <c r="J431" s="5">
        <v>43</v>
      </c>
      <c r="K431" s="5" t="s">
        <v>37</v>
      </c>
      <c r="L431" s="15">
        <v>1</v>
      </c>
      <c r="M431" s="5" t="s">
        <v>57</v>
      </c>
      <c r="N431" s="5" t="s">
        <v>56</v>
      </c>
      <c r="O431" s="5" t="s">
        <v>59</v>
      </c>
      <c r="R431" s="5" t="e">
        <f>IF(diabetesoriginal[[#This Row],[Diabetes]]=$R$1,diabetesoriginal[[#This Row],[Skin Thickness]],NA())</f>
        <v>#N/A</v>
      </c>
      <c r="S431" s="5">
        <f>IF(diabetesoriginal[[#This Row],[Diabetes]]=$S$1,diabetesoriginal[[#This Row],[Skin Thickness]],NA())</f>
        <v>25</v>
      </c>
      <c r="U431" s="5" t="e">
        <f>IF(diabetesoriginal[[#This Row],[Diabetes]]=$U$1,diabetesoriginal[[#This Row],[Insulin]],NA())</f>
        <v>#N/A</v>
      </c>
      <c r="V431" s="5">
        <f>IF(diabetesoriginal[[#This Row],[Diabetes]]=$S$1,diabetesoriginal[[#This Row],[Insulin]],NA())</f>
        <v>180</v>
      </c>
    </row>
    <row r="432" spans="1:22" x14ac:dyDescent="0.25">
      <c r="A432" s="5">
        <v>2</v>
      </c>
      <c r="B432" s="5">
        <v>99</v>
      </c>
      <c r="C432" s="5">
        <v>72</v>
      </c>
      <c r="D432" s="5" t="s">
        <v>23</v>
      </c>
      <c r="E432" s="5">
        <v>29</v>
      </c>
      <c r="F432" s="5">
        <v>125</v>
      </c>
      <c r="G432" s="5">
        <v>22.2</v>
      </c>
      <c r="H432" s="5" t="s">
        <v>31</v>
      </c>
      <c r="I432" s="5">
        <v>0.108</v>
      </c>
      <c r="J432" s="5">
        <v>23</v>
      </c>
      <c r="K432" s="5" t="s">
        <v>35</v>
      </c>
      <c r="L432" s="15">
        <v>0</v>
      </c>
      <c r="M432" s="5" t="s">
        <v>57</v>
      </c>
      <c r="N432" s="5" t="s">
        <v>56</v>
      </c>
      <c r="O432" s="5" t="s">
        <v>31</v>
      </c>
      <c r="R432" s="5">
        <f>IF(diabetesoriginal[[#This Row],[Diabetes]]=$R$1,diabetesoriginal[[#This Row],[Skin Thickness]],NA())</f>
        <v>29</v>
      </c>
      <c r="S432" s="5" t="e">
        <f>IF(diabetesoriginal[[#This Row],[Diabetes]]=$S$1,diabetesoriginal[[#This Row],[Skin Thickness]],NA())</f>
        <v>#N/A</v>
      </c>
      <c r="U432" s="5">
        <f>IF(diabetesoriginal[[#This Row],[Diabetes]]=$U$1,diabetesoriginal[[#This Row],[Insulin]],NA())</f>
        <v>125</v>
      </c>
      <c r="V432" s="5" t="e">
        <f>IF(diabetesoriginal[[#This Row],[Diabetes]]=$S$1,diabetesoriginal[[#This Row],[Insulin]],NA())</f>
        <v>#N/A</v>
      </c>
    </row>
    <row r="433" spans="1:22" x14ac:dyDescent="0.25">
      <c r="A433" s="5">
        <v>3</v>
      </c>
      <c r="B433" s="5">
        <v>89</v>
      </c>
      <c r="C433" s="5">
        <v>74</v>
      </c>
      <c r="D433" s="5" t="s">
        <v>23</v>
      </c>
      <c r="E433" s="5">
        <v>16</v>
      </c>
      <c r="F433" s="5">
        <v>85</v>
      </c>
      <c r="G433" s="5">
        <v>30.4</v>
      </c>
      <c r="H433" s="5" t="s">
        <v>29</v>
      </c>
      <c r="I433" s="5">
        <v>0.55100000000000005</v>
      </c>
      <c r="J433" s="5">
        <v>38</v>
      </c>
      <c r="K433" s="5" t="s">
        <v>36</v>
      </c>
      <c r="L433" s="15">
        <v>0</v>
      </c>
      <c r="M433" s="5" t="s">
        <v>57</v>
      </c>
      <c r="N433" s="5" t="s">
        <v>58</v>
      </c>
      <c r="O433" s="5" t="s">
        <v>31</v>
      </c>
      <c r="R433" s="5">
        <f>IF(diabetesoriginal[[#This Row],[Diabetes]]=$R$1,diabetesoriginal[[#This Row],[Skin Thickness]],NA())</f>
        <v>16</v>
      </c>
      <c r="S433" s="5" t="e">
        <f>IF(diabetesoriginal[[#This Row],[Diabetes]]=$S$1,diabetesoriginal[[#This Row],[Skin Thickness]],NA())</f>
        <v>#N/A</v>
      </c>
      <c r="U433" s="5">
        <f>IF(diabetesoriginal[[#This Row],[Diabetes]]=$U$1,diabetesoriginal[[#This Row],[Insulin]],NA())</f>
        <v>85</v>
      </c>
      <c r="V433" s="5" t="e">
        <f>IF(diabetesoriginal[[#This Row],[Diabetes]]=$S$1,diabetesoriginal[[#This Row],[Insulin]],NA())</f>
        <v>#N/A</v>
      </c>
    </row>
    <row r="434" spans="1:22" x14ac:dyDescent="0.25">
      <c r="A434" s="5">
        <v>1</v>
      </c>
      <c r="B434" s="5">
        <v>80</v>
      </c>
      <c r="C434" s="5">
        <v>74</v>
      </c>
      <c r="D434" s="5" t="s">
        <v>23</v>
      </c>
      <c r="E434" s="5">
        <v>11</v>
      </c>
      <c r="F434" s="5">
        <v>60</v>
      </c>
      <c r="G434" s="5">
        <v>30</v>
      </c>
      <c r="H434" s="5" t="s">
        <v>29</v>
      </c>
      <c r="I434" s="5">
        <v>0.52700000000000002</v>
      </c>
      <c r="J434" s="5">
        <v>22</v>
      </c>
      <c r="K434" s="5" t="s">
        <v>35</v>
      </c>
      <c r="L434" s="15">
        <v>0</v>
      </c>
      <c r="M434" s="5" t="s">
        <v>57</v>
      </c>
      <c r="N434" s="5" t="s">
        <v>58</v>
      </c>
      <c r="O434" s="5" t="s">
        <v>31</v>
      </c>
      <c r="R434" s="5">
        <f>IF(diabetesoriginal[[#This Row],[Diabetes]]=$R$1,diabetesoriginal[[#This Row],[Skin Thickness]],NA())</f>
        <v>11</v>
      </c>
      <c r="S434" s="5" t="e">
        <f>IF(diabetesoriginal[[#This Row],[Diabetes]]=$S$1,diabetesoriginal[[#This Row],[Skin Thickness]],NA())</f>
        <v>#N/A</v>
      </c>
      <c r="U434" s="5">
        <f>IF(diabetesoriginal[[#This Row],[Diabetes]]=$U$1,diabetesoriginal[[#This Row],[Insulin]],NA())</f>
        <v>60</v>
      </c>
      <c r="V434" s="5" t="e">
        <f>IF(diabetesoriginal[[#This Row],[Diabetes]]=$S$1,diabetesoriginal[[#This Row],[Insulin]],NA())</f>
        <v>#N/A</v>
      </c>
    </row>
    <row r="435" spans="1:22" x14ac:dyDescent="0.25">
      <c r="A435" s="5">
        <v>2</v>
      </c>
      <c r="B435" s="5">
        <v>139</v>
      </c>
      <c r="C435" s="5">
        <v>75</v>
      </c>
      <c r="D435" s="5" t="s">
        <v>23</v>
      </c>
      <c r="E435" s="5">
        <v>29</v>
      </c>
      <c r="F435" s="5">
        <v>125</v>
      </c>
      <c r="G435" s="5">
        <v>25.6</v>
      </c>
      <c r="H435" s="5" t="s">
        <v>30</v>
      </c>
      <c r="I435" s="5">
        <v>0.16700000000000001</v>
      </c>
      <c r="J435" s="5">
        <v>29</v>
      </c>
      <c r="K435" s="5" t="s">
        <v>35</v>
      </c>
      <c r="L435" s="15">
        <v>0</v>
      </c>
      <c r="M435" s="5" t="s">
        <v>57</v>
      </c>
      <c r="N435" s="5" t="s">
        <v>56</v>
      </c>
      <c r="O435" s="5" t="s">
        <v>31</v>
      </c>
      <c r="R435" s="5">
        <f>IF(diabetesoriginal[[#This Row],[Diabetes]]=$R$1,diabetesoriginal[[#This Row],[Skin Thickness]],NA())</f>
        <v>29</v>
      </c>
      <c r="S435" s="5" t="e">
        <f>IF(diabetesoriginal[[#This Row],[Diabetes]]=$S$1,diabetesoriginal[[#This Row],[Skin Thickness]],NA())</f>
        <v>#N/A</v>
      </c>
      <c r="U435" s="5">
        <f>IF(diabetesoriginal[[#This Row],[Diabetes]]=$U$1,diabetesoriginal[[#This Row],[Insulin]],NA())</f>
        <v>125</v>
      </c>
      <c r="V435" s="5" t="e">
        <f>IF(diabetesoriginal[[#This Row],[Diabetes]]=$S$1,diabetesoriginal[[#This Row],[Insulin]],NA())</f>
        <v>#N/A</v>
      </c>
    </row>
    <row r="436" spans="1:22" x14ac:dyDescent="0.25">
      <c r="A436" s="5">
        <v>1</v>
      </c>
      <c r="B436" s="5">
        <v>90</v>
      </c>
      <c r="C436" s="5">
        <v>68</v>
      </c>
      <c r="D436" s="5" t="s">
        <v>23</v>
      </c>
      <c r="E436" s="5">
        <v>8</v>
      </c>
      <c r="F436" s="5">
        <v>125</v>
      </c>
      <c r="G436" s="5">
        <v>24.5</v>
      </c>
      <c r="H436" s="5" t="s">
        <v>31</v>
      </c>
      <c r="I436" s="5">
        <v>1.1379999999999999</v>
      </c>
      <c r="J436" s="5">
        <v>36</v>
      </c>
      <c r="K436" s="5" t="s">
        <v>36</v>
      </c>
      <c r="L436" s="15">
        <v>0</v>
      </c>
      <c r="M436" s="5" t="s">
        <v>57</v>
      </c>
      <c r="N436" s="5" t="s">
        <v>58</v>
      </c>
      <c r="O436" s="5" t="s">
        <v>31</v>
      </c>
      <c r="R436" s="5">
        <f>IF(diabetesoriginal[[#This Row],[Diabetes]]=$R$1,diabetesoriginal[[#This Row],[Skin Thickness]],NA())</f>
        <v>8</v>
      </c>
      <c r="S436" s="5" t="e">
        <f>IF(diabetesoriginal[[#This Row],[Diabetes]]=$S$1,diabetesoriginal[[#This Row],[Skin Thickness]],NA())</f>
        <v>#N/A</v>
      </c>
      <c r="U436" s="5">
        <f>IF(diabetesoriginal[[#This Row],[Diabetes]]=$U$1,diabetesoriginal[[#This Row],[Insulin]],NA())</f>
        <v>125</v>
      </c>
      <c r="V436" s="5" t="e">
        <f>IF(diabetesoriginal[[#This Row],[Diabetes]]=$S$1,diabetesoriginal[[#This Row],[Insulin]],NA())</f>
        <v>#N/A</v>
      </c>
    </row>
    <row r="437" spans="1:22" x14ac:dyDescent="0.25">
      <c r="A437" s="5">
        <v>0</v>
      </c>
      <c r="B437" s="5">
        <v>141</v>
      </c>
      <c r="C437" s="5">
        <v>72</v>
      </c>
      <c r="D437" s="5" t="s">
        <v>23</v>
      </c>
      <c r="E437" s="5">
        <v>29</v>
      </c>
      <c r="F437" s="5">
        <v>125</v>
      </c>
      <c r="G437" s="5">
        <v>42.4</v>
      </c>
      <c r="H437" s="5" t="s">
        <v>32</v>
      </c>
      <c r="I437" s="5">
        <v>0.20499999999999999</v>
      </c>
      <c r="J437" s="5">
        <v>29</v>
      </c>
      <c r="K437" s="5" t="s">
        <v>35</v>
      </c>
      <c r="L437" s="15">
        <v>1</v>
      </c>
      <c r="M437" s="5" t="s">
        <v>22</v>
      </c>
      <c r="N437" s="5" t="s">
        <v>56</v>
      </c>
      <c r="O437" s="5" t="s">
        <v>31</v>
      </c>
      <c r="R437" s="5" t="e">
        <f>IF(diabetesoriginal[[#This Row],[Diabetes]]=$R$1,diabetesoriginal[[#This Row],[Skin Thickness]],NA())</f>
        <v>#N/A</v>
      </c>
      <c r="S437" s="5">
        <f>IF(diabetesoriginal[[#This Row],[Diabetes]]=$S$1,diabetesoriginal[[#This Row],[Skin Thickness]],NA())</f>
        <v>29</v>
      </c>
      <c r="U437" s="5" t="e">
        <f>IF(diabetesoriginal[[#This Row],[Diabetes]]=$U$1,diabetesoriginal[[#This Row],[Insulin]],NA())</f>
        <v>#N/A</v>
      </c>
      <c r="V437" s="5">
        <f>IF(diabetesoriginal[[#This Row],[Diabetes]]=$S$1,diabetesoriginal[[#This Row],[Insulin]],NA())</f>
        <v>125</v>
      </c>
    </row>
    <row r="438" spans="1:22" x14ac:dyDescent="0.25">
      <c r="A438" s="5">
        <v>12</v>
      </c>
      <c r="B438" s="5">
        <v>140</v>
      </c>
      <c r="C438" s="5">
        <v>85</v>
      </c>
      <c r="D438" s="5" t="s">
        <v>25</v>
      </c>
      <c r="E438" s="5">
        <v>33</v>
      </c>
      <c r="F438" s="5">
        <v>125</v>
      </c>
      <c r="G438" s="5">
        <v>37.4</v>
      </c>
      <c r="H438" s="5" t="s">
        <v>29</v>
      </c>
      <c r="I438" s="5">
        <v>0.24399999999999999</v>
      </c>
      <c r="J438" s="5">
        <v>41</v>
      </c>
      <c r="K438" s="5" t="s">
        <v>37</v>
      </c>
      <c r="L438" s="15">
        <v>0</v>
      </c>
      <c r="M438" s="5" t="s">
        <v>22</v>
      </c>
      <c r="N438" s="5" t="s">
        <v>56</v>
      </c>
      <c r="O438" s="5" t="s">
        <v>31</v>
      </c>
      <c r="R438" s="5">
        <f>IF(diabetesoriginal[[#This Row],[Diabetes]]=$R$1,diabetesoriginal[[#This Row],[Skin Thickness]],NA())</f>
        <v>33</v>
      </c>
      <c r="S438" s="5" t="e">
        <f>IF(diabetesoriginal[[#This Row],[Diabetes]]=$S$1,diabetesoriginal[[#This Row],[Skin Thickness]],NA())</f>
        <v>#N/A</v>
      </c>
      <c r="U438" s="5">
        <f>IF(diabetesoriginal[[#This Row],[Diabetes]]=$U$1,diabetesoriginal[[#This Row],[Insulin]],NA())</f>
        <v>125</v>
      </c>
      <c r="V438" s="5" t="e">
        <f>IF(diabetesoriginal[[#This Row],[Diabetes]]=$S$1,diabetesoriginal[[#This Row],[Insulin]],NA())</f>
        <v>#N/A</v>
      </c>
    </row>
    <row r="439" spans="1:22" x14ac:dyDescent="0.25">
      <c r="A439" s="5">
        <v>5</v>
      </c>
      <c r="B439" s="5">
        <v>147</v>
      </c>
      <c r="C439" s="5">
        <v>75</v>
      </c>
      <c r="D439" s="5" t="s">
        <v>23</v>
      </c>
      <c r="E439" s="5">
        <v>29</v>
      </c>
      <c r="F439" s="5">
        <v>125</v>
      </c>
      <c r="G439" s="5">
        <v>29.9</v>
      </c>
      <c r="H439" s="5" t="s">
        <v>30</v>
      </c>
      <c r="I439" s="5">
        <v>0.434</v>
      </c>
      <c r="J439" s="5">
        <v>28</v>
      </c>
      <c r="K439" s="5" t="s">
        <v>35</v>
      </c>
      <c r="L439" s="15">
        <v>0</v>
      </c>
      <c r="M439" s="5" t="s">
        <v>22</v>
      </c>
      <c r="N439" s="5" t="s">
        <v>56</v>
      </c>
      <c r="O439" s="5" t="s">
        <v>31</v>
      </c>
      <c r="R439" s="5">
        <f>IF(diabetesoriginal[[#This Row],[Diabetes]]=$R$1,diabetesoriginal[[#This Row],[Skin Thickness]],NA())</f>
        <v>29</v>
      </c>
      <c r="S439" s="5" t="e">
        <f>IF(diabetesoriginal[[#This Row],[Diabetes]]=$S$1,diabetesoriginal[[#This Row],[Skin Thickness]],NA())</f>
        <v>#N/A</v>
      </c>
      <c r="U439" s="5">
        <f>IF(diabetesoriginal[[#This Row],[Diabetes]]=$U$1,diabetesoriginal[[#This Row],[Insulin]],NA())</f>
        <v>125</v>
      </c>
      <c r="V439" s="5" t="e">
        <f>IF(diabetesoriginal[[#This Row],[Diabetes]]=$S$1,diabetesoriginal[[#This Row],[Insulin]],NA())</f>
        <v>#N/A</v>
      </c>
    </row>
    <row r="440" spans="1:22" x14ac:dyDescent="0.25">
      <c r="A440" s="5">
        <v>1</v>
      </c>
      <c r="B440" s="5">
        <v>97</v>
      </c>
      <c r="C440" s="5">
        <v>70</v>
      </c>
      <c r="D440" s="5" t="s">
        <v>23</v>
      </c>
      <c r="E440" s="5">
        <v>15</v>
      </c>
      <c r="F440" s="5">
        <v>125</v>
      </c>
      <c r="G440" s="5">
        <v>18.2</v>
      </c>
      <c r="H440" s="5" t="s">
        <v>33</v>
      </c>
      <c r="I440" s="5">
        <v>0.14699999999999999</v>
      </c>
      <c r="J440" s="5">
        <v>21</v>
      </c>
      <c r="K440" s="5" t="s">
        <v>35</v>
      </c>
      <c r="L440" s="15">
        <v>0</v>
      </c>
      <c r="M440" s="5" t="s">
        <v>57</v>
      </c>
      <c r="N440" s="5" t="s">
        <v>58</v>
      </c>
      <c r="O440" s="5" t="s">
        <v>31</v>
      </c>
      <c r="R440" s="5">
        <f>IF(diabetesoriginal[[#This Row],[Diabetes]]=$R$1,diabetesoriginal[[#This Row],[Skin Thickness]],NA())</f>
        <v>15</v>
      </c>
      <c r="S440" s="5" t="e">
        <f>IF(diabetesoriginal[[#This Row],[Diabetes]]=$S$1,diabetesoriginal[[#This Row],[Skin Thickness]],NA())</f>
        <v>#N/A</v>
      </c>
      <c r="U440" s="5">
        <f>IF(diabetesoriginal[[#This Row],[Diabetes]]=$U$1,diabetesoriginal[[#This Row],[Insulin]],NA())</f>
        <v>125</v>
      </c>
      <c r="V440" s="5" t="e">
        <f>IF(diabetesoriginal[[#This Row],[Diabetes]]=$S$1,diabetesoriginal[[#This Row],[Insulin]],NA())</f>
        <v>#N/A</v>
      </c>
    </row>
    <row r="441" spans="1:22" x14ac:dyDescent="0.25">
      <c r="A441" s="5">
        <v>6</v>
      </c>
      <c r="B441" s="5">
        <v>107</v>
      </c>
      <c r="C441" s="5">
        <v>88</v>
      </c>
      <c r="D441" s="5" t="s">
        <v>25</v>
      </c>
      <c r="E441" s="5">
        <v>29</v>
      </c>
      <c r="F441" s="5">
        <v>125</v>
      </c>
      <c r="G441" s="5">
        <v>36.799999999999997</v>
      </c>
      <c r="H441" s="5" t="s">
        <v>29</v>
      </c>
      <c r="I441" s="5">
        <v>0.72699999999999998</v>
      </c>
      <c r="J441" s="5">
        <v>31</v>
      </c>
      <c r="K441" s="5" t="s">
        <v>36</v>
      </c>
      <c r="L441" s="15">
        <v>0</v>
      </c>
      <c r="M441" s="5" t="s">
        <v>57</v>
      </c>
      <c r="N441" s="5" t="s">
        <v>56</v>
      </c>
      <c r="O441" s="5" t="s">
        <v>31</v>
      </c>
      <c r="R441" s="5">
        <f>IF(diabetesoriginal[[#This Row],[Diabetes]]=$R$1,diabetesoriginal[[#This Row],[Skin Thickness]],NA())</f>
        <v>29</v>
      </c>
      <c r="S441" s="5" t="e">
        <f>IF(diabetesoriginal[[#This Row],[Diabetes]]=$S$1,diabetesoriginal[[#This Row],[Skin Thickness]],NA())</f>
        <v>#N/A</v>
      </c>
      <c r="U441" s="5">
        <f>IF(diabetesoriginal[[#This Row],[Diabetes]]=$U$1,diabetesoriginal[[#This Row],[Insulin]],NA())</f>
        <v>125</v>
      </c>
      <c r="V441" s="5" t="e">
        <f>IF(diabetesoriginal[[#This Row],[Diabetes]]=$S$1,diabetesoriginal[[#This Row],[Insulin]],NA())</f>
        <v>#N/A</v>
      </c>
    </row>
    <row r="442" spans="1:22" x14ac:dyDescent="0.25">
      <c r="A442" s="5">
        <v>0</v>
      </c>
      <c r="B442" s="5">
        <v>189</v>
      </c>
      <c r="C442" s="5">
        <v>104</v>
      </c>
      <c r="D442" s="5" t="s">
        <v>26</v>
      </c>
      <c r="E442" s="5">
        <v>25</v>
      </c>
      <c r="F442" s="5">
        <v>125</v>
      </c>
      <c r="G442" s="5">
        <v>34.299999999999997</v>
      </c>
      <c r="H442" s="5" t="s">
        <v>29</v>
      </c>
      <c r="I442" s="5">
        <v>0.435</v>
      </c>
      <c r="J442" s="5">
        <v>41</v>
      </c>
      <c r="K442" s="5" t="s">
        <v>37</v>
      </c>
      <c r="L442" s="15">
        <v>1</v>
      </c>
      <c r="M442" s="5" t="s">
        <v>22</v>
      </c>
      <c r="N442" s="5" t="s">
        <v>56</v>
      </c>
      <c r="O442" s="5" t="s">
        <v>31</v>
      </c>
      <c r="R442" s="5" t="e">
        <f>IF(diabetesoriginal[[#This Row],[Diabetes]]=$R$1,diabetesoriginal[[#This Row],[Skin Thickness]],NA())</f>
        <v>#N/A</v>
      </c>
      <c r="S442" s="5">
        <f>IF(diabetesoriginal[[#This Row],[Diabetes]]=$S$1,diabetesoriginal[[#This Row],[Skin Thickness]],NA())</f>
        <v>25</v>
      </c>
      <c r="U442" s="5" t="e">
        <f>IF(diabetesoriginal[[#This Row],[Diabetes]]=$U$1,diabetesoriginal[[#This Row],[Insulin]],NA())</f>
        <v>#N/A</v>
      </c>
      <c r="V442" s="5">
        <f>IF(diabetesoriginal[[#This Row],[Diabetes]]=$S$1,diabetesoriginal[[#This Row],[Insulin]],NA())</f>
        <v>125</v>
      </c>
    </row>
    <row r="443" spans="1:22" x14ac:dyDescent="0.25">
      <c r="A443" s="5">
        <v>2</v>
      </c>
      <c r="B443" s="5">
        <v>83</v>
      </c>
      <c r="C443" s="5">
        <v>66</v>
      </c>
      <c r="D443" s="5" t="s">
        <v>23</v>
      </c>
      <c r="E443" s="5">
        <v>23</v>
      </c>
      <c r="F443" s="5">
        <v>50</v>
      </c>
      <c r="G443" s="5">
        <v>32.200000000000003</v>
      </c>
      <c r="H443" s="5" t="s">
        <v>29</v>
      </c>
      <c r="I443" s="5">
        <v>0.497</v>
      </c>
      <c r="J443" s="5">
        <v>22</v>
      </c>
      <c r="K443" s="5" t="s">
        <v>35</v>
      </c>
      <c r="L443" s="15">
        <v>0</v>
      </c>
      <c r="M443" s="5" t="s">
        <v>57</v>
      </c>
      <c r="N443" s="5" t="s">
        <v>58</v>
      </c>
      <c r="O443" s="5" t="s">
        <v>31</v>
      </c>
      <c r="R443" s="5">
        <f>IF(diabetesoriginal[[#This Row],[Diabetes]]=$R$1,diabetesoriginal[[#This Row],[Skin Thickness]],NA())</f>
        <v>23</v>
      </c>
      <c r="S443" s="5" t="e">
        <f>IF(diabetesoriginal[[#This Row],[Diabetes]]=$S$1,diabetesoriginal[[#This Row],[Skin Thickness]],NA())</f>
        <v>#N/A</v>
      </c>
      <c r="U443" s="5">
        <f>IF(diabetesoriginal[[#This Row],[Diabetes]]=$U$1,diabetesoriginal[[#This Row],[Insulin]],NA())</f>
        <v>50</v>
      </c>
      <c r="V443" s="5" t="e">
        <f>IF(diabetesoriginal[[#This Row],[Diabetes]]=$S$1,diabetesoriginal[[#This Row],[Insulin]],NA())</f>
        <v>#N/A</v>
      </c>
    </row>
    <row r="444" spans="1:22" x14ac:dyDescent="0.25">
      <c r="A444" s="5">
        <v>4</v>
      </c>
      <c r="B444" s="5">
        <v>117</v>
      </c>
      <c r="C444" s="5">
        <v>64</v>
      </c>
      <c r="D444" s="5" t="s">
        <v>23</v>
      </c>
      <c r="E444" s="5">
        <v>27</v>
      </c>
      <c r="F444" s="5">
        <v>120</v>
      </c>
      <c r="G444" s="5">
        <v>33.200000000000003</v>
      </c>
      <c r="H444" s="5" t="s">
        <v>29</v>
      </c>
      <c r="I444" s="5">
        <v>0.23</v>
      </c>
      <c r="J444" s="5">
        <v>24</v>
      </c>
      <c r="K444" s="5" t="s">
        <v>35</v>
      </c>
      <c r="L444" s="15">
        <v>0</v>
      </c>
      <c r="M444" s="5" t="s">
        <v>57</v>
      </c>
      <c r="N444" s="5" t="s">
        <v>56</v>
      </c>
      <c r="O444" s="5" t="s">
        <v>31</v>
      </c>
      <c r="R444" s="5">
        <f>IF(diabetesoriginal[[#This Row],[Diabetes]]=$R$1,diabetesoriginal[[#This Row],[Skin Thickness]],NA())</f>
        <v>27</v>
      </c>
      <c r="S444" s="5" t="e">
        <f>IF(diabetesoriginal[[#This Row],[Diabetes]]=$S$1,diabetesoriginal[[#This Row],[Skin Thickness]],NA())</f>
        <v>#N/A</v>
      </c>
      <c r="U444" s="5">
        <f>IF(diabetesoriginal[[#This Row],[Diabetes]]=$U$1,diabetesoriginal[[#This Row],[Insulin]],NA())</f>
        <v>120</v>
      </c>
      <c r="V444" s="5" t="e">
        <f>IF(diabetesoriginal[[#This Row],[Diabetes]]=$S$1,diabetesoriginal[[#This Row],[Insulin]],NA())</f>
        <v>#N/A</v>
      </c>
    </row>
    <row r="445" spans="1:22" x14ac:dyDescent="0.25">
      <c r="A445" s="5">
        <v>8</v>
      </c>
      <c r="B445" s="5">
        <v>108</v>
      </c>
      <c r="C445" s="5">
        <v>70</v>
      </c>
      <c r="D445" s="5" t="s">
        <v>23</v>
      </c>
      <c r="E445" s="5">
        <v>29</v>
      </c>
      <c r="F445" s="5">
        <v>125</v>
      </c>
      <c r="G445" s="5">
        <v>30.5</v>
      </c>
      <c r="H445" s="5" t="s">
        <v>29</v>
      </c>
      <c r="I445" s="5">
        <v>0.95499999999999996</v>
      </c>
      <c r="J445" s="5">
        <v>33</v>
      </c>
      <c r="K445" s="5" t="s">
        <v>36</v>
      </c>
      <c r="L445" s="15">
        <v>1</v>
      </c>
      <c r="M445" s="5" t="s">
        <v>57</v>
      </c>
      <c r="N445" s="5" t="s">
        <v>56</v>
      </c>
      <c r="O445" s="5" t="s">
        <v>31</v>
      </c>
      <c r="R445" s="5" t="e">
        <f>IF(diabetesoriginal[[#This Row],[Diabetes]]=$R$1,diabetesoriginal[[#This Row],[Skin Thickness]],NA())</f>
        <v>#N/A</v>
      </c>
      <c r="S445" s="5">
        <f>IF(diabetesoriginal[[#This Row],[Diabetes]]=$S$1,diabetesoriginal[[#This Row],[Skin Thickness]],NA())</f>
        <v>29</v>
      </c>
      <c r="U445" s="5" t="e">
        <f>IF(diabetesoriginal[[#This Row],[Diabetes]]=$U$1,diabetesoriginal[[#This Row],[Insulin]],NA())</f>
        <v>#N/A</v>
      </c>
      <c r="V445" s="5">
        <f>IF(diabetesoriginal[[#This Row],[Diabetes]]=$S$1,diabetesoriginal[[#This Row],[Insulin]],NA())</f>
        <v>125</v>
      </c>
    </row>
    <row r="446" spans="1:22" x14ac:dyDescent="0.25">
      <c r="A446" s="5">
        <v>4</v>
      </c>
      <c r="B446" s="5">
        <v>117</v>
      </c>
      <c r="C446" s="5">
        <v>62</v>
      </c>
      <c r="D446" s="5" t="s">
        <v>23</v>
      </c>
      <c r="E446" s="5">
        <v>12</v>
      </c>
      <c r="F446" s="5">
        <v>125</v>
      </c>
      <c r="G446" s="5">
        <v>29.7</v>
      </c>
      <c r="H446" s="5" t="s">
        <v>30</v>
      </c>
      <c r="I446" s="5">
        <v>0.38</v>
      </c>
      <c r="J446" s="5">
        <v>30</v>
      </c>
      <c r="K446" s="5" t="s">
        <v>36</v>
      </c>
      <c r="L446" s="15">
        <v>1</v>
      </c>
      <c r="M446" s="5" t="s">
        <v>57</v>
      </c>
      <c r="N446" s="5" t="s">
        <v>58</v>
      </c>
      <c r="O446" s="5" t="s">
        <v>31</v>
      </c>
      <c r="R446" s="5" t="e">
        <f>IF(diabetesoriginal[[#This Row],[Diabetes]]=$R$1,diabetesoriginal[[#This Row],[Skin Thickness]],NA())</f>
        <v>#N/A</v>
      </c>
      <c r="S446" s="5">
        <f>IF(diabetesoriginal[[#This Row],[Diabetes]]=$S$1,diabetesoriginal[[#This Row],[Skin Thickness]],NA())</f>
        <v>12</v>
      </c>
      <c r="U446" s="5" t="e">
        <f>IF(diabetesoriginal[[#This Row],[Diabetes]]=$U$1,diabetesoriginal[[#This Row],[Insulin]],NA())</f>
        <v>#N/A</v>
      </c>
      <c r="V446" s="5">
        <f>IF(diabetesoriginal[[#This Row],[Diabetes]]=$S$1,diabetesoriginal[[#This Row],[Insulin]],NA())</f>
        <v>125</v>
      </c>
    </row>
    <row r="447" spans="1:22" x14ac:dyDescent="0.25">
      <c r="A447" s="5">
        <v>0</v>
      </c>
      <c r="B447" s="5">
        <v>180</v>
      </c>
      <c r="C447" s="5">
        <v>78</v>
      </c>
      <c r="D447" s="5" t="s">
        <v>23</v>
      </c>
      <c r="E447" s="5">
        <v>63</v>
      </c>
      <c r="F447" s="5">
        <v>14</v>
      </c>
      <c r="G447" s="5">
        <v>59.4</v>
      </c>
      <c r="H447" s="5" t="s">
        <v>32</v>
      </c>
      <c r="I447" s="5">
        <v>2.42</v>
      </c>
      <c r="J447" s="5">
        <v>25</v>
      </c>
      <c r="K447" s="5" t="s">
        <v>35</v>
      </c>
      <c r="L447" s="15">
        <v>1</v>
      </c>
      <c r="M447" s="5" t="s">
        <v>22</v>
      </c>
      <c r="N447" s="5" t="s">
        <v>56</v>
      </c>
      <c r="O447" s="5" t="s">
        <v>31</v>
      </c>
      <c r="R447" s="5" t="e">
        <f>IF(diabetesoriginal[[#This Row],[Diabetes]]=$R$1,diabetesoriginal[[#This Row],[Skin Thickness]],NA())</f>
        <v>#N/A</v>
      </c>
      <c r="S447" s="5">
        <f>IF(diabetesoriginal[[#This Row],[Diabetes]]=$S$1,diabetesoriginal[[#This Row],[Skin Thickness]],NA())</f>
        <v>63</v>
      </c>
      <c r="U447" s="5" t="e">
        <f>IF(diabetesoriginal[[#This Row],[Diabetes]]=$U$1,diabetesoriginal[[#This Row],[Insulin]],NA())</f>
        <v>#N/A</v>
      </c>
      <c r="V447" s="5">
        <f>IF(diabetesoriginal[[#This Row],[Diabetes]]=$S$1,diabetesoriginal[[#This Row],[Insulin]],NA())</f>
        <v>14</v>
      </c>
    </row>
    <row r="448" spans="1:22" x14ac:dyDescent="0.25">
      <c r="A448" s="5">
        <v>1</v>
      </c>
      <c r="B448" s="5">
        <v>100</v>
      </c>
      <c r="C448" s="5">
        <v>72</v>
      </c>
      <c r="D448" s="5" t="s">
        <v>23</v>
      </c>
      <c r="E448" s="5">
        <v>12</v>
      </c>
      <c r="F448" s="5">
        <v>70</v>
      </c>
      <c r="G448" s="5">
        <v>25.3</v>
      </c>
      <c r="H448" s="5" t="s">
        <v>30</v>
      </c>
      <c r="I448" s="5">
        <v>0.65800000000000003</v>
      </c>
      <c r="J448" s="5">
        <v>28</v>
      </c>
      <c r="K448" s="5" t="s">
        <v>35</v>
      </c>
      <c r="L448" s="15">
        <v>0</v>
      </c>
      <c r="M448" s="5" t="s">
        <v>57</v>
      </c>
      <c r="N448" s="5" t="s">
        <v>58</v>
      </c>
      <c r="O448" s="5" t="s">
        <v>31</v>
      </c>
      <c r="R448" s="5">
        <f>IF(diabetesoriginal[[#This Row],[Diabetes]]=$R$1,diabetesoriginal[[#This Row],[Skin Thickness]],NA())</f>
        <v>12</v>
      </c>
      <c r="S448" s="5" t="e">
        <f>IF(diabetesoriginal[[#This Row],[Diabetes]]=$S$1,diabetesoriginal[[#This Row],[Skin Thickness]],NA())</f>
        <v>#N/A</v>
      </c>
      <c r="U448" s="5">
        <f>IF(diabetesoriginal[[#This Row],[Diabetes]]=$U$1,diabetesoriginal[[#This Row],[Insulin]],NA())</f>
        <v>70</v>
      </c>
      <c r="V448" s="5" t="e">
        <f>IF(diabetesoriginal[[#This Row],[Diabetes]]=$S$1,diabetesoriginal[[#This Row],[Insulin]],NA())</f>
        <v>#N/A</v>
      </c>
    </row>
    <row r="449" spans="1:22" x14ac:dyDescent="0.25">
      <c r="A449" s="5">
        <v>0</v>
      </c>
      <c r="B449" s="5">
        <v>95</v>
      </c>
      <c r="C449" s="5">
        <v>80</v>
      </c>
      <c r="D449" s="5" t="s">
        <v>25</v>
      </c>
      <c r="E449" s="5">
        <v>45</v>
      </c>
      <c r="F449" s="5">
        <v>92</v>
      </c>
      <c r="G449" s="5">
        <v>36.5</v>
      </c>
      <c r="H449" s="5" t="s">
        <v>29</v>
      </c>
      <c r="I449" s="5">
        <v>0.33</v>
      </c>
      <c r="J449" s="5">
        <v>26</v>
      </c>
      <c r="K449" s="5" t="s">
        <v>35</v>
      </c>
      <c r="L449" s="15">
        <v>0</v>
      </c>
      <c r="M449" s="5" t="s">
        <v>57</v>
      </c>
      <c r="N449" s="5" t="s">
        <v>56</v>
      </c>
      <c r="O449" s="5" t="s">
        <v>31</v>
      </c>
      <c r="R449" s="5">
        <f>IF(diabetesoriginal[[#This Row],[Diabetes]]=$R$1,diabetesoriginal[[#This Row],[Skin Thickness]],NA())</f>
        <v>45</v>
      </c>
      <c r="S449" s="5" t="e">
        <f>IF(diabetesoriginal[[#This Row],[Diabetes]]=$S$1,diabetesoriginal[[#This Row],[Skin Thickness]],NA())</f>
        <v>#N/A</v>
      </c>
      <c r="U449" s="5">
        <f>IF(diabetesoriginal[[#This Row],[Diabetes]]=$U$1,diabetesoriginal[[#This Row],[Insulin]],NA())</f>
        <v>92</v>
      </c>
      <c r="V449" s="5" t="e">
        <f>IF(diabetesoriginal[[#This Row],[Diabetes]]=$S$1,diabetesoriginal[[#This Row],[Insulin]],NA())</f>
        <v>#N/A</v>
      </c>
    </row>
    <row r="450" spans="1:22" x14ac:dyDescent="0.25">
      <c r="A450" s="5">
        <v>0</v>
      </c>
      <c r="B450" s="5">
        <v>104</v>
      </c>
      <c r="C450" s="5">
        <v>64</v>
      </c>
      <c r="D450" s="5" t="s">
        <v>23</v>
      </c>
      <c r="E450" s="5">
        <v>37</v>
      </c>
      <c r="F450" s="5">
        <v>64</v>
      </c>
      <c r="G450" s="5">
        <v>33.6</v>
      </c>
      <c r="H450" s="5" t="s">
        <v>29</v>
      </c>
      <c r="I450" s="5">
        <v>0.51</v>
      </c>
      <c r="J450" s="5">
        <v>22</v>
      </c>
      <c r="K450" s="5" t="s">
        <v>35</v>
      </c>
      <c r="L450" s="15">
        <v>1</v>
      </c>
      <c r="M450" s="5" t="s">
        <v>57</v>
      </c>
      <c r="N450" s="5" t="s">
        <v>56</v>
      </c>
      <c r="O450" s="5" t="s">
        <v>31</v>
      </c>
      <c r="R450" s="5" t="e">
        <f>IF(diabetesoriginal[[#This Row],[Diabetes]]=$R$1,diabetesoriginal[[#This Row],[Skin Thickness]],NA())</f>
        <v>#N/A</v>
      </c>
      <c r="S450" s="5">
        <f>IF(diabetesoriginal[[#This Row],[Diabetes]]=$S$1,diabetesoriginal[[#This Row],[Skin Thickness]],NA())</f>
        <v>37</v>
      </c>
      <c r="U450" s="5" t="e">
        <f>IF(diabetesoriginal[[#This Row],[Diabetes]]=$U$1,diabetesoriginal[[#This Row],[Insulin]],NA())</f>
        <v>#N/A</v>
      </c>
      <c r="V450" s="5">
        <f>IF(diabetesoriginal[[#This Row],[Diabetes]]=$S$1,diabetesoriginal[[#This Row],[Insulin]],NA())</f>
        <v>64</v>
      </c>
    </row>
    <row r="451" spans="1:22" x14ac:dyDescent="0.25">
      <c r="A451" s="5">
        <v>0</v>
      </c>
      <c r="B451" s="5">
        <v>120</v>
      </c>
      <c r="C451" s="5">
        <v>74</v>
      </c>
      <c r="D451" s="5" t="s">
        <v>23</v>
      </c>
      <c r="E451" s="5">
        <v>18</v>
      </c>
      <c r="F451" s="5">
        <v>63</v>
      </c>
      <c r="G451" s="5">
        <v>30.5</v>
      </c>
      <c r="H451" s="5" t="s">
        <v>29</v>
      </c>
      <c r="I451" s="5">
        <v>0.28499999999999998</v>
      </c>
      <c r="J451" s="5">
        <v>26</v>
      </c>
      <c r="K451" s="5" t="s">
        <v>35</v>
      </c>
      <c r="L451" s="15">
        <v>0</v>
      </c>
      <c r="M451" s="5" t="s">
        <v>57</v>
      </c>
      <c r="N451" s="5" t="s">
        <v>58</v>
      </c>
      <c r="O451" s="5" t="s">
        <v>31</v>
      </c>
      <c r="R451" s="5">
        <f>IF(diabetesoriginal[[#This Row],[Diabetes]]=$R$1,diabetesoriginal[[#This Row],[Skin Thickness]],NA())</f>
        <v>18</v>
      </c>
      <c r="S451" s="5" t="e">
        <f>IF(diabetesoriginal[[#This Row],[Diabetes]]=$S$1,diabetesoriginal[[#This Row],[Skin Thickness]],NA())</f>
        <v>#N/A</v>
      </c>
      <c r="U451" s="5">
        <f>IF(diabetesoriginal[[#This Row],[Diabetes]]=$U$1,diabetesoriginal[[#This Row],[Insulin]],NA())</f>
        <v>63</v>
      </c>
      <c r="V451" s="5" t="e">
        <f>IF(diabetesoriginal[[#This Row],[Diabetes]]=$S$1,diabetesoriginal[[#This Row],[Insulin]],NA())</f>
        <v>#N/A</v>
      </c>
    </row>
    <row r="452" spans="1:22" x14ac:dyDescent="0.25">
      <c r="A452" s="5">
        <v>1</v>
      </c>
      <c r="B452" s="5">
        <v>82</v>
      </c>
      <c r="C452" s="5">
        <v>64</v>
      </c>
      <c r="D452" s="5" t="s">
        <v>23</v>
      </c>
      <c r="E452" s="5">
        <v>13</v>
      </c>
      <c r="F452" s="5">
        <v>95</v>
      </c>
      <c r="G452" s="5">
        <v>21.2</v>
      </c>
      <c r="H452" s="5" t="s">
        <v>31</v>
      </c>
      <c r="I452" s="5">
        <v>0.41499999999999998</v>
      </c>
      <c r="J452" s="5">
        <v>23</v>
      </c>
      <c r="K452" s="5" t="s">
        <v>35</v>
      </c>
      <c r="L452" s="15">
        <v>0</v>
      </c>
      <c r="M452" s="5" t="s">
        <v>57</v>
      </c>
      <c r="N452" s="5" t="s">
        <v>58</v>
      </c>
      <c r="O452" s="5" t="s">
        <v>31</v>
      </c>
      <c r="R452" s="5">
        <f>IF(diabetesoriginal[[#This Row],[Diabetes]]=$R$1,diabetesoriginal[[#This Row],[Skin Thickness]],NA())</f>
        <v>13</v>
      </c>
      <c r="S452" s="5" t="e">
        <f>IF(diabetesoriginal[[#This Row],[Diabetes]]=$S$1,diabetesoriginal[[#This Row],[Skin Thickness]],NA())</f>
        <v>#N/A</v>
      </c>
      <c r="U452" s="5">
        <f>IF(diabetesoriginal[[#This Row],[Diabetes]]=$U$1,diabetesoriginal[[#This Row],[Insulin]],NA())</f>
        <v>95</v>
      </c>
      <c r="V452" s="5" t="e">
        <f>IF(diabetesoriginal[[#This Row],[Diabetes]]=$S$1,diabetesoriginal[[#This Row],[Insulin]],NA())</f>
        <v>#N/A</v>
      </c>
    </row>
    <row r="453" spans="1:22" x14ac:dyDescent="0.25">
      <c r="A453" s="5">
        <v>2</v>
      </c>
      <c r="B453" s="5">
        <v>134</v>
      </c>
      <c r="C453" s="5">
        <v>70</v>
      </c>
      <c r="D453" s="5" t="s">
        <v>23</v>
      </c>
      <c r="E453" s="5">
        <v>29</v>
      </c>
      <c r="F453" s="5">
        <v>125</v>
      </c>
      <c r="G453" s="5">
        <v>28.9</v>
      </c>
      <c r="H453" s="5" t="s">
        <v>30</v>
      </c>
      <c r="I453" s="5">
        <v>0.54200000000000004</v>
      </c>
      <c r="J453" s="5">
        <v>23</v>
      </c>
      <c r="K453" s="5" t="s">
        <v>35</v>
      </c>
      <c r="L453" s="15">
        <v>1</v>
      </c>
      <c r="M453" s="5" t="s">
        <v>57</v>
      </c>
      <c r="N453" s="5" t="s">
        <v>56</v>
      </c>
      <c r="O453" s="5" t="s">
        <v>31</v>
      </c>
      <c r="R453" s="5" t="e">
        <f>IF(diabetesoriginal[[#This Row],[Diabetes]]=$R$1,diabetesoriginal[[#This Row],[Skin Thickness]],NA())</f>
        <v>#N/A</v>
      </c>
      <c r="S453" s="5">
        <f>IF(diabetesoriginal[[#This Row],[Diabetes]]=$S$1,diabetesoriginal[[#This Row],[Skin Thickness]],NA())</f>
        <v>29</v>
      </c>
      <c r="U453" s="5" t="e">
        <f>IF(diabetesoriginal[[#This Row],[Diabetes]]=$U$1,diabetesoriginal[[#This Row],[Insulin]],NA())</f>
        <v>#N/A</v>
      </c>
      <c r="V453" s="5">
        <f>IF(diabetesoriginal[[#This Row],[Diabetes]]=$S$1,diabetesoriginal[[#This Row],[Insulin]],NA())</f>
        <v>125</v>
      </c>
    </row>
    <row r="454" spans="1:22" x14ac:dyDescent="0.25">
      <c r="A454" s="5">
        <v>0</v>
      </c>
      <c r="B454" s="5">
        <v>91</v>
      </c>
      <c r="C454" s="5">
        <v>68</v>
      </c>
      <c r="D454" s="5" t="s">
        <v>23</v>
      </c>
      <c r="E454" s="5">
        <v>32</v>
      </c>
      <c r="F454" s="5">
        <v>210</v>
      </c>
      <c r="G454" s="5">
        <v>39.9</v>
      </c>
      <c r="H454" s="5" t="s">
        <v>29</v>
      </c>
      <c r="I454" s="5">
        <v>0.38100000000000001</v>
      </c>
      <c r="J454" s="5">
        <v>25</v>
      </c>
      <c r="K454" s="5" t="s">
        <v>35</v>
      </c>
      <c r="L454" s="15">
        <v>0</v>
      </c>
      <c r="M454" s="5" t="s">
        <v>57</v>
      </c>
      <c r="N454" s="5" t="s">
        <v>56</v>
      </c>
      <c r="O454" s="5" t="s">
        <v>59</v>
      </c>
      <c r="R454" s="5">
        <f>IF(diabetesoriginal[[#This Row],[Diabetes]]=$R$1,diabetesoriginal[[#This Row],[Skin Thickness]],NA())</f>
        <v>32</v>
      </c>
      <c r="S454" s="5" t="e">
        <f>IF(diabetesoriginal[[#This Row],[Diabetes]]=$S$1,diabetesoriginal[[#This Row],[Skin Thickness]],NA())</f>
        <v>#N/A</v>
      </c>
      <c r="U454" s="5">
        <f>IF(diabetesoriginal[[#This Row],[Diabetes]]=$U$1,diabetesoriginal[[#This Row],[Insulin]],NA())</f>
        <v>210</v>
      </c>
      <c r="V454" s="5" t="e">
        <f>IF(diabetesoriginal[[#This Row],[Diabetes]]=$S$1,diabetesoriginal[[#This Row],[Insulin]],NA())</f>
        <v>#N/A</v>
      </c>
    </row>
    <row r="455" spans="1:22" x14ac:dyDescent="0.25">
      <c r="A455" s="5">
        <v>2</v>
      </c>
      <c r="B455" s="5">
        <v>119</v>
      </c>
      <c r="C455" s="5">
        <v>72</v>
      </c>
      <c r="D455" s="5" t="s">
        <v>23</v>
      </c>
      <c r="E455" s="5">
        <v>29</v>
      </c>
      <c r="F455" s="5">
        <v>125</v>
      </c>
      <c r="G455" s="5">
        <v>19.600000000000001</v>
      </c>
      <c r="H455" s="5" t="s">
        <v>31</v>
      </c>
      <c r="I455" s="5">
        <v>0.83199999999999996</v>
      </c>
      <c r="J455" s="5">
        <v>72</v>
      </c>
      <c r="K455" s="5" t="s">
        <v>47</v>
      </c>
      <c r="L455" s="15">
        <v>0</v>
      </c>
      <c r="M455" s="5" t="s">
        <v>57</v>
      </c>
      <c r="N455" s="5" t="s">
        <v>56</v>
      </c>
      <c r="O455" s="5" t="s">
        <v>31</v>
      </c>
      <c r="R455" s="5">
        <f>IF(diabetesoriginal[[#This Row],[Diabetes]]=$R$1,diabetesoriginal[[#This Row],[Skin Thickness]],NA())</f>
        <v>29</v>
      </c>
      <c r="S455" s="5" t="e">
        <f>IF(diabetesoriginal[[#This Row],[Diabetes]]=$S$1,diabetesoriginal[[#This Row],[Skin Thickness]],NA())</f>
        <v>#N/A</v>
      </c>
      <c r="U455" s="5">
        <f>IF(diabetesoriginal[[#This Row],[Diabetes]]=$U$1,diabetesoriginal[[#This Row],[Insulin]],NA())</f>
        <v>125</v>
      </c>
      <c r="V455" s="5" t="e">
        <f>IF(diabetesoriginal[[#This Row],[Diabetes]]=$S$1,diabetesoriginal[[#This Row],[Insulin]],NA())</f>
        <v>#N/A</v>
      </c>
    </row>
    <row r="456" spans="1:22" x14ac:dyDescent="0.25">
      <c r="A456" s="5">
        <v>2</v>
      </c>
      <c r="B456" s="5">
        <v>100</v>
      </c>
      <c r="C456" s="5">
        <v>54</v>
      </c>
      <c r="D456" s="5" t="s">
        <v>23</v>
      </c>
      <c r="E456" s="5">
        <v>28</v>
      </c>
      <c r="F456" s="5">
        <v>105</v>
      </c>
      <c r="G456" s="5">
        <v>37.799999999999997</v>
      </c>
      <c r="H456" s="5" t="s">
        <v>29</v>
      </c>
      <c r="I456" s="5">
        <v>0.498</v>
      </c>
      <c r="J456" s="5">
        <v>24</v>
      </c>
      <c r="K456" s="5" t="s">
        <v>35</v>
      </c>
      <c r="L456" s="15">
        <v>0</v>
      </c>
      <c r="M456" s="5" t="s">
        <v>57</v>
      </c>
      <c r="N456" s="5" t="s">
        <v>56</v>
      </c>
      <c r="O456" s="5" t="s">
        <v>31</v>
      </c>
      <c r="R456" s="5">
        <f>IF(diabetesoriginal[[#This Row],[Diabetes]]=$R$1,diabetesoriginal[[#This Row],[Skin Thickness]],NA())</f>
        <v>28</v>
      </c>
      <c r="S456" s="5" t="e">
        <f>IF(diabetesoriginal[[#This Row],[Diabetes]]=$S$1,diabetesoriginal[[#This Row],[Skin Thickness]],NA())</f>
        <v>#N/A</v>
      </c>
      <c r="U456" s="5">
        <f>IF(diabetesoriginal[[#This Row],[Diabetes]]=$U$1,diabetesoriginal[[#This Row],[Insulin]],NA())</f>
        <v>105</v>
      </c>
      <c r="V456" s="5" t="e">
        <f>IF(diabetesoriginal[[#This Row],[Diabetes]]=$S$1,diabetesoriginal[[#This Row],[Insulin]],NA())</f>
        <v>#N/A</v>
      </c>
    </row>
    <row r="457" spans="1:22" x14ac:dyDescent="0.25">
      <c r="A457" s="5">
        <v>14</v>
      </c>
      <c r="B457" s="5">
        <v>175</v>
      </c>
      <c r="C457" s="5">
        <v>62</v>
      </c>
      <c r="D457" s="5" t="s">
        <v>23</v>
      </c>
      <c r="E457" s="5">
        <v>30</v>
      </c>
      <c r="F457" s="5">
        <v>125</v>
      </c>
      <c r="G457" s="5">
        <v>33.6</v>
      </c>
      <c r="H457" s="5" t="s">
        <v>29</v>
      </c>
      <c r="I457" s="5">
        <v>0.21199999999999999</v>
      </c>
      <c r="J457" s="5">
        <v>38</v>
      </c>
      <c r="K457" s="5" t="s">
        <v>36</v>
      </c>
      <c r="L457" s="15">
        <v>1</v>
      </c>
      <c r="M457" s="5" t="s">
        <v>22</v>
      </c>
      <c r="N457" s="5" t="s">
        <v>56</v>
      </c>
      <c r="O457" s="5" t="s">
        <v>31</v>
      </c>
      <c r="R457" s="5" t="e">
        <f>IF(diabetesoriginal[[#This Row],[Diabetes]]=$R$1,diabetesoriginal[[#This Row],[Skin Thickness]],NA())</f>
        <v>#N/A</v>
      </c>
      <c r="S457" s="5">
        <f>IF(diabetesoriginal[[#This Row],[Diabetes]]=$S$1,diabetesoriginal[[#This Row],[Skin Thickness]],NA())</f>
        <v>30</v>
      </c>
      <c r="U457" s="5" t="e">
        <f>IF(diabetesoriginal[[#This Row],[Diabetes]]=$U$1,diabetesoriginal[[#This Row],[Insulin]],NA())</f>
        <v>#N/A</v>
      </c>
      <c r="V457" s="5">
        <f>IF(diabetesoriginal[[#This Row],[Diabetes]]=$S$1,diabetesoriginal[[#This Row],[Insulin]],NA())</f>
        <v>125</v>
      </c>
    </row>
    <row r="458" spans="1:22" x14ac:dyDescent="0.25">
      <c r="A458" s="5">
        <v>1</v>
      </c>
      <c r="B458" s="5">
        <v>135</v>
      </c>
      <c r="C458" s="5">
        <v>54</v>
      </c>
      <c r="D458" s="5" t="s">
        <v>23</v>
      </c>
      <c r="E458" s="5">
        <v>29</v>
      </c>
      <c r="F458" s="5">
        <v>125</v>
      </c>
      <c r="G458" s="5">
        <v>26.7</v>
      </c>
      <c r="H458" s="5" t="s">
        <v>30</v>
      </c>
      <c r="I458" s="5">
        <v>0.68700000000000006</v>
      </c>
      <c r="J458" s="5">
        <v>62</v>
      </c>
      <c r="K458" s="5" t="s">
        <v>39</v>
      </c>
      <c r="L458" s="15">
        <v>0</v>
      </c>
      <c r="M458" s="5" t="s">
        <v>57</v>
      </c>
      <c r="N458" s="5" t="s">
        <v>56</v>
      </c>
      <c r="O458" s="5" t="s">
        <v>31</v>
      </c>
      <c r="R458" s="5">
        <f>IF(diabetesoriginal[[#This Row],[Diabetes]]=$R$1,diabetesoriginal[[#This Row],[Skin Thickness]],NA())</f>
        <v>29</v>
      </c>
      <c r="S458" s="5" t="e">
        <f>IF(diabetesoriginal[[#This Row],[Diabetes]]=$S$1,diabetesoriginal[[#This Row],[Skin Thickness]],NA())</f>
        <v>#N/A</v>
      </c>
      <c r="U458" s="5">
        <f>IF(diabetesoriginal[[#This Row],[Diabetes]]=$U$1,diabetesoriginal[[#This Row],[Insulin]],NA())</f>
        <v>125</v>
      </c>
      <c r="V458" s="5" t="e">
        <f>IF(diabetesoriginal[[#This Row],[Diabetes]]=$S$1,diabetesoriginal[[#This Row],[Insulin]],NA())</f>
        <v>#N/A</v>
      </c>
    </row>
    <row r="459" spans="1:22" x14ac:dyDescent="0.25">
      <c r="A459" s="5">
        <v>5</v>
      </c>
      <c r="B459" s="5">
        <v>86</v>
      </c>
      <c r="C459" s="5">
        <v>68</v>
      </c>
      <c r="D459" s="5" t="s">
        <v>23</v>
      </c>
      <c r="E459" s="5">
        <v>28</v>
      </c>
      <c r="F459" s="5">
        <v>71</v>
      </c>
      <c r="G459" s="5">
        <v>30.2</v>
      </c>
      <c r="H459" s="5" t="s">
        <v>29</v>
      </c>
      <c r="I459" s="5">
        <v>0.36399999999999999</v>
      </c>
      <c r="J459" s="5">
        <v>24</v>
      </c>
      <c r="K459" s="5" t="s">
        <v>35</v>
      </c>
      <c r="L459" s="15">
        <v>0</v>
      </c>
      <c r="M459" s="5" t="s">
        <v>57</v>
      </c>
      <c r="N459" s="5" t="s">
        <v>56</v>
      </c>
      <c r="O459" s="5" t="s">
        <v>31</v>
      </c>
      <c r="R459" s="5">
        <f>IF(diabetesoriginal[[#This Row],[Diabetes]]=$R$1,diabetesoriginal[[#This Row],[Skin Thickness]],NA())</f>
        <v>28</v>
      </c>
      <c r="S459" s="5" t="e">
        <f>IF(diabetesoriginal[[#This Row],[Diabetes]]=$S$1,diabetesoriginal[[#This Row],[Skin Thickness]],NA())</f>
        <v>#N/A</v>
      </c>
      <c r="U459" s="5">
        <f>IF(diabetesoriginal[[#This Row],[Diabetes]]=$U$1,diabetesoriginal[[#This Row],[Insulin]],NA())</f>
        <v>71</v>
      </c>
      <c r="V459" s="5" t="e">
        <f>IF(diabetesoriginal[[#This Row],[Diabetes]]=$S$1,diabetesoriginal[[#This Row],[Insulin]],NA())</f>
        <v>#N/A</v>
      </c>
    </row>
    <row r="460" spans="1:22" x14ac:dyDescent="0.25">
      <c r="A460" s="5">
        <v>10</v>
      </c>
      <c r="B460" s="5">
        <v>148</v>
      </c>
      <c r="C460" s="5">
        <v>84</v>
      </c>
      <c r="D460" s="5" t="s">
        <v>25</v>
      </c>
      <c r="E460" s="5">
        <v>48</v>
      </c>
      <c r="F460" s="5">
        <v>237</v>
      </c>
      <c r="G460" s="5">
        <v>37.6</v>
      </c>
      <c r="H460" s="5" t="s">
        <v>29</v>
      </c>
      <c r="I460" s="5">
        <v>1.0009999999999999</v>
      </c>
      <c r="J460" s="5">
        <v>51</v>
      </c>
      <c r="K460" s="5" t="s">
        <v>38</v>
      </c>
      <c r="L460" s="15">
        <v>1</v>
      </c>
      <c r="M460" s="5" t="s">
        <v>22</v>
      </c>
      <c r="N460" s="5" t="s">
        <v>56</v>
      </c>
      <c r="O460" s="5" t="s">
        <v>59</v>
      </c>
      <c r="R460" s="5" t="e">
        <f>IF(diabetesoriginal[[#This Row],[Diabetes]]=$R$1,diabetesoriginal[[#This Row],[Skin Thickness]],NA())</f>
        <v>#N/A</v>
      </c>
      <c r="S460" s="5">
        <f>IF(diabetesoriginal[[#This Row],[Diabetes]]=$S$1,diabetesoriginal[[#This Row],[Skin Thickness]],NA())</f>
        <v>48</v>
      </c>
      <c r="U460" s="5" t="e">
        <f>IF(diabetesoriginal[[#This Row],[Diabetes]]=$U$1,diabetesoriginal[[#This Row],[Insulin]],NA())</f>
        <v>#N/A</v>
      </c>
      <c r="V460" s="5">
        <f>IF(diabetesoriginal[[#This Row],[Diabetes]]=$S$1,diabetesoriginal[[#This Row],[Insulin]],NA())</f>
        <v>237</v>
      </c>
    </row>
    <row r="461" spans="1:22" x14ac:dyDescent="0.25">
      <c r="A461" s="5">
        <v>9</v>
      </c>
      <c r="B461" s="5">
        <v>134</v>
      </c>
      <c r="C461" s="5">
        <v>74</v>
      </c>
      <c r="D461" s="5" t="s">
        <v>23</v>
      </c>
      <c r="E461" s="5">
        <v>33</v>
      </c>
      <c r="F461" s="5">
        <v>60</v>
      </c>
      <c r="G461" s="5">
        <v>25.9</v>
      </c>
      <c r="H461" s="5" t="s">
        <v>30</v>
      </c>
      <c r="I461" s="5">
        <v>0.46</v>
      </c>
      <c r="J461" s="5">
        <v>81</v>
      </c>
      <c r="K461" s="5" t="s">
        <v>47</v>
      </c>
      <c r="L461" s="15">
        <v>0</v>
      </c>
      <c r="M461" s="5" t="s">
        <v>57</v>
      </c>
      <c r="N461" s="5" t="s">
        <v>56</v>
      </c>
      <c r="O461" s="5" t="s">
        <v>31</v>
      </c>
      <c r="R461" s="5">
        <f>IF(diabetesoriginal[[#This Row],[Diabetes]]=$R$1,diabetesoriginal[[#This Row],[Skin Thickness]],NA())</f>
        <v>33</v>
      </c>
      <c r="S461" s="5" t="e">
        <f>IF(diabetesoriginal[[#This Row],[Diabetes]]=$S$1,diabetesoriginal[[#This Row],[Skin Thickness]],NA())</f>
        <v>#N/A</v>
      </c>
      <c r="U461" s="5">
        <f>IF(diabetesoriginal[[#This Row],[Diabetes]]=$U$1,diabetesoriginal[[#This Row],[Insulin]],NA())</f>
        <v>60</v>
      </c>
      <c r="V461" s="5" t="e">
        <f>IF(diabetesoriginal[[#This Row],[Diabetes]]=$S$1,diabetesoriginal[[#This Row],[Insulin]],NA())</f>
        <v>#N/A</v>
      </c>
    </row>
    <row r="462" spans="1:22" x14ac:dyDescent="0.25">
      <c r="A462" s="5">
        <v>9</v>
      </c>
      <c r="B462" s="5">
        <v>120</v>
      </c>
      <c r="C462" s="5">
        <v>72</v>
      </c>
      <c r="D462" s="5" t="s">
        <v>23</v>
      </c>
      <c r="E462" s="5">
        <v>22</v>
      </c>
      <c r="F462" s="5">
        <v>56</v>
      </c>
      <c r="G462" s="5">
        <v>20.8</v>
      </c>
      <c r="H462" s="5" t="s">
        <v>31</v>
      </c>
      <c r="I462" s="5">
        <v>0.73299999999999998</v>
      </c>
      <c r="J462" s="5">
        <v>48</v>
      </c>
      <c r="K462" s="5" t="s">
        <v>37</v>
      </c>
      <c r="L462" s="15">
        <v>0</v>
      </c>
      <c r="M462" s="5" t="s">
        <v>57</v>
      </c>
      <c r="N462" s="5" t="s">
        <v>58</v>
      </c>
      <c r="O462" s="5" t="s">
        <v>31</v>
      </c>
      <c r="R462" s="5">
        <f>IF(diabetesoriginal[[#This Row],[Diabetes]]=$R$1,diabetesoriginal[[#This Row],[Skin Thickness]],NA())</f>
        <v>22</v>
      </c>
      <c r="S462" s="5" t="e">
        <f>IF(diabetesoriginal[[#This Row],[Diabetes]]=$S$1,diabetesoriginal[[#This Row],[Skin Thickness]],NA())</f>
        <v>#N/A</v>
      </c>
      <c r="U462" s="5">
        <f>IF(diabetesoriginal[[#This Row],[Diabetes]]=$U$1,diabetesoriginal[[#This Row],[Insulin]],NA())</f>
        <v>56</v>
      </c>
      <c r="V462" s="5" t="e">
        <f>IF(diabetesoriginal[[#This Row],[Diabetes]]=$S$1,diabetesoriginal[[#This Row],[Insulin]],NA())</f>
        <v>#N/A</v>
      </c>
    </row>
    <row r="463" spans="1:22" x14ac:dyDescent="0.25">
      <c r="A463" s="5">
        <v>1</v>
      </c>
      <c r="B463" s="5">
        <v>71</v>
      </c>
      <c r="C463" s="5">
        <v>62</v>
      </c>
      <c r="D463" s="5" t="s">
        <v>23</v>
      </c>
      <c r="E463" s="5">
        <v>29</v>
      </c>
      <c r="F463" s="5">
        <v>125</v>
      </c>
      <c r="G463" s="5">
        <v>21.8</v>
      </c>
      <c r="H463" s="5" t="s">
        <v>31</v>
      </c>
      <c r="I463" s="5">
        <v>0.41599999999999998</v>
      </c>
      <c r="J463" s="5">
        <v>26</v>
      </c>
      <c r="K463" s="5" t="s">
        <v>35</v>
      </c>
      <c r="L463" s="15">
        <v>0</v>
      </c>
      <c r="M463" s="5" t="s">
        <v>57</v>
      </c>
      <c r="N463" s="5" t="s">
        <v>56</v>
      </c>
      <c r="O463" s="5" t="s">
        <v>31</v>
      </c>
      <c r="R463" s="5">
        <f>IF(diabetesoriginal[[#This Row],[Diabetes]]=$R$1,diabetesoriginal[[#This Row],[Skin Thickness]],NA())</f>
        <v>29</v>
      </c>
      <c r="S463" s="5" t="e">
        <f>IF(diabetesoriginal[[#This Row],[Diabetes]]=$S$1,diabetesoriginal[[#This Row],[Skin Thickness]],NA())</f>
        <v>#N/A</v>
      </c>
      <c r="U463" s="5">
        <f>IF(diabetesoriginal[[#This Row],[Diabetes]]=$U$1,diabetesoriginal[[#This Row],[Insulin]],NA())</f>
        <v>125</v>
      </c>
      <c r="V463" s="5" t="e">
        <f>IF(diabetesoriginal[[#This Row],[Diabetes]]=$S$1,diabetesoriginal[[#This Row],[Insulin]],NA())</f>
        <v>#N/A</v>
      </c>
    </row>
    <row r="464" spans="1:22" x14ac:dyDescent="0.25">
      <c r="A464" s="5">
        <v>8</v>
      </c>
      <c r="B464" s="5">
        <v>74</v>
      </c>
      <c r="C464" s="5">
        <v>70</v>
      </c>
      <c r="D464" s="5" t="s">
        <v>23</v>
      </c>
      <c r="E464" s="5">
        <v>40</v>
      </c>
      <c r="F464" s="5">
        <v>49</v>
      </c>
      <c r="G464" s="5">
        <v>35.299999999999997</v>
      </c>
      <c r="H464" s="5" t="s">
        <v>29</v>
      </c>
      <c r="I464" s="5">
        <v>0.70499999999999996</v>
      </c>
      <c r="J464" s="5">
        <v>39</v>
      </c>
      <c r="K464" s="5" t="s">
        <v>36</v>
      </c>
      <c r="L464" s="15">
        <v>0</v>
      </c>
      <c r="M464" s="5" t="s">
        <v>57</v>
      </c>
      <c r="N464" s="5" t="s">
        <v>56</v>
      </c>
      <c r="O464" s="5" t="s">
        <v>31</v>
      </c>
      <c r="R464" s="5">
        <f>IF(diabetesoriginal[[#This Row],[Diabetes]]=$R$1,diabetesoriginal[[#This Row],[Skin Thickness]],NA())</f>
        <v>40</v>
      </c>
      <c r="S464" s="5" t="e">
        <f>IF(diabetesoriginal[[#This Row],[Diabetes]]=$S$1,diabetesoriginal[[#This Row],[Skin Thickness]],NA())</f>
        <v>#N/A</v>
      </c>
      <c r="U464" s="5">
        <f>IF(diabetesoriginal[[#This Row],[Diabetes]]=$U$1,diabetesoriginal[[#This Row],[Insulin]],NA())</f>
        <v>49</v>
      </c>
      <c r="V464" s="5" t="e">
        <f>IF(diabetesoriginal[[#This Row],[Diabetes]]=$S$1,diabetesoriginal[[#This Row],[Insulin]],NA())</f>
        <v>#N/A</v>
      </c>
    </row>
    <row r="465" spans="1:22" x14ac:dyDescent="0.25">
      <c r="A465" s="5">
        <v>5</v>
      </c>
      <c r="B465" s="5">
        <v>88</v>
      </c>
      <c r="C465" s="5">
        <v>78</v>
      </c>
      <c r="D465" s="5" t="s">
        <v>23</v>
      </c>
      <c r="E465" s="5">
        <v>30</v>
      </c>
      <c r="F465" s="5">
        <v>125</v>
      </c>
      <c r="G465" s="5">
        <v>27.6</v>
      </c>
      <c r="H465" s="5" t="s">
        <v>30</v>
      </c>
      <c r="I465" s="5">
        <v>0.25800000000000001</v>
      </c>
      <c r="J465" s="5">
        <v>37</v>
      </c>
      <c r="K465" s="5" t="s">
        <v>36</v>
      </c>
      <c r="L465" s="15">
        <v>0</v>
      </c>
      <c r="M465" s="5" t="s">
        <v>57</v>
      </c>
      <c r="N465" s="5" t="s">
        <v>56</v>
      </c>
      <c r="O465" s="5" t="s">
        <v>31</v>
      </c>
      <c r="R465" s="5">
        <f>IF(diabetesoriginal[[#This Row],[Diabetes]]=$R$1,diabetesoriginal[[#This Row],[Skin Thickness]],NA())</f>
        <v>30</v>
      </c>
      <c r="S465" s="5" t="e">
        <f>IF(diabetesoriginal[[#This Row],[Diabetes]]=$S$1,diabetesoriginal[[#This Row],[Skin Thickness]],NA())</f>
        <v>#N/A</v>
      </c>
      <c r="U465" s="5">
        <f>IF(diabetesoriginal[[#This Row],[Diabetes]]=$U$1,diabetesoriginal[[#This Row],[Insulin]],NA())</f>
        <v>125</v>
      </c>
      <c r="V465" s="5" t="e">
        <f>IF(diabetesoriginal[[#This Row],[Diabetes]]=$S$1,diabetesoriginal[[#This Row],[Insulin]],NA())</f>
        <v>#N/A</v>
      </c>
    </row>
    <row r="466" spans="1:22" x14ac:dyDescent="0.25">
      <c r="A466" s="5">
        <v>10</v>
      </c>
      <c r="B466" s="5">
        <v>115</v>
      </c>
      <c r="C466" s="5">
        <v>98</v>
      </c>
      <c r="D466" s="5" t="s">
        <v>24</v>
      </c>
      <c r="E466" s="5">
        <v>29</v>
      </c>
      <c r="F466" s="5">
        <v>125</v>
      </c>
      <c r="G466" s="5">
        <v>24</v>
      </c>
      <c r="H466" s="5" t="s">
        <v>31</v>
      </c>
      <c r="I466" s="5">
        <v>1.022</v>
      </c>
      <c r="J466" s="5">
        <v>34</v>
      </c>
      <c r="K466" s="5" t="s">
        <v>36</v>
      </c>
      <c r="L466" s="15">
        <v>0</v>
      </c>
      <c r="M466" s="5" t="s">
        <v>57</v>
      </c>
      <c r="N466" s="5" t="s">
        <v>56</v>
      </c>
      <c r="O466" s="5" t="s">
        <v>31</v>
      </c>
      <c r="R466" s="5">
        <f>IF(diabetesoriginal[[#This Row],[Diabetes]]=$R$1,diabetesoriginal[[#This Row],[Skin Thickness]],NA())</f>
        <v>29</v>
      </c>
      <c r="S466" s="5" t="e">
        <f>IF(diabetesoriginal[[#This Row],[Diabetes]]=$S$1,diabetesoriginal[[#This Row],[Skin Thickness]],NA())</f>
        <v>#N/A</v>
      </c>
      <c r="U466" s="5">
        <f>IF(diabetesoriginal[[#This Row],[Diabetes]]=$U$1,diabetesoriginal[[#This Row],[Insulin]],NA())</f>
        <v>125</v>
      </c>
      <c r="V466" s="5" t="e">
        <f>IF(diabetesoriginal[[#This Row],[Diabetes]]=$S$1,diabetesoriginal[[#This Row],[Insulin]],NA())</f>
        <v>#N/A</v>
      </c>
    </row>
    <row r="467" spans="1:22" x14ac:dyDescent="0.25">
      <c r="A467" s="5">
        <v>0</v>
      </c>
      <c r="B467" s="5">
        <v>124</v>
      </c>
      <c r="C467" s="5">
        <v>56</v>
      </c>
      <c r="D467" s="5" t="s">
        <v>23</v>
      </c>
      <c r="E467" s="5">
        <v>13</v>
      </c>
      <c r="F467" s="5">
        <v>105</v>
      </c>
      <c r="G467" s="5">
        <v>21.8</v>
      </c>
      <c r="H467" s="5" t="s">
        <v>31</v>
      </c>
      <c r="I467" s="5">
        <v>0.45200000000000001</v>
      </c>
      <c r="J467" s="5">
        <v>21</v>
      </c>
      <c r="K467" s="5" t="s">
        <v>35</v>
      </c>
      <c r="L467" s="15">
        <v>0</v>
      </c>
      <c r="M467" s="5" t="s">
        <v>57</v>
      </c>
      <c r="N467" s="5" t="s">
        <v>58</v>
      </c>
      <c r="O467" s="5" t="s">
        <v>31</v>
      </c>
      <c r="R467" s="5">
        <f>IF(diabetesoriginal[[#This Row],[Diabetes]]=$R$1,diabetesoriginal[[#This Row],[Skin Thickness]],NA())</f>
        <v>13</v>
      </c>
      <c r="S467" s="5" t="e">
        <f>IF(diabetesoriginal[[#This Row],[Diabetes]]=$S$1,diabetesoriginal[[#This Row],[Skin Thickness]],NA())</f>
        <v>#N/A</v>
      </c>
      <c r="U467" s="5">
        <f>IF(diabetesoriginal[[#This Row],[Diabetes]]=$U$1,diabetesoriginal[[#This Row],[Insulin]],NA())</f>
        <v>105</v>
      </c>
      <c r="V467" s="5" t="e">
        <f>IF(diabetesoriginal[[#This Row],[Diabetes]]=$S$1,diabetesoriginal[[#This Row],[Insulin]],NA())</f>
        <v>#N/A</v>
      </c>
    </row>
    <row r="468" spans="1:22" x14ac:dyDescent="0.25">
      <c r="A468" s="5">
        <v>0</v>
      </c>
      <c r="B468" s="5">
        <v>74</v>
      </c>
      <c r="C468" s="5">
        <v>52</v>
      </c>
      <c r="D468" s="5" t="s">
        <v>23</v>
      </c>
      <c r="E468" s="5">
        <v>10</v>
      </c>
      <c r="F468" s="5">
        <v>36</v>
      </c>
      <c r="G468" s="5">
        <v>27.8</v>
      </c>
      <c r="H468" s="5" t="s">
        <v>30</v>
      </c>
      <c r="I468" s="5">
        <v>0.26900000000000002</v>
      </c>
      <c r="J468" s="5">
        <v>22</v>
      </c>
      <c r="K468" s="5" t="s">
        <v>35</v>
      </c>
      <c r="L468" s="15">
        <v>0</v>
      </c>
      <c r="M468" s="5" t="s">
        <v>57</v>
      </c>
      <c r="N468" s="5" t="s">
        <v>58</v>
      </c>
      <c r="O468" s="5" t="s">
        <v>31</v>
      </c>
      <c r="R468" s="5">
        <f>IF(diabetesoriginal[[#This Row],[Diabetes]]=$R$1,diabetesoriginal[[#This Row],[Skin Thickness]],NA())</f>
        <v>10</v>
      </c>
      <c r="S468" s="5" t="e">
        <f>IF(diabetesoriginal[[#This Row],[Diabetes]]=$S$1,diabetesoriginal[[#This Row],[Skin Thickness]],NA())</f>
        <v>#N/A</v>
      </c>
      <c r="U468" s="5">
        <f>IF(diabetesoriginal[[#This Row],[Diabetes]]=$U$1,diabetesoriginal[[#This Row],[Insulin]],NA())</f>
        <v>36</v>
      </c>
      <c r="V468" s="5" t="e">
        <f>IF(diabetesoriginal[[#This Row],[Diabetes]]=$S$1,diabetesoriginal[[#This Row],[Insulin]],NA())</f>
        <v>#N/A</v>
      </c>
    </row>
    <row r="469" spans="1:22" x14ac:dyDescent="0.25">
      <c r="A469" s="5">
        <v>0</v>
      </c>
      <c r="B469" s="5">
        <v>97</v>
      </c>
      <c r="C469" s="5">
        <v>64</v>
      </c>
      <c r="D469" s="5" t="s">
        <v>23</v>
      </c>
      <c r="E469" s="5">
        <v>36</v>
      </c>
      <c r="F469" s="5">
        <v>100</v>
      </c>
      <c r="G469" s="5">
        <v>36.799999999999997</v>
      </c>
      <c r="H469" s="5" t="s">
        <v>29</v>
      </c>
      <c r="I469" s="5">
        <v>0.6</v>
      </c>
      <c r="J469" s="5">
        <v>25</v>
      </c>
      <c r="K469" s="5" t="s">
        <v>35</v>
      </c>
      <c r="L469" s="15">
        <v>0</v>
      </c>
      <c r="M469" s="5" t="s">
        <v>57</v>
      </c>
      <c r="N469" s="5" t="s">
        <v>56</v>
      </c>
      <c r="O469" s="5" t="s">
        <v>31</v>
      </c>
      <c r="R469" s="5">
        <f>IF(diabetesoriginal[[#This Row],[Diabetes]]=$R$1,diabetesoriginal[[#This Row],[Skin Thickness]],NA())</f>
        <v>36</v>
      </c>
      <c r="S469" s="5" t="e">
        <f>IF(diabetesoriginal[[#This Row],[Diabetes]]=$S$1,diabetesoriginal[[#This Row],[Skin Thickness]],NA())</f>
        <v>#N/A</v>
      </c>
      <c r="U469" s="5">
        <f>IF(diabetesoriginal[[#This Row],[Diabetes]]=$U$1,diabetesoriginal[[#This Row],[Insulin]],NA())</f>
        <v>100</v>
      </c>
      <c r="V469" s="5" t="e">
        <f>IF(diabetesoriginal[[#This Row],[Diabetes]]=$S$1,diabetesoriginal[[#This Row],[Insulin]],NA())</f>
        <v>#N/A</v>
      </c>
    </row>
    <row r="470" spans="1:22" x14ac:dyDescent="0.25">
      <c r="A470" s="5">
        <v>8</v>
      </c>
      <c r="B470" s="5">
        <v>120</v>
      </c>
      <c r="C470" s="5">
        <v>72</v>
      </c>
      <c r="D470" s="5" t="s">
        <v>23</v>
      </c>
      <c r="E470" s="5">
        <v>29</v>
      </c>
      <c r="F470" s="5">
        <v>125</v>
      </c>
      <c r="G470" s="5">
        <v>30</v>
      </c>
      <c r="H470" s="5" t="s">
        <v>29</v>
      </c>
      <c r="I470" s="5">
        <v>0.183</v>
      </c>
      <c r="J470" s="5">
        <v>38</v>
      </c>
      <c r="K470" s="5" t="s">
        <v>36</v>
      </c>
      <c r="L470" s="15">
        <v>1</v>
      </c>
      <c r="M470" s="5" t="s">
        <v>57</v>
      </c>
      <c r="N470" s="5" t="s">
        <v>56</v>
      </c>
      <c r="O470" s="5" t="s">
        <v>31</v>
      </c>
      <c r="R470" s="5" t="e">
        <f>IF(diabetesoriginal[[#This Row],[Diabetes]]=$R$1,diabetesoriginal[[#This Row],[Skin Thickness]],NA())</f>
        <v>#N/A</v>
      </c>
      <c r="S470" s="5">
        <f>IF(diabetesoriginal[[#This Row],[Diabetes]]=$S$1,diabetesoriginal[[#This Row],[Skin Thickness]],NA())</f>
        <v>29</v>
      </c>
      <c r="U470" s="5" t="e">
        <f>IF(diabetesoriginal[[#This Row],[Diabetes]]=$U$1,diabetesoriginal[[#This Row],[Insulin]],NA())</f>
        <v>#N/A</v>
      </c>
      <c r="V470" s="5">
        <f>IF(diabetesoriginal[[#This Row],[Diabetes]]=$S$1,diabetesoriginal[[#This Row],[Insulin]],NA())</f>
        <v>125</v>
      </c>
    </row>
    <row r="471" spans="1:22" x14ac:dyDescent="0.25">
      <c r="A471" s="5">
        <v>6</v>
      </c>
      <c r="B471" s="5">
        <v>154</v>
      </c>
      <c r="C471" s="5">
        <v>78</v>
      </c>
      <c r="D471" s="5" t="s">
        <v>23</v>
      </c>
      <c r="E471" s="5">
        <v>41</v>
      </c>
      <c r="F471" s="5">
        <v>140</v>
      </c>
      <c r="G471" s="5">
        <v>46.1</v>
      </c>
      <c r="H471" s="5" t="s">
        <v>32</v>
      </c>
      <c r="I471" s="5">
        <v>0.57099999999999995</v>
      </c>
      <c r="J471" s="5">
        <v>27</v>
      </c>
      <c r="K471" s="5" t="s">
        <v>35</v>
      </c>
      <c r="L471" s="15">
        <v>0</v>
      </c>
      <c r="M471" s="5" t="s">
        <v>22</v>
      </c>
      <c r="N471" s="5" t="s">
        <v>56</v>
      </c>
      <c r="O471" s="5" t="s">
        <v>31</v>
      </c>
      <c r="R471" s="5">
        <f>IF(diabetesoriginal[[#This Row],[Diabetes]]=$R$1,diabetesoriginal[[#This Row],[Skin Thickness]],NA())</f>
        <v>41</v>
      </c>
      <c r="S471" s="5" t="e">
        <f>IF(diabetesoriginal[[#This Row],[Diabetes]]=$S$1,diabetesoriginal[[#This Row],[Skin Thickness]],NA())</f>
        <v>#N/A</v>
      </c>
      <c r="U471" s="5">
        <f>IF(diabetesoriginal[[#This Row],[Diabetes]]=$U$1,diabetesoriginal[[#This Row],[Insulin]],NA())</f>
        <v>140</v>
      </c>
      <c r="V471" s="5" t="e">
        <f>IF(diabetesoriginal[[#This Row],[Diabetes]]=$S$1,diabetesoriginal[[#This Row],[Insulin]],NA())</f>
        <v>#N/A</v>
      </c>
    </row>
    <row r="472" spans="1:22" x14ac:dyDescent="0.25">
      <c r="A472" s="5">
        <v>1</v>
      </c>
      <c r="B472" s="5">
        <v>144</v>
      </c>
      <c r="C472" s="5">
        <v>82</v>
      </c>
      <c r="D472" s="5" t="s">
        <v>25</v>
      </c>
      <c r="E472" s="5">
        <v>40</v>
      </c>
      <c r="F472" s="5">
        <v>125</v>
      </c>
      <c r="G472" s="5">
        <v>41.3</v>
      </c>
      <c r="H472" s="5" t="s">
        <v>32</v>
      </c>
      <c r="I472" s="5">
        <v>0.60699999999999998</v>
      </c>
      <c r="J472" s="5">
        <v>28</v>
      </c>
      <c r="K472" s="5" t="s">
        <v>35</v>
      </c>
      <c r="L472" s="15">
        <v>0</v>
      </c>
      <c r="M472" s="5" t="s">
        <v>22</v>
      </c>
      <c r="N472" s="5" t="s">
        <v>56</v>
      </c>
      <c r="O472" s="5" t="s">
        <v>31</v>
      </c>
      <c r="R472" s="5">
        <f>IF(diabetesoriginal[[#This Row],[Diabetes]]=$R$1,diabetesoriginal[[#This Row],[Skin Thickness]],NA())</f>
        <v>40</v>
      </c>
      <c r="S472" s="5" t="e">
        <f>IF(diabetesoriginal[[#This Row],[Diabetes]]=$S$1,diabetesoriginal[[#This Row],[Skin Thickness]],NA())</f>
        <v>#N/A</v>
      </c>
      <c r="U472" s="5">
        <f>IF(diabetesoriginal[[#This Row],[Diabetes]]=$U$1,diabetesoriginal[[#This Row],[Insulin]],NA())</f>
        <v>125</v>
      </c>
      <c r="V472" s="5" t="e">
        <f>IF(diabetesoriginal[[#This Row],[Diabetes]]=$S$1,diabetesoriginal[[#This Row],[Insulin]],NA())</f>
        <v>#N/A</v>
      </c>
    </row>
    <row r="473" spans="1:22" x14ac:dyDescent="0.25">
      <c r="A473" s="5">
        <v>0</v>
      </c>
      <c r="B473" s="5">
        <v>137</v>
      </c>
      <c r="C473" s="5">
        <v>70</v>
      </c>
      <c r="D473" s="5" t="s">
        <v>23</v>
      </c>
      <c r="E473" s="5">
        <v>38</v>
      </c>
      <c r="F473" s="5">
        <v>125</v>
      </c>
      <c r="G473" s="5">
        <v>33.200000000000003</v>
      </c>
      <c r="H473" s="5" t="s">
        <v>29</v>
      </c>
      <c r="I473" s="5">
        <v>0.17</v>
      </c>
      <c r="J473" s="5">
        <v>22</v>
      </c>
      <c r="K473" s="5" t="s">
        <v>35</v>
      </c>
      <c r="L473" s="15">
        <v>0</v>
      </c>
      <c r="M473" s="5" t="s">
        <v>57</v>
      </c>
      <c r="N473" s="5" t="s">
        <v>56</v>
      </c>
      <c r="O473" s="5" t="s">
        <v>31</v>
      </c>
      <c r="R473" s="5">
        <f>IF(diabetesoriginal[[#This Row],[Diabetes]]=$R$1,diabetesoriginal[[#This Row],[Skin Thickness]],NA())</f>
        <v>38</v>
      </c>
      <c r="S473" s="5" t="e">
        <f>IF(diabetesoriginal[[#This Row],[Diabetes]]=$S$1,diabetesoriginal[[#This Row],[Skin Thickness]],NA())</f>
        <v>#N/A</v>
      </c>
      <c r="U473" s="5">
        <f>IF(diabetesoriginal[[#This Row],[Diabetes]]=$U$1,diabetesoriginal[[#This Row],[Insulin]],NA())</f>
        <v>125</v>
      </c>
      <c r="V473" s="5" t="e">
        <f>IF(diabetesoriginal[[#This Row],[Diabetes]]=$S$1,diabetesoriginal[[#This Row],[Insulin]],NA())</f>
        <v>#N/A</v>
      </c>
    </row>
    <row r="474" spans="1:22" x14ac:dyDescent="0.25">
      <c r="A474" s="5">
        <v>0</v>
      </c>
      <c r="B474" s="5">
        <v>119</v>
      </c>
      <c r="C474" s="5">
        <v>66</v>
      </c>
      <c r="D474" s="5" t="s">
        <v>23</v>
      </c>
      <c r="E474" s="5">
        <v>27</v>
      </c>
      <c r="F474" s="5">
        <v>125</v>
      </c>
      <c r="G474" s="5">
        <v>38.799999999999997</v>
      </c>
      <c r="H474" s="5" t="s">
        <v>29</v>
      </c>
      <c r="I474" s="5">
        <v>0.25900000000000001</v>
      </c>
      <c r="J474" s="5">
        <v>22</v>
      </c>
      <c r="K474" s="5" t="s">
        <v>35</v>
      </c>
      <c r="L474" s="15">
        <v>0</v>
      </c>
      <c r="M474" s="5" t="s">
        <v>57</v>
      </c>
      <c r="N474" s="5" t="s">
        <v>56</v>
      </c>
      <c r="O474" s="5" t="s">
        <v>31</v>
      </c>
      <c r="R474" s="5">
        <f>IF(diabetesoriginal[[#This Row],[Diabetes]]=$R$1,diabetesoriginal[[#This Row],[Skin Thickness]],NA())</f>
        <v>27</v>
      </c>
      <c r="S474" s="5" t="e">
        <f>IF(diabetesoriginal[[#This Row],[Diabetes]]=$S$1,diabetesoriginal[[#This Row],[Skin Thickness]],NA())</f>
        <v>#N/A</v>
      </c>
      <c r="U474" s="5">
        <f>IF(diabetesoriginal[[#This Row],[Diabetes]]=$U$1,diabetesoriginal[[#This Row],[Insulin]],NA())</f>
        <v>125</v>
      </c>
      <c r="V474" s="5" t="e">
        <f>IF(diabetesoriginal[[#This Row],[Diabetes]]=$S$1,diabetesoriginal[[#This Row],[Insulin]],NA())</f>
        <v>#N/A</v>
      </c>
    </row>
    <row r="475" spans="1:22" x14ac:dyDescent="0.25">
      <c r="A475" s="5">
        <v>7</v>
      </c>
      <c r="B475" s="5">
        <v>136</v>
      </c>
      <c r="C475" s="5">
        <v>90</v>
      </c>
      <c r="D475" s="5" t="s">
        <v>24</v>
      </c>
      <c r="E475" s="5">
        <v>29</v>
      </c>
      <c r="F475" s="5">
        <v>125</v>
      </c>
      <c r="G475" s="5">
        <v>29.9</v>
      </c>
      <c r="H475" s="5" t="s">
        <v>30</v>
      </c>
      <c r="I475" s="5">
        <v>0.21</v>
      </c>
      <c r="J475" s="5">
        <v>50</v>
      </c>
      <c r="K475" s="5" t="s">
        <v>38</v>
      </c>
      <c r="L475" s="15">
        <v>0</v>
      </c>
      <c r="M475" s="5" t="s">
        <v>57</v>
      </c>
      <c r="N475" s="5" t="s">
        <v>56</v>
      </c>
      <c r="O475" s="5" t="s">
        <v>31</v>
      </c>
      <c r="R475" s="5">
        <f>IF(diabetesoriginal[[#This Row],[Diabetes]]=$R$1,diabetesoriginal[[#This Row],[Skin Thickness]],NA())</f>
        <v>29</v>
      </c>
      <c r="S475" s="5" t="e">
        <f>IF(diabetesoriginal[[#This Row],[Diabetes]]=$S$1,diabetesoriginal[[#This Row],[Skin Thickness]],NA())</f>
        <v>#N/A</v>
      </c>
      <c r="U475" s="5">
        <f>IF(diabetesoriginal[[#This Row],[Diabetes]]=$U$1,diabetesoriginal[[#This Row],[Insulin]],NA())</f>
        <v>125</v>
      </c>
      <c r="V475" s="5" t="e">
        <f>IF(diabetesoriginal[[#This Row],[Diabetes]]=$S$1,diabetesoriginal[[#This Row],[Insulin]],NA())</f>
        <v>#N/A</v>
      </c>
    </row>
    <row r="476" spans="1:22" x14ac:dyDescent="0.25">
      <c r="A476" s="5">
        <v>4</v>
      </c>
      <c r="B476" s="5">
        <v>114</v>
      </c>
      <c r="C476" s="5">
        <v>64</v>
      </c>
      <c r="D476" s="5" t="s">
        <v>23</v>
      </c>
      <c r="E476" s="5">
        <v>29</v>
      </c>
      <c r="F476" s="5">
        <v>125</v>
      </c>
      <c r="G476" s="5">
        <v>28.9</v>
      </c>
      <c r="H476" s="5" t="s">
        <v>30</v>
      </c>
      <c r="I476" s="5">
        <v>0.126</v>
      </c>
      <c r="J476" s="5">
        <v>24</v>
      </c>
      <c r="K476" s="5" t="s">
        <v>35</v>
      </c>
      <c r="L476" s="15">
        <v>0</v>
      </c>
      <c r="M476" s="5" t="s">
        <v>57</v>
      </c>
      <c r="N476" s="5" t="s">
        <v>56</v>
      </c>
      <c r="O476" s="5" t="s">
        <v>31</v>
      </c>
      <c r="R476" s="5">
        <f>IF(diabetesoriginal[[#This Row],[Diabetes]]=$R$1,diabetesoriginal[[#This Row],[Skin Thickness]],NA())</f>
        <v>29</v>
      </c>
      <c r="S476" s="5" t="e">
        <f>IF(diabetesoriginal[[#This Row],[Diabetes]]=$S$1,diabetesoriginal[[#This Row],[Skin Thickness]],NA())</f>
        <v>#N/A</v>
      </c>
      <c r="U476" s="5">
        <f>IF(diabetesoriginal[[#This Row],[Diabetes]]=$U$1,diabetesoriginal[[#This Row],[Insulin]],NA())</f>
        <v>125</v>
      </c>
      <c r="V476" s="5" t="e">
        <f>IF(diabetesoriginal[[#This Row],[Diabetes]]=$S$1,diabetesoriginal[[#This Row],[Insulin]],NA())</f>
        <v>#N/A</v>
      </c>
    </row>
    <row r="477" spans="1:22" x14ac:dyDescent="0.25">
      <c r="A477" s="5">
        <v>0</v>
      </c>
      <c r="B477" s="5">
        <v>137</v>
      </c>
      <c r="C477" s="5">
        <v>84</v>
      </c>
      <c r="D477" s="5" t="s">
        <v>25</v>
      </c>
      <c r="E477" s="5">
        <v>27</v>
      </c>
      <c r="F477" s="5">
        <v>125</v>
      </c>
      <c r="G477" s="5">
        <v>27.3</v>
      </c>
      <c r="H477" s="5" t="s">
        <v>30</v>
      </c>
      <c r="I477" s="5">
        <v>0.23100000000000001</v>
      </c>
      <c r="J477" s="5">
        <v>59</v>
      </c>
      <c r="K477" s="5" t="s">
        <v>38</v>
      </c>
      <c r="L477" s="15">
        <v>0</v>
      </c>
      <c r="M477" s="5" t="s">
        <v>57</v>
      </c>
      <c r="N477" s="5" t="s">
        <v>56</v>
      </c>
      <c r="O477" s="5" t="s">
        <v>31</v>
      </c>
      <c r="R477" s="5">
        <f>IF(diabetesoriginal[[#This Row],[Diabetes]]=$R$1,diabetesoriginal[[#This Row],[Skin Thickness]],NA())</f>
        <v>27</v>
      </c>
      <c r="S477" s="5" t="e">
        <f>IF(diabetesoriginal[[#This Row],[Diabetes]]=$S$1,diabetesoriginal[[#This Row],[Skin Thickness]],NA())</f>
        <v>#N/A</v>
      </c>
      <c r="U477" s="5">
        <f>IF(diabetesoriginal[[#This Row],[Diabetes]]=$U$1,diabetesoriginal[[#This Row],[Insulin]],NA())</f>
        <v>125</v>
      </c>
      <c r="V477" s="5" t="e">
        <f>IF(diabetesoriginal[[#This Row],[Diabetes]]=$S$1,diabetesoriginal[[#This Row],[Insulin]],NA())</f>
        <v>#N/A</v>
      </c>
    </row>
    <row r="478" spans="1:22" x14ac:dyDescent="0.25">
      <c r="A478" s="5">
        <v>2</v>
      </c>
      <c r="B478" s="5">
        <v>105</v>
      </c>
      <c r="C478" s="5">
        <v>80</v>
      </c>
      <c r="D478" s="5" t="s">
        <v>25</v>
      </c>
      <c r="E478" s="5">
        <v>45</v>
      </c>
      <c r="F478" s="5">
        <v>191</v>
      </c>
      <c r="G478" s="5">
        <v>33.700000000000003</v>
      </c>
      <c r="H478" s="5" t="s">
        <v>29</v>
      </c>
      <c r="I478" s="5">
        <v>0.71099999999999997</v>
      </c>
      <c r="J478" s="5">
        <v>29</v>
      </c>
      <c r="K478" s="5" t="s">
        <v>35</v>
      </c>
      <c r="L478" s="15">
        <v>1</v>
      </c>
      <c r="M478" s="5" t="s">
        <v>57</v>
      </c>
      <c r="N478" s="5" t="s">
        <v>56</v>
      </c>
      <c r="O478" s="5" t="s">
        <v>59</v>
      </c>
      <c r="R478" s="5" t="e">
        <f>IF(diabetesoriginal[[#This Row],[Diabetes]]=$R$1,diabetesoriginal[[#This Row],[Skin Thickness]],NA())</f>
        <v>#N/A</v>
      </c>
      <c r="S478" s="5">
        <f>IF(diabetesoriginal[[#This Row],[Diabetes]]=$S$1,diabetesoriginal[[#This Row],[Skin Thickness]],NA())</f>
        <v>45</v>
      </c>
      <c r="U478" s="5" t="e">
        <f>IF(diabetesoriginal[[#This Row],[Diabetes]]=$U$1,diabetesoriginal[[#This Row],[Insulin]],NA())</f>
        <v>#N/A</v>
      </c>
      <c r="V478" s="5">
        <f>IF(diabetesoriginal[[#This Row],[Diabetes]]=$S$1,diabetesoriginal[[#This Row],[Insulin]],NA())</f>
        <v>191</v>
      </c>
    </row>
    <row r="479" spans="1:22" x14ac:dyDescent="0.25">
      <c r="A479" s="5">
        <v>7</v>
      </c>
      <c r="B479" s="5">
        <v>114</v>
      </c>
      <c r="C479" s="5">
        <v>76</v>
      </c>
      <c r="D479" s="5" t="s">
        <v>23</v>
      </c>
      <c r="E479" s="5">
        <v>17</v>
      </c>
      <c r="F479" s="5">
        <v>110</v>
      </c>
      <c r="G479" s="5">
        <v>23.8</v>
      </c>
      <c r="H479" s="5" t="s">
        <v>31</v>
      </c>
      <c r="I479" s="5">
        <v>0.46600000000000003</v>
      </c>
      <c r="J479" s="5">
        <v>31</v>
      </c>
      <c r="K479" s="5" t="s">
        <v>36</v>
      </c>
      <c r="L479" s="15">
        <v>0</v>
      </c>
      <c r="M479" s="5" t="s">
        <v>57</v>
      </c>
      <c r="N479" s="5" t="s">
        <v>58</v>
      </c>
      <c r="O479" s="5" t="s">
        <v>31</v>
      </c>
      <c r="R479" s="5">
        <f>IF(diabetesoriginal[[#This Row],[Diabetes]]=$R$1,diabetesoriginal[[#This Row],[Skin Thickness]],NA())</f>
        <v>17</v>
      </c>
      <c r="S479" s="5" t="e">
        <f>IF(diabetesoriginal[[#This Row],[Diabetes]]=$S$1,diabetesoriginal[[#This Row],[Skin Thickness]],NA())</f>
        <v>#N/A</v>
      </c>
      <c r="U479" s="5">
        <f>IF(diabetesoriginal[[#This Row],[Diabetes]]=$U$1,diabetesoriginal[[#This Row],[Insulin]],NA())</f>
        <v>110</v>
      </c>
      <c r="V479" s="5" t="e">
        <f>IF(diabetesoriginal[[#This Row],[Diabetes]]=$S$1,diabetesoriginal[[#This Row],[Insulin]],NA())</f>
        <v>#N/A</v>
      </c>
    </row>
    <row r="480" spans="1:22" x14ac:dyDescent="0.25">
      <c r="A480" s="5">
        <v>8</v>
      </c>
      <c r="B480" s="5">
        <v>126</v>
      </c>
      <c r="C480" s="5">
        <v>74</v>
      </c>
      <c r="D480" s="5" t="s">
        <v>23</v>
      </c>
      <c r="E480" s="5">
        <v>38</v>
      </c>
      <c r="F480" s="5">
        <v>75</v>
      </c>
      <c r="G480" s="5">
        <v>25.9</v>
      </c>
      <c r="H480" s="5" t="s">
        <v>30</v>
      </c>
      <c r="I480" s="5">
        <v>0.16200000000000001</v>
      </c>
      <c r="J480" s="5">
        <v>39</v>
      </c>
      <c r="K480" s="5" t="s">
        <v>36</v>
      </c>
      <c r="L480" s="15">
        <v>0</v>
      </c>
      <c r="M480" s="5" t="s">
        <v>57</v>
      </c>
      <c r="N480" s="5" t="s">
        <v>56</v>
      </c>
      <c r="O480" s="5" t="s">
        <v>31</v>
      </c>
      <c r="R480" s="5">
        <f>IF(diabetesoriginal[[#This Row],[Diabetes]]=$R$1,diabetesoriginal[[#This Row],[Skin Thickness]],NA())</f>
        <v>38</v>
      </c>
      <c r="S480" s="5" t="e">
        <f>IF(diabetesoriginal[[#This Row],[Diabetes]]=$S$1,diabetesoriginal[[#This Row],[Skin Thickness]],NA())</f>
        <v>#N/A</v>
      </c>
      <c r="U480" s="5">
        <f>IF(diabetesoriginal[[#This Row],[Diabetes]]=$U$1,diabetesoriginal[[#This Row],[Insulin]],NA())</f>
        <v>75</v>
      </c>
      <c r="V480" s="5" t="e">
        <f>IF(diabetesoriginal[[#This Row],[Diabetes]]=$S$1,diabetesoriginal[[#This Row],[Insulin]],NA())</f>
        <v>#N/A</v>
      </c>
    </row>
    <row r="481" spans="1:22" x14ac:dyDescent="0.25">
      <c r="A481" s="5">
        <v>4</v>
      </c>
      <c r="B481" s="5">
        <v>132</v>
      </c>
      <c r="C481" s="5">
        <v>86</v>
      </c>
      <c r="D481" s="5" t="s">
        <v>25</v>
      </c>
      <c r="E481" s="5">
        <v>31</v>
      </c>
      <c r="F481" s="5">
        <v>125</v>
      </c>
      <c r="G481" s="5">
        <v>28</v>
      </c>
      <c r="H481" s="5" t="s">
        <v>30</v>
      </c>
      <c r="I481" s="5">
        <v>0.41899999999999998</v>
      </c>
      <c r="J481" s="5">
        <v>63</v>
      </c>
      <c r="K481" s="5" t="s">
        <v>39</v>
      </c>
      <c r="L481" s="15">
        <v>0</v>
      </c>
      <c r="M481" s="5" t="s">
        <v>57</v>
      </c>
      <c r="N481" s="5" t="s">
        <v>56</v>
      </c>
      <c r="O481" s="5" t="s">
        <v>31</v>
      </c>
      <c r="R481" s="5">
        <f>IF(diabetesoriginal[[#This Row],[Diabetes]]=$R$1,diabetesoriginal[[#This Row],[Skin Thickness]],NA())</f>
        <v>31</v>
      </c>
      <c r="S481" s="5" t="e">
        <f>IF(diabetesoriginal[[#This Row],[Diabetes]]=$S$1,diabetesoriginal[[#This Row],[Skin Thickness]],NA())</f>
        <v>#N/A</v>
      </c>
      <c r="U481" s="5">
        <f>IF(diabetesoriginal[[#This Row],[Diabetes]]=$U$1,diabetesoriginal[[#This Row],[Insulin]],NA())</f>
        <v>125</v>
      </c>
      <c r="V481" s="5" t="e">
        <f>IF(diabetesoriginal[[#This Row],[Diabetes]]=$S$1,diabetesoriginal[[#This Row],[Insulin]],NA())</f>
        <v>#N/A</v>
      </c>
    </row>
    <row r="482" spans="1:22" x14ac:dyDescent="0.25">
      <c r="A482" s="5">
        <v>3</v>
      </c>
      <c r="B482" s="5">
        <v>158</v>
      </c>
      <c r="C482" s="5">
        <v>70</v>
      </c>
      <c r="D482" s="5" t="s">
        <v>23</v>
      </c>
      <c r="E482" s="5">
        <v>30</v>
      </c>
      <c r="F482" s="5">
        <v>328</v>
      </c>
      <c r="G482" s="5">
        <v>35.5</v>
      </c>
      <c r="H482" s="5" t="s">
        <v>29</v>
      </c>
      <c r="I482" s="5">
        <v>0.34399999999999997</v>
      </c>
      <c r="J482" s="5">
        <v>35</v>
      </c>
      <c r="K482" s="5" t="s">
        <v>36</v>
      </c>
      <c r="L482" s="15">
        <v>1</v>
      </c>
      <c r="M482" s="5" t="s">
        <v>22</v>
      </c>
      <c r="N482" s="5" t="s">
        <v>56</v>
      </c>
      <c r="O482" s="5" t="s">
        <v>59</v>
      </c>
      <c r="R482" s="5" t="e">
        <f>IF(diabetesoriginal[[#This Row],[Diabetes]]=$R$1,diabetesoriginal[[#This Row],[Skin Thickness]],NA())</f>
        <v>#N/A</v>
      </c>
      <c r="S482" s="5">
        <f>IF(diabetesoriginal[[#This Row],[Diabetes]]=$S$1,diabetesoriginal[[#This Row],[Skin Thickness]],NA())</f>
        <v>30</v>
      </c>
      <c r="U482" s="5" t="e">
        <f>IF(diabetesoriginal[[#This Row],[Diabetes]]=$U$1,diabetesoriginal[[#This Row],[Insulin]],NA())</f>
        <v>#N/A</v>
      </c>
      <c r="V482" s="5">
        <f>IF(diabetesoriginal[[#This Row],[Diabetes]]=$S$1,diabetesoriginal[[#This Row],[Insulin]],NA())</f>
        <v>328</v>
      </c>
    </row>
    <row r="483" spans="1:22" x14ac:dyDescent="0.25">
      <c r="A483" s="5">
        <v>0</v>
      </c>
      <c r="B483" s="5">
        <v>123</v>
      </c>
      <c r="C483" s="5">
        <v>88</v>
      </c>
      <c r="D483" s="5" t="s">
        <v>25</v>
      </c>
      <c r="E483" s="5">
        <v>37</v>
      </c>
      <c r="F483" s="5">
        <v>125</v>
      </c>
      <c r="G483" s="5">
        <v>35.200000000000003</v>
      </c>
      <c r="H483" s="5" t="s">
        <v>29</v>
      </c>
      <c r="I483" s="5">
        <v>0.19700000000000001</v>
      </c>
      <c r="J483" s="5">
        <v>29</v>
      </c>
      <c r="K483" s="5" t="s">
        <v>35</v>
      </c>
      <c r="L483" s="15">
        <v>0</v>
      </c>
      <c r="M483" s="5" t="s">
        <v>57</v>
      </c>
      <c r="N483" s="5" t="s">
        <v>56</v>
      </c>
      <c r="O483" s="5" t="s">
        <v>31</v>
      </c>
      <c r="R483" s="5">
        <f>IF(diabetesoriginal[[#This Row],[Diabetes]]=$R$1,diabetesoriginal[[#This Row],[Skin Thickness]],NA())</f>
        <v>37</v>
      </c>
      <c r="S483" s="5" t="e">
        <f>IF(diabetesoriginal[[#This Row],[Diabetes]]=$S$1,diabetesoriginal[[#This Row],[Skin Thickness]],NA())</f>
        <v>#N/A</v>
      </c>
      <c r="U483" s="5">
        <f>IF(diabetesoriginal[[#This Row],[Diabetes]]=$U$1,diabetesoriginal[[#This Row],[Insulin]],NA())</f>
        <v>125</v>
      </c>
      <c r="V483" s="5" t="e">
        <f>IF(diabetesoriginal[[#This Row],[Diabetes]]=$S$1,diabetesoriginal[[#This Row],[Insulin]],NA())</f>
        <v>#N/A</v>
      </c>
    </row>
    <row r="484" spans="1:22" x14ac:dyDescent="0.25">
      <c r="A484" s="5">
        <v>4</v>
      </c>
      <c r="B484" s="5">
        <v>85</v>
      </c>
      <c r="C484" s="5">
        <v>58</v>
      </c>
      <c r="D484" s="5" t="s">
        <v>23</v>
      </c>
      <c r="E484" s="5">
        <v>22</v>
      </c>
      <c r="F484" s="5">
        <v>49</v>
      </c>
      <c r="G484" s="5">
        <v>27.8</v>
      </c>
      <c r="H484" s="5" t="s">
        <v>30</v>
      </c>
      <c r="I484" s="5">
        <v>0.30599999999999999</v>
      </c>
      <c r="J484" s="5">
        <v>28</v>
      </c>
      <c r="K484" s="5" t="s">
        <v>35</v>
      </c>
      <c r="L484" s="15">
        <v>0</v>
      </c>
      <c r="M484" s="5" t="s">
        <v>57</v>
      </c>
      <c r="N484" s="5" t="s">
        <v>58</v>
      </c>
      <c r="O484" s="5" t="s">
        <v>31</v>
      </c>
      <c r="R484" s="5">
        <f>IF(diabetesoriginal[[#This Row],[Diabetes]]=$R$1,diabetesoriginal[[#This Row],[Skin Thickness]],NA())</f>
        <v>22</v>
      </c>
      <c r="S484" s="5" t="e">
        <f>IF(diabetesoriginal[[#This Row],[Diabetes]]=$S$1,diabetesoriginal[[#This Row],[Skin Thickness]],NA())</f>
        <v>#N/A</v>
      </c>
      <c r="U484" s="5">
        <f>IF(diabetesoriginal[[#This Row],[Diabetes]]=$U$1,diabetesoriginal[[#This Row],[Insulin]],NA())</f>
        <v>49</v>
      </c>
      <c r="V484" s="5" t="e">
        <f>IF(diabetesoriginal[[#This Row],[Diabetes]]=$S$1,diabetesoriginal[[#This Row],[Insulin]],NA())</f>
        <v>#N/A</v>
      </c>
    </row>
    <row r="485" spans="1:22" x14ac:dyDescent="0.25">
      <c r="A485" s="5">
        <v>0</v>
      </c>
      <c r="B485" s="5">
        <v>84</v>
      </c>
      <c r="C485" s="5">
        <v>82</v>
      </c>
      <c r="D485" s="5" t="s">
        <v>25</v>
      </c>
      <c r="E485" s="5">
        <v>31</v>
      </c>
      <c r="F485" s="5">
        <v>125</v>
      </c>
      <c r="G485" s="5">
        <v>38.200000000000003</v>
      </c>
      <c r="H485" s="5" t="s">
        <v>29</v>
      </c>
      <c r="I485" s="5">
        <v>0.23300000000000001</v>
      </c>
      <c r="J485" s="5">
        <v>23</v>
      </c>
      <c r="K485" s="5" t="s">
        <v>35</v>
      </c>
      <c r="L485" s="15">
        <v>0</v>
      </c>
      <c r="M485" s="5" t="s">
        <v>57</v>
      </c>
      <c r="N485" s="5" t="s">
        <v>56</v>
      </c>
      <c r="O485" s="5" t="s">
        <v>31</v>
      </c>
      <c r="R485" s="5">
        <f>IF(diabetesoriginal[[#This Row],[Diabetes]]=$R$1,diabetesoriginal[[#This Row],[Skin Thickness]],NA())</f>
        <v>31</v>
      </c>
      <c r="S485" s="5" t="e">
        <f>IF(diabetesoriginal[[#This Row],[Diabetes]]=$S$1,diabetesoriginal[[#This Row],[Skin Thickness]],NA())</f>
        <v>#N/A</v>
      </c>
      <c r="U485" s="5">
        <f>IF(diabetesoriginal[[#This Row],[Diabetes]]=$U$1,diabetesoriginal[[#This Row],[Insulin]],NA())</f>
        <v>125</v>
      </c>
      <c r="V485" s="5" t="e">
        <f>IF(diabetesoriginal[[#This Row],[Diabetes]]=$S$1,diabetesoriginal[[#This Row],[Insulin]],NA())</f>
        <v>#N/A</v>
      </c>
    </row>
    <row r="486" spans="1:22" x14ac:dyDescent="0.25">
      <c r="A486" s="5">
        <v>0</v>
      </c>
      <c r="B486" s="5">
        <v>145</v>
      </c>
      <c r="C486" s="5">
        <v>72</v>
      </c>
      <c r="D486" s="5" t="s">
        <v>23</v>
      </c>
      <c r="E486" s="5">
        <v>29</v>
      </c>
      <c r="F486" s="5">
        <v>125</v>
      </c>
      <c r="G486" s="5">
        <v>44.2</v>
      </c>
      <c r="H486" s="5" t="s">
        <v>32</v>
      </c>
      <c r="I486" s="5">
        <v>0.63</v>
      </c>
      <c r="J486" s="5">
        <v>31</v>
      </c>
      <c r="K486" s="5" t="s">
        <v>36</v>
      </c>
      <c r="L486" s="15">
        <v>1</v>
      </c>
      <c r="M486" s="5" t="s">
        <v>22</v>
      </c>
      <c r="N486" s="5" t="s">
        <v>56</v>
      </c>
      <c r="O486" s="5" t="s">
        <v>31</v>
      </c>
      <c r="R486" s="5" t="e">
        <f>IF(diabetesoriginal[[#This Row],[Diabetes]]=$R$1,diabetesoriginal[[#This Row],[Skin Thickness]],NA())</f>
        <v>#N/A</v>
      </c>
      <c r="S486" s="5">
        <f>IF(diabetesoriginal[[#This Row],[Diabetes]]=$S$1,diabetesoriginal[[#This Row],[Skin Thickness]],NA())</f>
        <v>29</v>
      </c>
      <c r="U486" s="5" t="e">
        <f>IF(diabetesoriginal[[#This Row],[Diabetes]]=$U$1,diabetesoriginal[[#This Row],[Insulin]],NA())</f>
        <v>#N/A</v>
      </c>
      <c r="V486" s="5">
        <f>IF(diabetesoriginal[[#This Row],[Diabetes]]=$S$1,diabetesoriginal[[#This Row],[Insulin]],NA())</f>
        <v>125</v>
      </c>
    </row>
    <row r="487" spans="1:22" x14ac:dyDescent="0.25">
      <c r="A487" s="5">
        <v>0</v>
      </c>
      <c r="B487" s="5">
        <v>135</v>
      </c>
      <c r="C487" s="5">
        <v>68</v>
      </c>
      <c r="D487" s="5" t="s">
        <v>23</v>
      </c>
      <c r="E487" s="5">
        <v>42</v>
      </c>
      <c r="F487" s="5">
        <v>250</v>
      </c>
      <c r="G487" s="5">
        <v>42.3</v>
      </c>
      <c r="H487" s="5" t="s">
        <v>32</v>
      </c>
      <c r="I487" s="5">
        <v>0.36499999999999999</v>
      </c>
      <c r="J487" s="5">
        <v>24</v>
      </c>
      <c r="K487" s="5" t="s">
        <v>35</v>
      </c>
      <c r="L487" s="15">
        <v>1</v>
      </c>
      <c r="M487" s="5" t="s">
        <v>57</v>
      </c>
      <c r="N487" s="5" t="s">
        <v>56</v>
      </c>
      <c r="O487" s="5" t="s">
        <v>59</v>
      </c>
      <c r="R487" s="5" t="e">
        <f>IF(diabetesoriginal[[#This Row],[Diabetes]]=$R$1,diabetesoriginal[[#This Row],[Skin Thickness]],NA())</f>
        <v>#N/A</v>
      </c>
      <c r="S487" s="5">
        <f>IF(diabetesoriginal[[#This Row],[Diabetes]]=$S$1,diabetesoriginal[[#This Row],[Skin Thickness]],NA())</f>
        <v>42</v>
      </c>
      <c r="U487" s="5" t="e">
        <f>IF(diabetesoriginal[[#This Row],[Diabetes]]=$U$1,diabetesoriginal[[#This Row],[Insulin]],NA())</f>
        <v>#N/A</v>
      </c>
      <c r="V487" s="5">
        <f>IF(diabetesoriginal[[#This Row],[Diabetes]]=$S$1,diabetesoriginal[[#This Row],[Insulin]],NA())</f>
        <v>250</v>
      </c>
    </row>
    <row r="488" spans="1:22" x14ac:dyDescent="0.25">
      <c r="A488" s="5">
        <v>1</v>
      </c>
      <c r="B488" s="5">
        <v>139</v>
      </c>
      <c r="C488" s="5">
        <v>62</v>
      </c>
      <c r="D488" s="5" t="s">
        <v>23</v>
      </c>
      <c r="E488" s="5">
        <v>41</v>
      </c>
      <c r="F488" s="5">
        <v>480</v>
      </c>
      <c r="G488" s="5">
        <v>40.700000000000003</v>
      </c>
      <c r="H488" s="5" t="s">
        <v>32</v>
      </c>
      <c r="I488" s="5">
        <v>0.53600000000000003</v>
      </c>
      <c r="J488" s="5">
        <v>21</v>
      </c>
      <c r="K488" s="5" t="s">
        <v>35</v>
      </c>
      <c r="L488" s="15">
        <v>0</v>
      </c>
      <c r="M488" s="5" t="s">
        <v>57</v>
      </c>
      <c r="N488" s="5" t="s">
        <v>56</v>
      </c>
      <c r="O488" s="5" t="s">
        <v>59</v>
      </c>
      <c r="R488" s="5">
        <f>IF(diabetesoriginal[[#This Row],[Diabetes]]=$R$1,diabetesoriginal[[#This Row],[Skin Thickness]],NA())</f>
        <v>41</v>
      </c>
      <c r="S488" s="5" t="e">
        <f>IF(diabetesoriginal[[#This Row],[Diabetes]]=$S$1,diabetesoriginal[[#This Row],[Skin Thickness]],NA())</f>
        <v>#N/A</v>
      </c>
      <c r="U488" s="5">
        <f>IF(diabetesoriginal[[#This Row],[Diabetes]]=$U$1,diabetesoriginal[[#This Row],[Insulin]],NA())</f>
        <v>480</v>
      </c>
      <c r="V488" s="5" t="e">
        <f>IF(diabetesoriginal[[#This Row],[Diabetes]]=$S$1,diabetesoriginal[[#This Row],[Insulin]],NA())</f>
        <v>#N/A</v>
      </c>
    </row>
    <row r="489" spans="1:22" x14ac:dyDescent="0.25">
      <c r="A489" s="5">
        <v>0</v>
      </c>
      <c r="B489" s="5">
        <v>173</v>
      </c>
      <c r="C489" s="5">
        <v>78</v>
      </c>
      <c r="D489" s="5" t="s">
        <v>23</v>
      </c>
      <c r="E489" s="5">
        <v>32</v>
      </c>
      <c r="F489" s="5">
        <v>265</v>
      </c>
      <c r="G489" s="5">
        <v>46.5</v>
      </c>
      <c r="H489" s="5" t="s">
        <v>32</v>
      </c>
      <c r="I489" s="5">
        <v>1.159</v>
      </c>
      <c r="J489" s="5">
        <v>58</v>
      </c>
      <c r="K489" s="5" t="s">
        <v>38</v>
      </c>
      <c r="L489" s="15">
        <v>0</v>
      </c>
      <c r="M489" s="5" t="s">
        <v>22</v>
      </c>
      <c r="N489" s="5" t="s">
        <v>56</v>
      </c>
      <c r="O489" s="5" t="s">
        <v>59</v>
      </c>
      <c r="R489" s="5">
        <f>IF(diabetesoriginal[[#This Row],[Diabetes]]=$R$1,diabetesoriginal[[#This Row],[Skin Thickness]],NA())</f>
        <v>32</v>
      </c>
      <c r="S489" s="5" t="e">
        <f>IF(diabetesoriginal[[#This Row],[Diabetes]]=$S$1,diabetesoriginal[[#This Row],[Skin Thickness]],NA())</f>
        <v>#N/A</v>
      </c>
      <c r="U489" s="5">
        <f>IF(diabetesoriginal[[#This Row],[Diabetes]]=$U$1,diabetesoriginal[[#This Row],[Insulin]],NA())</f>
        <v>265</v>
      </c>
      <c r="V489" s="5" t="e">
        <f>IF(diabetesoriginal[[#This Row],[Diabetes]]=$S$1,diabetesoriginal[[#This Row],[Insulin]],NA())</f>
        <v>#N/A</v>
      </c>
    </row>
    <row r="490" spans="1:22" x14ac:dyDescent="0.25">
      <c r="A490" s="5">
        <v>4</v>
      </c>
      <c r="B490" s="5">
        <v>99</v>
      </c>
      <c r="C490" s="5">
        <v>72</v>
      </c>
      <c r="D490" s="5" t="s">
        <v>23</v>
      </c>
      <c r="E490" s="5">
        <v>17</v>
      </c>
      <c r="F490" s="5">
        <v>125</v>
      </c>
      <c r="G490" s="5">
        <v>25.6</v>
      </c>
      <c r="H490" s="5" t="s">
        <v>30</v>
      </c>
      <c r="I490" s="5">
        <v>0.29399999999999998</v>
      </c>
      <c r="J490" s="5">
        <v>28</v>
      </c>
      <c r="K490" s="5" t="s">
        <v>35</v>
      </c>
      <c r="L490" s="15">
        <v>0</v>
      </c>
      <c r="M490" s="5" t="s">
        <v>57</v>
      </c>
      <c r="N490" s="5" t="s">
        <v>58</v>
      </c>
      <c r="O490" s="5" t="s">
        <v>31</v>
      </c>
      <c r="R490" s="5">
        <f>IF(diabetesoriginal[[#This Row],[Diabetes]]=$R$1,diabetesoriginal[[#This Row],[Skin Thickness]],NA())</f>
        <v>17</v>
      </c>
      <c r="S490" s="5" t="e">
        <f>IF(diabetesoriginal[[#This Row],[Diabetes]]=$S$1,diabetesoriginal[[#This Row],[Skin Thickness]],NA())</f>
        <v>#N/A</v>
      </c>
      <c r="U490" s="5">
        <f>IF(diabetesoriginal[[#This Row],[Diabetes]]=$U$1,diabetesoriginal[[#This Row],[Insulin]],NA())</f>
        <v>125</v>
      </c>
      <c r="V490" s="5" t="e">
        <f>IF(diabetesoriginal[[#This Row],[Diabetes]]=$S$1,diabetesoriginal[[#This Row],[Insulin]],NA())</f>
        <v>#N/A</v>
      </c>
    </row>
    <row r="491" spans="1:22" x14ac:dyDescent="0.25">
      <c r="A491" s="5">
        <v>8</v>
      </c>
      <c r="B491" s="5">
        <v>194</v>
      </c>
      <c r="C491" s="5">
        <v>80</v>
      </c>
      <c r="D491" s="5" t="s">
        <v>25</v>
      </c>
      <c r="E491" s="5">
        <v>29</v>
      </c>
      <c r="F491" s="5">
        <v>125</v>
      </c>
      <c r="G491" s="5">
        <v>26.1</v>
      </c>
      <c r="H491" s="5" t="s">
        <v>30</v>
      </c>
      <c r="I491" s="5">
        <v>0.55100000000000005</v>
      </c>
      <c r="J491" s="5">
        <v>67</v>
      </c>
      <c r="K491" s="5" t="s">
        <v>39</v>
      </c>
      <c r="L491" s="15">
        <v>0</v>
      </c>
      <c r="M491" s="5" t="s">
        <v>22</v>
      </c>
      <c r="N491" s="5" t="s">
        <v>56</v>
      </c>
      <c r="O491" s="5" t="s">
        <v>31</v>
      </c>
      <c r="R491" s="5">
        <f>IF(diabetesoriginal[[#This Row],[Diabetes]]=$R$1,diabetesoriginal[[#This Row],[Skin Thickness]],NA())</f>
        <v>29</v>
      </c>
      <c r="S491" s="5" t="e">
        <f>IF(diabetesoriginal[[#This Row],[Diabetes]]=$S$1,diabetesoriginal[[#This Row],[Skin Thickness]],NA())</f>
        <v>#N/A</v>
      </c>
      <c r="U491" s="5">
        <f>IF(diabetesoriginal[[#This Row],[Diabetes]]=$U$1,diabetesoriginal[[#This Row],[Insulin]],NA())</f>
        <v>125</v>
      </c>
      <c r="V491" s="5" t="e">
        <f>IF(diabetesoriginal[[#This Row],[Diabetes]]=$S$1,diabetesoriginal[[#This Row],[Insulin]],NA())</f>
        <v>#N/A</v>
      </c>
    </row>
    <row r="492" spans="1:22" x14ac:dyDescent="0.25">
      <c r="A492" s="5">
        <v>2</v>
      </c>
      <c r="B492" s="5">
        <v>83</v>
      </c>
      <c r="C492" s="5">
        <v>65</v>
      </c>
      <c r="D492" s="5" t="s">
        <v>23</v>
      </c>
      <c r="E492" s="5">
        <v>28</v>
      </c>
      <c r="F492" s="5">
        <v>66</v>
      </c>
      <c r="G492" s="5">
        <v>36.799999999999997</v>
      </c>
      <c r="H492" s="5" t="s">
        <v>29</v>
      </c>
      <c r="I492" s="5">
        <v>0.629</v>
      </c>
      <c r="J492" s="5">
        <v>24</v>
      </c>
      <c r="K492" s="5" t="s">
        <v>35</v>
      </c>
      <c r="L492" s="15">
        <v>0</v>
      </c>
      <c r="M492" s="5" t="s">
        <v>57</v>
      </c>
      <c r="N492" s="5" t="s">
        <v>56</v>
      </c>
      <c r="O492" s="5" t="s">
        <v>31</v>
      </c>
      <c r="R492" s="5">
        <f>IF(diabetesoriginal[[#This Row],[Diabetes]]=$R$1,diabetesoriginal[[#This Row],[Skin Thickness]],NA())</f>
        <v>28</v>
      </c>
      <c r="S492" s="5" t="e">
        <f>IF(diabetesoriginal[[#This Row],[Diabetes]]=$S$1,diabetesoriginal[[#This Row],[Skin Thickness]],NA())</f>
        <v>#N/A</v>
      </c>
      <c r="U492" s="5">
        <f>IF(diabetesoriginal[[#This Row],[Diabetes]]=$U$1,diabetesoriginal[[#This Row],[Insulin]],NA())</f>
        <v>66</v>
      </c>
      <c r="V492" s="5" t="e">
        <f>IF(diabetesoriginal[[#This Row],[Diabetes]]=$S$1,diabetesoriginal[[#This Row],[Insulin]],NA())</f>
        <v>#N/A</v>
      </c>
    </row>
    <row r="493" spans="1:22" x14ac:dyDescent="0.25">
      <c r="A493" s="5">
        <v>2</v>
      </c>
      <c r="B493" s="5">
        <v>89</v>
      </c>
      <c r="C493" s="5">
        <v>90</v>
      </c>
      <c r="D493" s="5" t="s">
        <v>24</v>
      </c>
      <c r="E493" s="5">
        <v>30</v>
      </c>
      <c r="F493" s="5">
        <v>125</v>
      </c>
      <c r="G493" s="5">
        <v>33.5</v>
      </c>
      <c r="H493" s="5" t="s">
        <v>29</v>
      </c>
      <c r="I493" s="5">
        <v>0.29199999999999998</v>
      </c>
      <c r="J493" s="5">
        <v>42</v>
      </c>
      <c r="K493" s="5" t="s">
        <v>37</v>
      </c>
      <c r="L493" s="15">
        <v>0</v>
      </c>
      <c r="M493" s="5" t="s">
        <v>57</v>
      </c>
      <c r="N493" s="5" t="s">
        <v>56</v>
      </c>
      <c r="O493" s="5" t="s">
        <v>31</v>
      </c>
      <c r="R493" s="5">
        <f>IF(diabetesoriginal[[#This Row],[Diabetes]]=$R$1,diabetesoriginal[[#This Row],[Skin Thickness]],NA())</f>
        <v>30</v>
      </c>
      <c r="S493" s="5" t="e">
        <f>IF(diabetesoriginal[[#This Row],[Diabetes]]=$S$1,diabetesoriginal[[#This Row],[Skin Thickness]],NA())</f>
        <v>#N/A</v>
      </c>
      <c r="U493" s="5">
        <f>IF(diabetesoriginal[[#This Row],[Diabetes]]=$U$1,diabetesoriginal[[#This Row],[Insulin]],NA())</f>
        <v>125</v>
      </c>
      <c r="V493" s="5" t="e">
        <f>IF(diabetesoriginal[[#This Row],[Diabetes]]=$S$1,diabetesoriginal[[#This Row],[Insulin]],NA())</f>
        <v>#N/A</v>
      </c>
    </row>
    <row r="494" spans="1:22" x14ac:dyDescent="0.25">
      <c r="A494" s="5">
        <v>4</v>
      </c>
      <c r="B494" s="5">
        <v>99</v>
      </c>
      <c r="C494" s="5">
        <v>68</v>
      </c>
      <c r="D494" s="5" t="s">
        <v>23</v>
      </c>
      <c r="E494" s="5">
        <v>38</v>
      </c>
      <c r="F494" s="5">
        <v>125</v>
      </c>
      <c r="G494" s="5">
        <v>32.799999999999997</v>
      </c>
      <c r="H494" s="5" t="s">
        <v>29</v>
      </c>
      <c r="I494" s="5">
        <v>0.14499999999999999</v>
      </c>
      <c r="J494" s="5">
        <v>33</v>
      </c>
      <c r="K494" s="5" t="s">
        <v>36</v>
      </c>
      <c r="L494" s="15">
        <v>0</v>
      </c>
      <c r="M494" s="5" t="s">
        <v>57</v>
      </c>
      <c r="N494" s="5" t="s">
        <v>56</v>
      </c>
      <c r="O494" s="5" t="s">
        <v>31</v>
      </c>
      <c r="R494" s="5">
        <f>IF(diabetesoriginal[[#This Row],[Diabetes]]=$R$1,diabetesoriginal[[#This Row],[Skin Thickness]],NA())</f>
        <v>38</v>
      </c>
      <c r="S494" s="5" t="e">
        <f>IF(diabetesoriginal[[#This Row],[Diabetes]]=$S$1,diabetesoriginal[[#This Row],[Skin Thickness]],NA())</f>
        <v>#N/A</v>
      </c>
      <c r="U494" s="5">
        <f>IF(diabetesoriginal[[#This Row],[Diabetes]]=$U$1,diabetesoriginal[[#This Row],[Insulin]],NA())</f>
        <v>125</v>
      </c>
      <c r="V494" s="5" t="e">
        <f>IF(diabetesoriginal[[#This Row],[Diabetes]]=$S$1,diabetesoriginal[[#This Row],[Insulin]],NA())</f>
        <v>#N/A</v>
      </c>
    </row>
    <row r="495" spans="1:22" x14ac:dyDescent="0.25">
      <c r="A495" s="5">
        <v>4</v>
      </c>
      <c r="B495" s="5">
        <v>125</v>
      </c>
      <c r="C495" s="5">
        <v>70</v>
      </c>
      <c r="D495" s="5" t="s">
        <v>23</v>
      </c>
      <c r="E495" s="5">
        <v>18</v>
      </c>
      <c r="F495" s="5">
        <v>122</v>
      </c>
      <c r="G495" s="5">
        <v>28.9</v>
      </c>
      <c r="H495" s="5" t="s">
        <v>30</v>
      </c>
      <c r="I495" s="5">
        <v>1.1439999999999999</v>
      </c>
      <c r="J495" s="5">
        <v>45</v>
      </c>
      <c r="K495" s="5" t="s">
        <v>37</v>
      </c>
      <c r="L495" s="15">
        <v>1</v>
      </c>
      <c r="M495" s="5" t="s">
        <v>57</v>
      </c>
      <c r="N495" s="5" t="s">
        <v>58</v>
      </c>
      <c r="O495" s="5" t="s">
        <v>31</v>
      </c>
      <c r="R495" s="5" t="e">
        <f>IF(diabetesoriginal[[#This Row],[Diabetes]]=$R$1,diabetesoriginal[[#This Row],[Skin Thickness]],NA())</f>
        <v>#N/A</v>
      </c>
      <c r="S495" s="5">
        <f>IF(diabetesoriginal[[#This Row],[Diabetes]]=$S$1,diabetesoriginal[[#This Row],[Skin Thickness]],NA())</f>
        <v>18</v>
      </c>
      <c r="U495" s="5" t="e">
        <f>IF(diabetesoriginal[[#This Row],[Diabetes]]=$U$1,diabetesoriginal[[#This Row],[Insulin]],NA())</f>
        <v>#N/A</v>
      </c>
      <c r="V495" s="5">
        <f>IF(diabetesoriginal[[#This Row],[Diabetes]]=$S$1,diabetesoriginal[[#This Row],[Insulin]],NA())</f>
        <v>122</v>
      </c>
    </row>
    <row r="496" spans="1:22" x14ac:dyDescent="0.25">
      <c r="A496" s="5">
        <v>3</v>
      </c>
      <c r="B496" s="5">
        <v>80</v>
      </c>
      <c r="C496" s="5">
        <v>72</v>
      </c>
      <c r="D496" s="5" t="s">
        <v>23</v>
      </c>
      <c r="E496" s="5">
        <v>29</v>
      </c>
      <c r="F496" s="5">
        <v>125</v>
      </c>
      <c r="G496" s="5">
        <v>32.299999999999997</v>
      </c>
      <c r="H496" s="5" t="s">
        <v>29</v>
      </c>
      <c r="I496" s="5">
        <v>0.17399999999999999</v>
      </c>
      <c r="J496" s="5">
        <v>22</v>
      </c>
      <c r="K496" s="5" t="s">
        <v>35</v>
      </c>
      <c r="L496" s="15">
        <v>0</v>
      </c>
      <c r="M496" s="5" t="s">
        <v>57</v>
      </c>
      <c r="N496" s="5" t="s">
        <v>56</v>
      </c>
      <c r="O496" s="5" t="s">
        <v>31</v>
      </c>
      <c r="R496" s="5">
        <f>IF(diabetesoriginal[[#This Row],[Diabetes]]=$R$1,diabetesoriginal[[#This Row],[Skin Thickness]],NA())</f>
        <v>29</v>
      </c>
      <c r="S496" s="5" t="e">
        <f>IF(diabetesoriginal[[#This Row],[Diabetes]]=$S$1,diabetesoriginal[[#This Row],[Skin Thickness]],NA())</f>
        <v>#N/A</v>
      </c>
      <c r="U496" s="5">
        <f>IF(diabetesoriginal[[#This Row],[Diabetes]]=$U$1,diabetesoriginal[[#This Row],[Insulin]],NA())</f>
        <v>125</v>
      </c>
      <c r="V496" s="5" t="e">
        <f>IF(diabetesoriginal[[#This Row],[Diabetes]]=$S$1,diabetesoriginal[[#This Row],[Insulin]],NA())</f>
        <v>#N/A</v>
      </c>
    </row>
    <row r="497" spans="1:22" x14ac:dyDescent="0.25">
      <c r="A497" s="5">
        <v>6</v>
      </c>
      <c r="B497" s="5">
        <v>166</v>
      </c>
      <c r="C497" s="5">
        <v>74</v>
      </c>
      <c r="D497" s="5" t="s">
        <v>23</v>
      </c>
      <c r="E497" s="5">
        <v>29</v>
      </c>
      <c r="F497" s="5">
        <v>125</v>
      </c>
      <c r="G497" s="5">
        <v>26.6</v>
      </c>
      <c r="H497" s="5" t="s">
        <v>30</v>
      </c>
      <c r="I497" s="5">
        <v>0.30399999999999999</v>
      </c>
      <c r="J497" s="5">
        <v>66</v>
      </c>
      <c r="K497" s="5" t="s">
        <v>39</v>
      </c>
      <c r="L497" s="15">
        <v>0</v>
      </c>
      <c r="M497" s="5" t="s">
        <v>22</v>
      </c>
      <c r="N497" s="5" t="s">
        <v>56</v>
      </c>
      <c r="O497" s="5" t="s">
        <v>31</v>
      </c>
      <c r="R497" s="5">
        <f>IF(diabetesoriginal[[#This Row],[Diabetes]]=$R$1,diabetesoriginal[[#This Row],[Skin Thickness]],NA())</f>
        <v>29</v>
      </c>
      <c r="S497" s="5" t="e">
        <f>IF(diabetesoriginal[[#This Row],[Diabetes]]=$S$1,diabetesoriginal[[#This Row],[Skin Thickness]],NA())</f>
        <v>#N/A</v>
      </c>
      <c r="U497" s="5">
        <f>IF(diabetesoriginal[[#This Row],[Diabetes]]=$U$1,diabetesoriginal[[#This Row],[Insulin]],NA())</f>
        <v>125</v>
      </c>
      <c r="V497" s="5" t="e">
        <f>IF(diabetesoriginal[[#This Row],[Diabetes]]=$S$1,diabetesoriginal[[#This Row],[Insulin]],NA())</f>
        <v>#N/A</v>
      </c>
    </row>
    <row r="498" spans="1:22" x14ac:dyDescent="0.25">
      <c r="A498" s="5">
        <v>5</v>
      </c>
      <c r="B498" s="5">
        <v>110</v>
      </c>
      <c r="C498" s="5">
        <v>68</v>
      </c>
      <c r="D498" s="5" t="s">
        <v>23</v>
      </c>
      <c r="E498" s="5">
        <v>29</v>
      </c>
      <c r="F498" s="5">
        <v>125</v>
      </c>
      <c r="G498" s="5">
        <v>26</v>
      </c>
      <c r="H498" s="5" t="s">
        <v>30</v>
      </c>
      <c r="I498" s="5">
        <v>0.29199999999999998</v>
      </c>
      <c r="J498" s="5">
        <v>30</v>
      </c>
      <c r="K498" s="5" t="s">
        <v>36</v>
      </c>
      <c r="L498" s="15">
        <v>0</v>
      </c>
      <c r="M498" s="5" t="s">
        <v>57</v>
      </c>
      <c r="N498" s="5" t="s">
        <v>56</v>
      </c>
      <c r="O498" s="5" t="s">
        <v>31</v>
      </c>
      <c r="R498" s="5">
        <f>IF(diabetesoriginal[[#This Row],[Diabetes]]=$R$1,diabetesoriginal[[#This Row],[Skin Thickness]],NA())</f>
        <v>29</v>
      </c>
      <c r="S498" s="5" t="e">
        <f>IF(diabetesoriginal[[#This Row],[Diabetes]]=$S$1,diabetesoriginal[[#This Row],[Skin Thickness]],NA())</f>
        <v>#N/A</v>
      </c>
      <c r="U498" s="5">
        <f>IF(diabetesoriginal[[#This Row],[Diabetes]]=$U$1,diabetesoriginal[[#This Row],[Insulin]],NA())</f>
        <v>125</v>
      </c>
      <c r="V498" s="5" t="e">
        <f>IF(diabetesoriginal[[#This Row],[Diabetes]]=$S$1,diabetesoriginal[[#This Row],[Insulin]],NA())</f>
        <v>#N/A</v>
      </c>
    </row>
    <row r="499" spans="1:22" x14ac:dyDescent="0.25">
      <c r="A499" s="5">
        <v>2</v>
      </c>
      <c r="B499" s="5">
        <v>81</v>
      </c>
      <c r="C499" s="5">
        <v>72</v>
      </c>
      <c r="D499" s="5" t="s">
        <v>23</v>
      </c>
      <c r="E499" s="5">
        <v>15</v>
      </c>
      <c r="F499" s="5">
        <v>76</v>
      </c>
      <c r="G499" s="5">
        <v>30.1</v>
      </c>
      <c r="H499" s="5" t="s">
        <v>29</v>
      </c>
      <c r="I499" s="5">
        <v>0.54700000000000004</v>
      </c>
      <c r="J499" s="5">
        <v>25</v>
      </c>
      <c r="K499" s="5" t="s">
        <v>35</v>
      </c>
      <c r="L499" s="15">
        <v>0</v>
      </c>
      <c r="M499" s="5" t="s">
        <v>57</v>
      </c>
      <c r="N499" s="5" t="s">
        <v>58</v>
      </c>
      <c r="O499" s="5" t="s">
        <v>31</v>
      </c>
      <c r="R499" s="5">
        <f>IF(diabetesoriginal[[#This Row],[Diabetes]]=$R$1,diabetesoriginal[[#This Row],[Skin Thickness]],NA())</f>
        <v>15</v>
      </c>
      <c r="S499" s="5" t="e">
        <f>IF(diabetesoriginal[[#This Row],[Diabetes]]=$S$1,diabetesoriginal[[#This Row],[Skin Thickness]],NA())</f>
        <v>#N/A</v>
      </c>
      <c r="U499" s="5">
        <f>IF(diabetesoriginal[[#This Row],[Diabetes]]=$U$1,diabetesoriginal[[#This Row],[Insulin]],NA())</f>
        <v>76</v>
      </c>
      <c r="V499" s="5" t="e">
        <f>IF(diabetesoriginal[[#This Row],[Diabetes]]=$S$1,diabetesoriginal[[#This Row],[Insulin]],NA())</f>
        <v>#N/A</v>
      </c>
    </row>
    <row r="500" spans="1:22" x14ac:dyDescent="0.25">
      <c r="A500" s="5">
        <v>7</v>
      </c>
      <c r="B500" s="5">
        <v>195</v>
      </c>
      <c r="C500" s="5">
        <v>70</v>
      </c>
      <c r="D500" s="5" t="s">
        <v>23</v>
      </c>
      <c r="E500" s="5">
        <v>33</v>
      </c>
      <c r="F500" s="5">
        <v>145</v>
      </c>
      <c r="G500" s="5">
        <v>25.1</v>
      </c>
      <c r="H500" s="5" t="s">
        <v>30</v>
      </c>
      <c r="I500" s="5">
        <v>0.16300000000000001</v>
      </c>
      <c r="J500" s="5">
        <v>55</v>
      </c>
      <c r="K500" s="5" t="s">
        <v>38</v>
      </c>
      <c r="L500" s="15">
        <v>1</v>
      </c>
      <c r="M500" s="5" t="s">
        <v>22</v>
      </c>
      <c r="N500" s="5" t="s">
        <v>56</v>
      </c>
      <c r="O500" s="5" t="s">
        <v>31</v>
      </c>
      <c r="R500" s="5" t="e">
        <f>IF(diabetesoriginal[[#This Row],[Diabetes]]=$R$1,diabetesoriginal[[#This Row],[Skin Thickness]],NA())</f>
        <v>#N/A</v>
      </c>
      <c r="S500" s="5">
        <f>IF(diabetesoriginal[[#This Row],[Diabetes]]=$S$1,diabetesoriginal[[#This Row],[Skin Thickness]],NA())</f>
        <v>33</v>
      </c>
      <c r="U500" s="5" t="e">
        <f>IF(diabetesoriginal[[#This Row],[Diabetes]]=$U$1,diabetesoriginal[[#This Row],[Insulin]],NA())</f>
        <v>#N/A</v>
      </c>
      <c r="V500" s="5">
        <f>IF(diabetesoriginal[[#This Row],[Diabetes]]=$S$1,diabetesoriginal[[#This Row],[Insulin]],NA())</f>
        <v>145</v>
      </c>
    </row>
    <row r="501" spans="1:22" x14ac:dyDescent="0.25">
      <c r="A501" s="5">
        <v>6</v>
      </c>
      <c r="B501" s="5">
        <v>154</v>
      </c>
      <c r="C501" s="5">
        <v>74</v>
      </c>
      <c r="D501" s="5" t="s">
        <v>23</v>
      </c>
      <c r="E501" s="5">
        <v>32</v>
      </c>
      <c r="F501" s="5">
        <v>193</v>
      </c>
      <c r="G501" s="5">
        <v>29.3</v>
      </c>
      <c r="H501" s="5" t="s">
        <v>30</v>
      </c>
      <c r="I501" s="5">
        <v>0.83899999999999997</v>
      </c>
      <c r="J501" s="5">
        <v>39</v>
      </c>
      <c r="K501" s="5" t="s">
        <v>36</v>
      </c>
      <c r="L501" s="15">
        <v>0</v>
      </c>
      <c r="M501" s="5" t="s">
        <v>22</v>
      </c>
      <c r="N501" s="5" t="s">
        <v>56</v>
      </c>
      <c r="O501" s="5" t="s">
        <v>59</v>
      </c>
      <c r="R501" s="5">
        <f>IF(diabetesoriginal[[#This Row],[Diabetes]]=$R$1,diabetesoriginal[[#This Row],[Skin Thickness]],NA())</f>
        <v>32</v>
      </c>
      <c r="S501" s="5" t="e">
        <f>IF(diabetesoriginal[[#This Row],[Diabetes]]=$S$1,diabetesoriginal[[#This Row],[Skin Thickness]],NA())</f>
        <v>#N/A</v>
      </c>
      <c r="U501" s="5">
        <f>IF(diabetesoriginal[[#This Row],[Diabetes]]=$U$1,diabetesoriginal[[#This Row],[Insulin]],NA())</f>
        <v>193</v>
      </c>
      <c r="V501" s="5" t="e">
        <f>IF(diabetesoriginal[[#This Row],[Diabetes]]=$S$1,diabetesoriginal[[#This Row],[Insulin]],NA())</f>
        <v>#N/A</v>
      </c>
    </row>
    <row r="502" spans="1:22" x14ac:dyDescent="0.25">
      <c r="A502" s="5">
        <v>2</v>
      </c>
      <c r="B502" s="5">
        <v>117</v>
      </c>
      <c r="C502" s="5">
        <v>90</v>
      </c>
      <c r="D502" s="5" t="s">
        <v>24</v>
      </c>
      <c r="E502" s="5">
        <v>19</v>
      </c>
      <c r="F502" s="5">
        <v>71</v>
      </c>
      <c r="G502" s="5">
        <v>25.2</v>
      </c>
      <c r="H502" s="5" t="s">
        <v>30</v>
      </c>
      <c r="I502" s="5">
        <v>0.313</v>
      </c>
      <c r="J502" s="5">
        <v>21</v>
      </c>
      <c r="K502" s="5" t="s">
        <v>35</v>
      </c>
      <c r="L502" s="15">
        <v>0</v>
      </c>
      <c r="M502" s="5" t="s">
        <v>57</v>
      </c>
      <c r="N502" s="5" t="s">
        <v>58</v>
      </c>
      <c r="O502" s="5" t="s">
        <v>31</v>
      </c>
      <c r="R502" s="5">
        <f>IF(diabetesoriginal[[#This Row],[Diabetes]]=$R$1,diabetesoriginal[[#This Row],[Skin Thickness]],NA())</f>
        <v>19</v>
      </c>
      <c r="S502" s="5" t="e">
        <f>IF(diabetesoriginal[[#This Row],[Diabetes]]=$S$1,diabetesoriginal[[#This Row],[Skin Thickness]],NA())</f>
        <v>#N/A</v>
      </c>
      <c r="U502" s="5">
        <f>IF(diabetesoriginal[[#This Row],[Diabetes]]=$U$1,diabetesoriginal[[#This Row],[Insulin]],NA())</f>
        <v>71</v>
      </c>
      <c r="V502" s="5" t="e">
        <f>IF(diabetesoriginal[[#This Row],[Diabetes]]=$S$1,diabetesoriginal[[#This Row],[Insulin]],NA())</f>
        <v>#N/A</v>
      </c>
    </row>
    <row r="503" spans="1:22" x14ac:dyDescent="0.25">
      <c r="A503" s="5">
        <v>3</v>
      </c>
      <c r="B503" s="5">
        <v>84</v>
      </c>
      <c r="C503" s="5">
        <v>72</v>
      </c>
      <c r="D503" s="5" t="s">
        <v>23</v>
      </c>
      <c r="E503" s="5">
        <v>32</v>
      </c>
      <c r="F503" s="5">
        <v>125</v>
      </c>
      <c r="G503" s="5">
        <v>37.200000000000003</v>
      </c>
      <c r="H503" s="5" t="s">
        <v>29</v>
      </c>
      <c r="I503" s="5">
        <v>0.26700000000000002</v>
      </c>
      <c r="J503" s="5">
        <v>28</v>
      </c>
      <c r="K503" s="5" t="s">
        <v>35</v>
      </c>
      <c r="L503" s="15">
        <v>0</v>
      </c>
      <c r="M503" s="5" t="s">
        <v>57</v>
      </c>
      <c r="N503" s="5" t="s">
        <v>56</v>
      </c>
      <c r="O503" s="5" t="s">
        <v>31</v>
      </c>
      <c r="R503" s="5">
        <f>IF(diabetesoriginal[[#This Row],[Diabetes]]=$R$1,diabetesoriginal[[#This Row],[Skin Thickness]],NA())</f>
        <v>32</v>
      </c>
      <c r="S503" s="5" t="e">
        <f>IF(diabetesoriginal[[#This Row],[Diabetes]]=$S$1,diabetesoriginal[[#This Row],[Skin Thickness]],NA())</f>
        <v>#N/A</v>
      </c>
      <c r="U503" s="5">
        <f>IF(diabetesoriginal[[#This Row],[Diabetes]]=$U$1,diabetesoriginal[[#This Row],[Insulin]],NA())</f>
        <v>125</v>
      </c>
      <c r="V503" s="5" t="e">
        <f>IF(diabetesoriginal[[#This Row],[Diabetes]]=$S$1,diabetesoriginal[[#This Row],[Insulin]],NA())</f>
        <v>#N/A</v>
      </c>
    </row>
    <row r="504" spans="1:22" x14ac:dyDescent="0.25">
      <c r="A504" s="5">
        <v>6</v>
      </c>
      <c r="B504" s="5">
        <v>117</v>
      </c>
      <c r="C504" s="5">
        <v>68</v>
      </c>
      <c r="D504" s="5" t="s">
        <v>23</v>
      </c>
      <c r="E504" s="5">
        <v>41</v>
      </c>
      <c r="F504" s="5">
        <v>125</v>
      </c>
      <c r="G504" s="5">
        <v>39</v>
      </c>
      <c r="H504" s="5" t="s">
        <v>29</v>
      </c>
      <c r="I504" s="5">
        <v>0.72699999999999998</v>
      </c>
      <c r="J504" s="5">
        <v>41</v>
      </c>
      <c r="K504" s="5" t="s">
        <v>37</v>
      </c>
      <c r="L504" s="15">
        <v>1</v>
      </c>
      <c r="M504" s="5" t="s">
        <v>57</v>
      </c>
      <c r="N504" s="5" t="s">
        <v>56</v>
      </c>
      <c r="O504" s="5" t="s">
        <v>31</v>
      </c>
      <c r="R504" s="5" t="e">
        <f>IF(diabetesoriginal[[#This Row],[Diabetes]]=$R$1,diabetesoriginal[[#This Row],[Skin Thickness]],NA())</f>
        <v>#N/A</v>
      </c>
      <c r="S504" s="5">
        <f>IF(diabetesoriginal[[#This Row],[Diabetes]]=$S$1,diabetesoriginal[[#This Row],[Skin Thickness]],NA())</f>
        <v>41</v>
      </c>
      <c r="U504" s="5" t="e">
        <f>IF(diabetesoriginal[[#This Row],[Diabetes]]=$U$1,diabetesoriginal[[#This Row],[Insulin]],NA())</f>
        <v>#N/A</v>
      </c>
      <c r="V504" s="5">
        <f>IF(diabetesoriginal[[#This Row],[Diabetes]]=$S$1,diabetesoriginal[[#This Row],[Insulin]],NA())</f>
        <v>125</v>
      </c>
    </row>
    <row r="505" spans="1:22" x14ac:dyDescent="0.25">
      <c r="A505" s="5">
        <v>7</v>
      </c>
      <c r="B505" s="5">
        <v>94</v>
      </c>
      <c r="C505" s="5">
        <v>64</v>
      </c>
      <c r="D505" s="5" t="s">
        <v>23</v>
      </c>
      <c r="E505" s="5">
        <v>25</v>
      </c>
      <c r="F505" s="5">
        <v>79</v>
      </c>
      <c r="G505" s="5">
        <v>33.299999999999997</v>
      </c>
      <c r="H505" s="5" t="s">
        <v>29</v>
      </c>
      <c r="I505" s="5">
        <v>0.73799999999999999</v>
      </c>
      <c r="J505" s="5">
        <v>41</v>
      </c>
      <c r="K505" s="5" t="s">
        <v>37</v>
      </c>
      <c r="L505" s="15">
        <v>0</v>
      </c>
      <c r="M505" s="5" t="s">
        <v>57</v>
      </c>
      <c r="N505" s="5" t="s">
        <v>56</v>
      </c>
      <c r="O505" s="5" t="s">
        <v>31</v>
      </c>
      <c r="R505" s="5">
        <f>IF(diabetesoriginal[[#This Row],[Diabetes]]=$R$1,diabetesoriginal[[#This Row],[Skin Thickness]],NA())</f>
        <v>25</v>
      </c>
      <c r="S505" s="5" t="e">
        <f>IF(diabetesoriginal[[#This Row],[Diabetes]]=$S$1,diabetesoriginal[[#This Row],[Skin Thickness]],NA())</f>
        <v>#N/A</v>
      </c>
      <c r="U505" s="5">
        <f>IF(diabetesoriginal[[#This Row],[Diabetes]]=$U$1,diabetesoriginal[[#This Row],[Insulin]],NA())</f>
        <v>79</v>
      </c>
      <c r="V505" s="5" t="e">
        <f>IF(diabetesoriginal[[#This Row],[Diabetes]]=$S$1,diabetesoriginal[[#This Row],[Insulin]],NA())</f>
        <v>#N/A</v>
      </c>
    </row>
    <row r="506" spans="1:22" x14ac:dyDescent="0.25">
      <c r="A506" s="5">
        <v>3</v>
      </c>
      <c r="B506" s="5">
        <v>96</v>
      </c>
      <c r="C506" s="5">
        <v>78</v>
      </c>
      <c r="D506" s="5" t="s">
        <v>23</v>
      </c>
      <c r="E506" s="5">
        <v>39</v>
      </c>
      <c r="F506" s="5">
        <v>125</v>
      </c>
      <c r="G506" s="5">
        <v>37.299999999999997</v>
      </c>
      <c r="H506" s="5" t="s">
        <v>29</v>
      </c>
      <c r="I506" s="5">
        <v>0.23799999999999999</v>
      </c>
      <c r="J506" s="5">
        <v>40</v>
      </c>
      <c r="K506" s="5" t="s">
        <v>37</v>
      </c>
      <c r="L506" s="15">
        <v>0</v>
      </c>
      <c r="M506" s="5" t="s">
        <v>57</v>
      </c>
      <c r="N506" s="5" t="s">
        <v>56</v>
      </c>
      <c r="O506" s="5" t="s">
        <v>31</v>
      </c>
      <c r="R506" s="5">
        <f>IF(diabetesoriginal[[#This Row],[Diabetes]]=$R$1,diabetesoriginal[[#This Row],[Skin Thickness]],NA())</f>
        <v>39</v>
      </c>
      <c r="S506" s="5" t="e">
        <f>IF(diabetesoriginal[[#This Row],[Diabetes]]=$S$1,diabetesoriginal[[#This Row],[Skin Thickness]],NA())</f>
        <v>#N/A</v>
      </c>
      <c r="U506" s="5">
        <f>IF(diabetesoriginal[[#This Row],[Diabetes]]=$U$1,diabetesoriginal[[#This Row],[Insulin]],NA())</f>
        <v>125</v>
      </c>
      <c r="V506" s="5" t="e">
        <f>IF(diabetesoriginal[[#This Row],[Diabetes]]=$S$1,diabetesoriginal[[#This Row],[Insulin]],NA())</f>
        <v>#N/A</v>
      </c>
    </row>
    <row r="507" spans="1:22" x14ac:dyDescent="0.25">
      <c r="A507" s="5">
        <v>10</v>
      </c>
      <c r="B507" s="5">
        <v>75</v>
      </c>
      <c r="C507" s="5">
        <v>82</v>
      </c>
      <c r="D507" s="5" t="s">
        <v>25</v>
      </c>
      <c r="E507" s="5">
        <v>29</v>
      </c>
      <c r="F507" s="5">
        <v>125</v>
      </c>
      <c r="G507" s="5">
        <v>33.299999999999997</v>
      </c>
      <c r="H507" s="5" t="s">
        <v>29</v>
      </c>
      <c r="I507" s="5">
        <v>0.26300000000000001</v>
      </c>
      <c r="J507" s="5">
        <v>38</v>
      </c>
      <c r="K507" s="5" t="s">
        <v>36</v>
      </c>
      <c r="L507" s="15">
        <v>0</v>
      </c>
      <c r="M507" s="5" t="s">
        <v>57</v>
      </c>
      <c r="N507" s="5" t="s">
        <v>56</v>
      </c>
      <c r="O507" s="5" t="s">
        <v>31</v>
      </c>
      <c r="R507" s="5">
        <f>IF(diabetesoriginal[[#This Row],[Diabetes]]=$R$1,diabetesoriginal[[#This Row],[Skin Thickness]],NA())</f>
        <v>29</v>
      </c>
      <c r="S507" s="5" t="e">
        <f>IF(diabetesoriginal[[#This Row],[Diabetes]]=$S$1,diabetesoriginal[[#This Row],[Skin Thickness]],NA())</f>
        <v>#N/A</v>
      </c>
      <c r="U507" s="5">
        <f>IF(diabetesoriginal[[#This Row],[Diabetes]]=$U$1,diabetesoriginal[[#This Row],[Insulin]],NA())</f>
        <v>125</v>
      </c>
      <c r="V507" s="5" t="e">
        <f>IF(diabetesoriginal[[#This Row],[Diabetes]]=$S$1,diabetesoriginal[[#This Row],[Insulin]],NA())</f>
        <v>#N/A</v>
      </c>
    </row>
    <row r="508" spans="1:22" x14ac:dyDescent="0.25">
      <c r="A508" s="5">
        <v>0</v>
      </c>
      <c r="B508" s="5">
        <v>180</v>
      </c>
      <c r="C508" s="5">
        <v>90</v>
      </c>
      <c r="D508" s="5" t="s">
        <v>24</v>
      </c>
      <c r="E508" s="5">
        <v>26</v>
      </c>
      <c r="F508" s="5">
        <v>90</v>
      </c>
      <c r="G508" s="5">
        <v>36.5</v>
      </c>
      <c r="H508" s="5" t="s">
        <v>29</v>
      </c>
      <c r="I508" s="5">
        <v>0.314</v>
      </c>
      <c r="J508" s="5">
        <v>35</v>
      </c>
      <c r="K508" s="5" t="s">
        <v>36</v>
      </c>
      <c r="L508" s="15">
        <v>1</v>
      </c>
      <c r="M508" s="5" t="s">
        <v>22</v>
      </c>
      <c r="N508" s="5" t="s">
        <v>56</v>
      </c>
      <c r="O508" s="5" t="s">
        <v>31</v>
      </c>
      <c r="R508" s="5" t="e">
        <f>IF(diabetesoriginal[[#This Row],[Diabetes]]=$R$1,diabetesoriginal[[#This Row],[Skin Thickness]],NA())</f>
        <v>#N/A</v>
      </c>
      <c r="S508" s="5">
        <f>IF(diabetesoriginal[[#This Row],[Diabetes]]=$S$1,diabetesoriginal[[#This Row],[Skin Thickness]],NA())</f>
        <v>26</v>
      </c>
      <c r="U508" s="5" t="e">
        <f>IF(diabetesoriginal[[#This Row],[Diabetes]]=$U$1,diabetesoriginal[[#This Row],[Insulin]],NA())</f>
        <v>#N/A</v>
      </c>
      <c r="V508" s="5">
        <f>IF(diabetesoriginal[[#This Row],[Diabetes]]=$S$1,diabetesoriginal[[#This Row],[Insulin]],NA())</f>
        <v>90</v>
      </c>
    </row>
    <row r="509" spans="1:22" x14ac:dyDescent="0.25">
      <c r="A509" s="5">
        <v>1</v>
      </c>
      <c r="B509" s="5">
        <v>130</v>
      </c>
      <c r="C509" s="5">
        <v>60</v>
      </c>
      <c r="D509" s="5" t="s">
        <v>23</v>
      </c>
      <c r="E509" s="5">
        <v>23</v>
      </c>
      <c r="F509" s="5">
        <v>170</v>
      </c>
      <c r="G509" s="5">
        <v>28.6</v>
      </c>
      <c r="H509" s="5" t="s">
        <v>30</v>
      </c>
      <c r="I509" s="5">
        <v>0.69199999999999995</v>
      </c>
      <c r="J509" s="5">
        <v>21</v>
      </c>
      <c r="K509" s="5" t="s">
        <v>35</v>
      </c>
      <c r="L509" s="15">
        <v>0</v>
      </c>
      <c r="M509" s="5" t="s">
        <v>57</v>
      </c>
      <c r="N509" s="5" t="s">
        <v>58</v>
      </c>
      <c r="O509" s="5" t="s">
        <v>59</v>
      </c>
      <c r="R509" s="5">
        <f>IF(diabetesoriginal[[#This Row],[Diabetes]]=$R$1,diabetesoriginal[[#This Row],[Skin Thickness]],NA())</f>
        <v>23</v>
      </c>
      <c r="S509" s="5" t="e">
        <f>IF(diabetesoriginal[[#This Row],[Diabetes]]=$S$1,diabetesoriginal[[#This Row],[Skin Thickness]],NA())</f>
        <v>#N/A</v>
      </c>
      <c r="U509" s="5">
        <f>IF(diabetesoriginal[[#This Row],[Diabetes]]=$U$1,diabetesoriginal[[#This Row],[Insulin]],NA())</f>
        <v>170</v>
      </c>
      <c r="V509" s="5" t="e">
        <f>IF(diabetesoriginal[[#This Row],[Diabetes]]=$S$1,diabetesoriginal[[#This Row],[Insulin]],NA())</f>
        <v>#N/A</v>
      </c>
    </row>
    <row r="510" spans="1:22" x14ac:dyDescent="0.25">
      <c r="A510" s="5">
        <v>2</v>
      </c>
      <c r="B510" s="5">
        <v>84</v>
      </c>
      <c r="C510" s="5">
        <v>50</v>
      </c>
      <c r="D510" s="5" t="s">
        <v>23</v>
      </c>
      <c r="E510" s="5">
        <v>23</v>
      </c>
      <c r="F510" s="5">
        <v>76</v>
      </c>
      <c r="G510" s="5">
        <v>30.4</v>
      </c>
      <c r="H510" s="5" t="s">
        <v>29</v>
      </c>
      <c r="I510" s="5">
        <v>0.96799999999999997</v>
      </c>
      <c r="J510" s="5">
        <v>21</v>
      </c>
      <c r="K510" s="5" t="s">
        <v>35</v>
      </c>
      <c r="L510" s="15">
        <v>0</v>
      </c>
      <c r="M510" s="5" t="s">
        <v>57</v>
      </c>
      <c r="N510" s="5" t="s">
        <v>58</v>
      </c>
      <c r="O510" s="5" t="s">
        <v>31</v>
      </c>
      <c r="R510" s="5">
        <f>IF(diabetesoriginal[[#This Row],[Diabetes]]=$R$1,diabetesoriginal[[#This Row],[Skin Thickness]],NA())</f>
        <v>23</v>
      </c>
      <c r="S510" s="5" t="e">
        <f>IF(diabetesoriginal[[#This Row],[Diabetes]]=$S$1,diabetesoriginal[[#This Row],[Skin Thickness]],NA())</f>
        <v>#N/A</v>
      </c>
      <c r="U510" s="5">
        <f>IF(diabetesoriginal[[#This Row],[Diabetes]]=$U$1,diabetesoriginal[[#This Row],[Insulin]],NA())</f>
        <v>76</v>
      </c>
      <c r="V510" s="5" t="e">
        <f>IF(diabetesoriginal[[#This Row],[Diabetes]]=$S$1,diabetesoriginal[[#This Row],[Insulin]],NA())</f>
        <v>#N/A</v>
      </c>
    </row>
    <row r="511" spans="1:22" x14ac:dyDescent="0.25">
      <c r="A511" s="5">
        <v>8</v>
      </c>
      <c r="B511" s="5">
        <v>120</v>
      </c>
      <c r="C511" s="5">
        <v>78</v>
      </c>
      <c r="D511" s="5" t="s">
        <v>23</v>
      </c>
      <c r="E511" s="5">
        <v>29</v>
      </c>
      <c r="F511" s="5">
        <v>125</v>
      </c>
      <c r="G511" s="5">
        <v>25</v>
      </c>
      <c r="H511" s="5" t="s">
        <v>30</v>
      </c>
      <c r="I511" s="5">
        <v>0.40899999999999997</v>
      </c>
      <c r="J511" s="5">
        <v>64</v>
      </c>
      <c r="K511" s="5" t="s">
        <v>39</v>
      </c>
      <c r="L511" s="15">
        <v>0</v>
      </c>
      <c r="M511" s="5" t="s">
        <v>57</v>
      </c>
      <c r="N511" s="5" t="s">
        <v>56</v>
      </c>
      <c r="O511" s="5" t="s">
        <v>31</v>
      </c>
      <c r="R511" s="5">
        <f>IF(diabetesoriginal[[#This Row],[Diabetes]]=$R$1,diabetesoriginal[[#This Row],[Skin Thickness]],NA())</f>
        <v>29</v>
      </c>
      <c r="S511" s="5" t="e">
        <f>IF(diabetesoriginal[[#This Row],[Diabetes]]=$S$1,diabetesoriginal[[#This Row],[Skin Thickness]],NA())</f>
        <v>#N/A</v>
      </c>
      <c r="U511" s="5">
        <f>IF(diabetesoriginal[[#This Row],[Diabetes]]=$U$1,diabetesoriginal[[#This Row],[Insulin]],NA())</f>
        <v>125</v>
      </c>
      <c r="V511" s="5" t="e">
        <f>IF(diabetesoriginal[[#This Row],[Diabetes]]=$S$1,diabetesoriginal[[#This Row],[Insulin]],NA())</f>
        <v>#N/A</v>
      </c>
    </row>
    <row r="512" spans="1:22" x14ac:dyDescent="0.25">
      <c r="A512" s="5">
        <v>12</v>
      </c>
      <c r="B512" s="5">
        <v>84</v>
      </c>
      <c r="C512" s="5">
        <v>72</v>
      </c>
      <c r="D512" s="5" t="s">
        <v>23</v>
      </c>
      <c r="E512" s="5">
        <v>31</v>
      </c>
      <c r="F512" s="5">
        <v>125</v>
      </c>
      <c r="G512" s="5">
        <v>29.7</v>
      </c>
      <c r="H512" s="5" t="s">
        <v>30</v>
      </c>
      <c r="I512" s="5">
        <v>0.29699999999999999</v>
      </c>
      <c r="J512" s="5">
        <v>46</v>
      </c>
      <c r="K512" s="5" t="s">
        <v>37</v>
      </c>
      <c r="L512" s="15">
        <v>1</v>
      </c>
      <c r="M512" s="5" t="s">
        <v>57</v>
      </c>
      <c r="N512" s="5" t="s">
        <v>56</v>
      </c>
      <c r="O512" s="5" t="s">
        <v>31</v>
      </c>
      <c r="R512" s="5" t="e">
        <f>IF(diabetesoriginal[[#This Row],[Diabetes]]=$R$1,diabetesoriginal[[#This Row],[Skin Thickness]],NA())</f>
        <v>#N/A</v>
      </c>
      <c r="S512" s="5">
        <f>IF(diabetesoriginal[[#This Row],[Diabetes]]=$S$1,diabetesoriginal[[#This Row],[Skin Thickness]],NA())</f>
        <v>31</v>
      </c>
      <c r="U512" s="5" t="e">
        <f>IF(diabetesoriginal[[#This Row],[Diabetes]]=$U$1,diabetesoriginal[[#This Row],[Insulin]],NA())</f>
        <v>#N/A</v>
      </c>
      <c r="V512" s="5">
        <f>IF(diabetesoriginal[[#This Row],[Diabetes]]=$S$1,diabetesoriginal[[#This Row],[Insulin]],NA())</f>
        <v>125</v>
      </c>
    </row>
    <row r="513" spans="1:22" x14ac:dyDescent="0.25">
      <c r="A513" s="5">
        <v>0</v>
      </c>
      <c r="B513" s="5">
        <v>139</v>
      </c>
      <c r="C513" s="5">
        <v>62</v>
      </c>
      <c r="D513" s="5" t="s">
        <v>23</v>
      </c>
      <c r="E513" s="5">
        <v>17</v>
      </c>
      <c r="F513" s="5">
        <v>210</v>
      </c>
      <c r="G513" s="5">
        <v>22.1</v>
      </c>
      <c r="H513" s="5" t="s">
        <v>31</v>
      </c>
      <c r="I513" s="5">
        <v>0.20699999999999999</v>
      </c>
      <c r="J513" s="5">
        <v>21</v>
      </c>
      <c r="K513" s="5" t="s">
        <v>35</v>
      </c>
      <c r="L513" s="15">
        <v>0</v>
      </c>
      <c r="M513" s="5" t="s">
        <v>57</v>
      </c>
      <c r="N513" s="5" t="s">
        <v>58</v>
      </c>
      <c r="O513" s="5" t="s">
        <v>59</v>
      </c>
      <c r="R513" s="5">
        <f>IF(diabetesoriginal[[#This Row],[Diabetes]]=$R$1,diabetesoriginal[[#This Row],[Skin Thickness]],NA())</f>
        <v>17</v>
      </c>
      <c r="S513" s="5" t="e">
        <f>IF(diabetesoriginal[[#This Row],[Diabetes]]=$S$1,diabetesoriginal[[#This Row],[Skin Thickness]],NA())</f>
        <v>#N/A</v>
      </c>
      <c r="U513" s="5">
        <f>IF(diabetesoriginal[[#This Row],[Diabetes]]=$U$1,diabetesoriginal[[#This Row],[Insulin]],NA())</f>
        <v>210</v>
      </c>
      <c r="V513" s="5" t="e">
        <f>IF(diabetesoriginal[[#This Row],[Diabetes]]=$S$1,diabetesoriginal[[#This Row],[Insulin]],NA())</f>
        <v>#N/A</v>
      </c>
    </row>
    <row r="514" spans="1:22" x14ac:dyDescent="0.25">
      <c r="A514" s="5">
        <v>9</v>
      </c>
      <c r="B514" s="5">
        <v>91</v>
      </c>
      <c r="C514" s="5">
        <v>68</v>
      </c>
      <c r="D514" s="5" t="s">
        <v>23</v>
      </c>
      <c r="E514" s="5">
        <v>29</v>
      </c>
      <c r="F514" s="5">
        <v>125</v>
      </c>
      <c r="G514" s="5">
        <v>24.2</v>
      </c>
      <c r="H514" s="5" t="s">
        <v>31</v>
      </c>
      <c r="I514" s="5">
        <v>0.2</v>
      </c>
      <c r="J514" s="5">
        <v>58</v>
      </c>
      <c r="K514" s="5" t="s">
        <v>38</v>
      </c>
      <c r="L514" s="15">
        <v>0</v>
      </c>
      <c r="M514" s="5" t="s">
        <v>57</v>
      </c>
      <c r="N514" s="5" t="s">
        <v>56</v>
      </c>
      <c r="O514" s="5" t="s">
        <v>31</v>
      </c>
      <c r="R514" s="5">
        <f>IF(diabetesoriginal[[#This Row],[Diabetes]]=$R$1,diabetesoriginal[[#This Row],[Skin Thickness]],NA())</f>
        <v>29</v>
      </c>
      <c r="S514" s="5" t="e">
        <f>IF(diabetesoriginal[[#This Row],[Diabetes]]=$S$1,diabetesoriginal[[#This Row],[Skin Thickness]],NA())</f>
        <v>#N/A</v>
      </c>
      <c r="U514" s="5">
        <f>IF(diabetesoriginal[[#This Row],[Diabetes]]=$U$1,diabetesoriginal[[#This Row],[Insulin]],NA())</f>
        <v>125</v>
      </c>
      <c r="V514" s="5" t="e">
        <f>IF(diabetesoriginal[[#This Row],[Diabetes]]=$S$1,diabetesoriginal[[#This Row],[Insulin]],NA())</f>
        <v>#N/A</v>
      </c>
    </row>
    <row r="515" spans="1:22" x14ac:dyDescent="0.25">
      <c r="A515" s="5">
        <v>2</v>
      </c>
      <c r="B515" s="5">
        <v>91</v>
      </c>
      <c r="C515" s="5">
        <v>62</v>
      </c>
      <c r="D515" s="5" t="s">
        <v>23</v>
      </c>
      <c r="E515" s="5">
        <v>29</v>
      </c>
      <c r="F515" s="5">
        <v>125</v>
      </c>
      <c r="G515" s="5">
        <v>27.3</v>
      </c>
      <c r="H515" s="5" t="s">
        <v>30</v>
      </c>
      <c r="I515" s="5">
        <v>0.52500000000000002</v>
      </c>
      <c r="J515" s="5">
        <v>22</v>
      </c>
      <c r="K515" s="5" t="s">
        <v>35</v>
      </c>
      <c r="L515" s="15">
        <v>0</v>
      </c>
      <c r="M515" s="5" t="s">
        <v>57</v>
      </c>
      <c r="N515" s="5" t="s">
        <v>56</v>
      </c>
      <c r="O515" s="5" t="s">
        <v>31</v>
      </c>
      <c r="R515" s="5">
        <f>IF(diabetesoriginal[[#This Row],[Diabetes]]=$R$1,diabetesoriginal[[#This Row],[Skin Thickness]],NA())</f>
        <v>29</v>
      </c>
      <c r="S515" s="5" t="e">
        <f>IF(diabetesoriginal[[#This Row],[Diabetes]]=$S$1,diabetesoriginal[[#This Row],[Skin Thickness]],NA())</f>
        <v>#N/A</v>
      </c>
      <c r="U515" s="5">
        <f>IF(diabetesoriginal[[#This Row],[Diabetes]]=$U$1,diabetesoriginal[[#This Row],[Insulin]],NA())</f>
        <v>125</v>
      </c>
      <c r="V515" s="5" t="e">
        <f>IF(diabetesoriginal[[#This Row],[Diabetes]]=$S$1,diabetesoriginal[[#This Row],[Insulin]],NA())</f>
        <v>#N/A</v>
      </c>
    </row>
    <row r="516" spans="1:22" x14ac:dyDescent="0.25">
      <c r="A516" s="5">
        <v>3</v>
      </c>
      <c r="B516" s="5">
        <v>99</v>
      </c>
      <c r="C516" s="5">
        <v>54</v>
      </c>
      <c r="D516" s="5" t="s">
        <v>23</v>
      </c>
      <c r="E516" s="5">
        <v>19</v>
      </c>
      <c r="F516" s="5">
        <v>86</v>
      </c>
      <c r="G516" s="5">
        <v>25.6</v>
      </c>
      <c r="H516" s="5" t="s">
        <v>30</v>
      </c>
      <c r="I516" s="5">
        <v>0.154</v>
      </c>
      <c r="J516" s="5">
        <v>24</v>
      </c>
      <c r="K516" s="5" t="s">
        <v>35</v>
      </c>
      <c r="L516" s="15">
        <v>0</v>
      </c>
      <c r="M516" s="5" t="s">
        <v>57</v>
      </c>
      <c r="N516" s="5" t="s">
        <v>58</v>
      </c>
      <c r="O516" s="5" t="s">
        <v>31</v>
      </c>
      <c r="R516" s="5">
        <f>IF(diabetesoriginal[[#This Row],[Diabetes]]=$R$1,diabetesoriginal[[#This Row],[Skin Thickness]],NA())</f>
        <v>19</v>
      </c>
      <c r="S516" s="5" t="e">
        <f>IF(diabetesoriginal[[#This Row],[Diabetes]]=$S$1,diabetesoriginal[[#This Row],[Skin Thickness]],NA())</f>
        <v>#N/A</v>
      </c>
      <c r="U516" s="5">
        <f>IF(diabetesoriginal[[#This Row],[Diabetes]]=$U$1,diabetesoriginal[[#This Row],[Insulin]],NA())</f>
        <v>86</v>
      </c>
      <c r="V516" s="5" t="e">
        <f>IF(diabetesoriginal[[#This Row],[Diabetes]]=$S$1,diabetesoriginal[[#This Row],[Insulin]],NA())</f>
        <v>#N/A</v>
      </c>
    </row>
    <row r="517" spans="1:22" x14ac:dyDescent="0.25">
      <c r="A517" s="5">
        <v>3</v>
      </c>
      <c r="B517" s="5">
        <v>163</v>
      </c>
      <c r="C517" s="5">
        <v>70</v>
      </c>
      <c r="D517" s="5" t="s">
        <v>23</v>
      </c>
      <c r="E517" s="5">
        <v>18</v>
      </c>
      <c r="F517" s="5">
        <v>105</v>
      </c>
      <c r="G517" s="5">
        <v>31.6</v>
      </c>
      <c r="H517" s="5" t="s">
        <v>29</v>
      </c>
      <c r="I517" s="5">
        <v>0.26800000000000002</v>
      </c>
      <c r="J517" s="5">
        <v>28</v>
      </c>
      <c r="K517" s="5" t="s">
        <v>35</v>
      </c>
      <c r="L517" s="15">
        <v>1</v>
      </c>
      <c r="M517" s="5" t="s">
        <v>22</v>
      </c>
      <c r="N517" s="5" t="s">
        <v>58</v>
      </c>
      <c r="O517" s="5" t="s">
        <v>31</v>
      </c>
      <c r="R517" s="5" t="e">
        <f>IF(diabetesoriginal[[#This Row],[Diabetes]]=$R$1,diabetesoriginal[[#This Row],[Skin Thickness]],NA())</f>
        <v>#N/A</v>
      </c>
      <c r="S517" s="5">
        <f>IF(diabetesoriginal[[#This Row],[Diabetes]]=$S$1,diabetesoriginal[[#This Row],[Skin Thickness]],NA())</f>
        <v>18</v>
      </c>
      <c r="U517" s="5" t="e">
        <f>IF(diabetesoriginal[[#This Row],[Diabetes]]=$U$1,diabetesoriginal[[#This Row],[Insulin]],NA())</f>
        <v>#N/A</v>
      </c>
      <c r="V517" s="5">
        <f>IF(diabetesoriginal[[#This Row],[Diabetes]]=$S$1,diabetesoriginal[[#This Row],[Insulin]],NA())</f>
        <v>105</v>
      </c>
    </row>
    <row r="518" spans="1:22" x14ac:dyDescent="0.25">
      <c r="A518" s="5">
        <v>9</v>
      </c>
      <c r="B518" s="5">
        <v>145</v>
      </c>
      <c r="C518" s="5">
        <v>88</v>
      </c>
      <c r="D518" s="5" t="s">
        <v>25</v>
      </c>
      <c r="E518" s="5">
        <v>34</v>
      </c>
      <c r="F518" s="5">
        <v>165</v>
      </c>
      <c r="G518" s="5">
        <v>30.3</v>
      </c>
      <c r="H518" s="5" t="s">
        <v>29</v>
      </c>
      <c r="I518" s="5">
        <v>0.77100000000000002</v>
      </c>
      <c r="J518" s="5">
        <v>53</v>
      </c>
      <c r="K518" s="5" t="s">
        <v>38</v>
      </c>
      <c r="L518" s="15">
        <v>1</v>
      </c>
      <c r="M518" s="5" t="s">
        <v>22</v>
      </c>
      <c r="N518" s="5" t="s">
        <v>56</v>
      </c>
      <c r="O518" s="5" t="s">
        <v>31</v>
      </c>
      <c r="R518" s="5" t="e">
        <f>IF(diabetesoriginal[[#This Row],[Diabetes]]=$R$1,diabetesoriginal[[#This Row],[Skin Thickness]],NA())</f>
        <v>#N/A</v>
      </c>
      <c r="S518" s="5">
        <f>IF(diabetesoriginal[[#This Row],[Diabetes]]=$S$1,diabetesoriginal[[#This Row],[Skin Thickness]],NA())</f>
        <v>34</v>
      </c>
      <c r="U518" s="5" t="e">
        <f>IF(diabetesoriginal[[#This Row],[Diabetes]]=$U$1,diabetesoriginal[[#This Row],[Insulin]],NA())</f>
        <v>#N/A</v>
      </c>
      <c r="V518" s="5">
        <f>IF(diabetesoriginal[[#This Row],[Diabetes]]=$S$1,diabetesoriginal[[#This Row],[Insulin]],NA())</f>
        <v>165</v>
      </c>
    </row>
    <row r="519" spans="1:22" x14ac:dyDescent="0.25">
      <c r="A519" s="5">
        <v>7</v>
      </c>
      <c r="B519" s="5">
        <v>125</v>
      </c>
      <c r="C519" s="5">
        <v>86</v>
      </c>
      <c r="D519" s="5" t="s">
        <v>25</v>
      </c>
      <c r="E519" s="5">
        <v>29</v>
      </c>
      <c r="F519" s="5">
        <v>125</v>
      </c>
      <c r="G519" s="5">
        <v>37.6</v>
      </c>
      <c r="H519" s="5" t="s">
        <v>29</v>
      </c>
      <c r="I519" s="5">
        <v>0.30399999999999999</v>
      </c>
      <c r="J519" s="5">
        <v>51</v>
      </c>
      <c r="K519" s="5" t="s">
        <v>38</v>
      </c>
      <c r="L519" s="15">
        <v>0</v>
      </c>
      <c r="M519" s="5" t="s">
        <v>57</v>
      </c>
      <c r="N519" s="5" t="s">
        <v>56</v>
      </c>
      <c r="O519" s="5" t="s">
        <v>31</v>
      </c>
      <c r="R519" s="5">
        <f>IF(diabetesoriginal[[#This Row],[Diabetes]]=$R$1,diabetesoriginal[[#This Row],[Skin Thickness]],NA())</f>
        <v>29</v>
      </c>
      <c r="S519" s="5" t="e">
        <f>IF(diabetesoriginal[[#This Row],[Diabetes]]=$S$1,diabetesoriginal[[#This Row],[Skin Thickness]],NA())</f>
        <v>#N/A</v>
      </c>
      <c r="U519" s="5">
        <f>IF(diabetesoriginal[[#This Row],[Diabetes]]=$U$1,diabetesoriginal[[#This Row],[Insulin]],NA())</f>
        <v>125</v>
      </c>
      <c r="V519" s="5" t="e">
        <f>IF(diabetesoriginal[[#This Row],[Diabetes]]=$S$1,diabetesoriginal[[#This Row],[Insulin]],NA())</f>
        <v>#N/A</v>
      </c>
    </row>
    <row r="520" spans="1:22" x14ac:dyDescent="0.25">
      <c r="A520" s="5">
        <v>13</v>
      </c>
      <c r="B520" s="5">
        <v>76</v>
      </c>
      <c r="C520" s="5">
        <v>60</v>
      </c>
      <c r="D520" s="5" t="s">
        <v>23</v>
      </c>
      <c r="E520" s="5">
        <v>29</v>
      </c>
      <c r="F520" s="5">
        <v>125</v>
      </c>
      <c r="G520" s="5">
        <v>32.799999999999997</v>
      </c>
      <c r="H520" s="5" t="s">
        <v>29</v>
      </c>
      <c r="I520" s="5">
        <v>0.18</v>
      </c>
      <c r="J520" s="5">
        <v>41</v>
      </c>
      <c r="K520" s="5" t="s">
        <v>37</v>
      </c>
      <c r="L520" s="15">
        <v>0</v>
      </c>
      <c r="M520" s="5" t="s">
        <v>57</v>
      </c>
      <c r="N520" s="5" t="s">
        <v>56</v>
      </c>
      <c r="O520" s="5" t="s">
        <v>31</v>
      </c>
      <c r="R520" s="5">
        <f>IF(diabetesoriginal[[#This Row],[Diabetes]]=$R$1,diabetesoriginal[[#This Row],[Skin Thickness]],NA())</f>
        <v>29</v>
      </c>
      <c r="S520" s="5" t="e">
        <f>IF(diabetesoriginal[[#This Row],[Diabetes]]=$S$1,diabetesoriginal[[#This Row],[Skin Thickness]],NA())</f>
        <v>#N/A</v>
      </c>
      <c r="U520" s="5">
        <f>IF(diabetesoriginal[[#This Row],[Diabetes]]=$U$1,diabetesoriginal[[#This Row],[Insulin]],NA())</f>
        <v>125</v>
      </c>
      <c r="V520" s="5" t="e">
        <f>IF(diabetesoriginal[[#This Row],[Diabetes]]=$S$1,diabetesoriginal[[#This Row],[Insulin]],NA())</f>
        <v>#N/A</v>
      </c>
    </row>
    <row r="521" spans="1:22" x14ac:dyDescent="0.25">
      <c r="A521" s="5">
        <v>6</v>
      </c>
      <c r="B521" s="5">
        <v>129</v>
      </c>
      <c r="C521" s="5">
        <v>90</v>
      </c>
      <c r="D521" s="5" t="s">
        <v>24</v>
      </c>
      <c r="E521" s="5">
        <v>7</v>
      </c>
      <c r="F521" s="5">
        <v>326</v>
      </c>
      <c r="G521" s="5">
        <v>19.600000000000001</v>
      </c>
      <c r="H521" s="5" t="s">
        <v>31</v>
      </c>
      <c r="I521" s="5">
        <v>0.58199999999999996</v>
      </c>
      <c r="J521" s="5">
        <v>60</v>
      </c>
      <c r="K521" s="5" t="s">
        <v>39</v>
      </c>
      <c r="L521" s="15">
        <v>0</v>
      </c>
      <c r="M521" s="5" t="s">
        <v>57</v>
      </c>
      <c r="N521" s="5" t="s">
        <v>58</v>
      </c>
      <c r="O521" s="5" t="s">
        <v>59</v>
      </c>
      <c r="R521" s="5">
        <f>IF(diabetesoriginal[[#This Row],[Diabetes]]=$R$1,diabetesoriginal[[#This Row],[Skin Thickness]],NA())</f>
        <v>7</v>
      </c>
      <c r="S521" s="5" t="e">
        <f>IF(diabetesoriginal[[#This Row],[Diabetes]]=$S$1,diabetesoriginal[[#This Row],[Skin Thickness]],NA())</f>
        <v>#N/A</v>
      </c>
      <c r="U521" s="5">
        <f>IF(diabetesoriginal[[#This Row],[Diabetes]]=$U$1,diabetesoriginal[[#This Row],[Insulin]],NA())</f>
        <v>326</v>
      </c>
      <c r="V521" s="5" t="e">
        <f>IF(diabetesoriginal[[#This Row],[Diabetes]]=$S$1,diabetesoriginal[[#This Row],[Insulin]],NA())</f>
        <v>#N/A</v>
      </c>
    </row>
    <row r="522" spans="1:22" x14ac:dyDescent="0.25">
      <c r="A522" s="5">
        <v>2</v>
      </c>
      <c r="B522" s="5">
        <v>68</v>
      </c>
      <c r="C522" s="5">
        <v>70</v>
      </c>
      <c r="D522" s="5" t="s">
        <v>23</v>
      </c>
      <c r="E522" s="5">
        <v>32</v>
      </c>
      <c r="F522" s="5">
        <v>66</v>
      </c>
      <c r="G522" s="5">
        <v>25</v>
      </c>
      <c r="H522" s="5" t="s">
        <v>30</v>
      </c>
      <c r="I522" s="5">
        <v>0.187</v>
      </c>
      <c r="J522" s="5">
        <v>25</v>
      </c>
      <c r="K522" s="5" t="s">
        <v>35</v>
      </c>
      <c r="L522" s="15">
        <v>0</v>
      </c>
      <c r="M522" s="5" t="s">
        <v>57</v>
      </c>
      <c r="N522" s="5" t="s">
        <v>56</v>
      </c>
      <c r="O522" s="5" t="s">
        <v>31</v>
      </c>
      <c r="R522" s="5">
        <f>IF(diabetesoriginal[[#This Row],[Diabetes]]=$R$1,diabetesoriginal[[#This Row],[Skin Thickness]],NA())</f>
        <v>32</v>
      </c>
      <c r="S522" s="5" t="e">
        <f>IF(diabetesoriginal[[#This Row],[Diabetes]]=$S$1,diabetesoriginal[[#This Row],[Skin Thickness]],NA())</f>
        <v>#N/A</v>
      </c>
      <c r="U522" s="5">
        <f>IF(diabetesoriginal[[#This Row],[Diabetes]]=$U$1,diabetesoriginal[[#This Row],[Insulin]],NA())</f>
        <v>66</v>
      </c>
      <c r="V522" s="5" t="e">
        <f>IF(diabetesoriginal[[#This Row],[Diabetes]]=$S$1,diabetesoriginal[[#This Row],[Insulin]],NA())</f>
        <v>#N/A</v>
      </c>
    </row>
    <row r="523" spans="1:22" x14ac:dyDescent="0.25">
      <c r="A523" s="5">
        <v>3</v>
      </c>
      <c r="B523" s="5">
        <v>124</v>
      </c>
      <c r="C523" s="5">
        <v>80</v>
      </c>
      <c r="D523" s="5" t="s">
        <v>25</v>
      </c>
      <c r="E523" s="5">
        <v>33</v>
      </c>
      <c r="F523" s="5">
        <v>130</v>
      </c>
      <c r="G523" s="5">
        <v>33.200000000000003</v>
      </c>
      <c r="H523" s="5" t="s">
        <v>29</v>
      </c>
      <c r="I523" s="5">
        <v>0.30499999999999999</v>
      </c>
      <c r="J523" s="5">
        <v>26</v>
      </c>
      <c r="K523" s="5" t="s">
        <v>35</v>
      </c>
      <c r="L523" s="15">
        <v>0</v>
      </c>
      <c r="M523" s="5" t="s">
        <v>57</v>
      </c>
      <c r="N523" s="5" t="s">
        <v>56</v>
      </c>
      <c r="O523" s="5" t="s">
        <v>31</v>
      </c>
      <c r="R523" s="5">
        <f>IF(diabetesoriginal[[#This Row],[Diabetes]]=$R$1,diabetesoriginal[[#This Row],[Skin Thickness]],NA())</f>
        <v>33</v>
      </c>
      <c r="S523" s="5" t="e">
        <f>IF(diabetesoriginal[[#This Row],[Diabetes]]=$S$1,diabetesoriginal[[#This Row],[Skin Thickness]],NA())</f>
        <v>#N/A</v>
      </c>
      <c r="U523" s="5">
        <f>IF(diabetesoriginal[[#This Row],[Diabetes]]=$U$1,diabetesoriginal[[#This Row],[Insulin]],NA())</f>
        <v>130</v>
      </c>
      <c r="V523" s="5" t="e">
        <f>IF(diabetesoriginal[[#This Row],[Diabetes]]=$S$1,diabetesoriginal[[#This Row],[Insulin]],NA())</f>
        <v>#N/A</v>
      </c>
    </row>
    <row r="524" spans="1:22" x14ac:dyDescent="0.25">
      <c r="A524" s="5">
        <v>6</v>
      </c>
      <c r="B524" s="5">
        <v>114</v>
      </c>
      <c r="C524" s="5">
        <v>72</v>
      </c>
      <c r="D524" s="5" t="s">
        <v>23</v>
      </c>
      <c r="E524" s="5">
        <v>29</v>
      </c>
      <c r="F524" s="5">
        <v>125</v>
      </c>
      <c r="G524" s="5">
        <v>32.299999999999997</v>
      </c>
      <c r="H524" s="5" t="s">
        <v>29</v>
      </c>
      <c r="I524" s="5">
        <v>0.189</v>
      </c>
      <c r="J524" s="5">
        <v>26</v>
      </c>
      <c r="K524" s="5" t="s">
        <v>35</v>
      </c>
      <c r="L524" s="15">
        <v>0</v>
      </c>
      <c r="M524" s="5" t="s">
        <v>57</v>
      </c>
      <c r="N524" s="5" t="s">
        <v>56</v>
      </c>
      <c r="O524" s="5" t="s">
        <v>31</v>
      </c>
      <c r="R524" s="5">
        <f>IF(diabetesoriginal[[#This Row],[Diabetes]]=$R$1,diabetesoriginal[[#This Row],[Skin Thickness]],NA())</f>
        <v>29</v>
      </c>
      <c r="S524" s="5" t="e">
        <f>IF(diabetesoriginal[[#This Row],[Diabetes]]=$S$1,diabetesoriginal[[#This Row],[Skin Thickness]],NA())</f>
        <v>#N/A</v>
      </c>
      <c r="U524" s="5">
        <f>IF(diabetesoriginal[[#This Row],[Diabetes]]=$U$1,diabetesoriginal[[#This Row],[Insulin]],NA())</f>
        <v>125</v>
      </c>
      <c r="V524" s="5" t="e">
        <f>IF(diabetesoriginal[[#This Row],[Diabetes]]=$S$1,diabetesoriginal[[#This Row],[Insulin]],NA())</f>
        <v>#N/A</v>
      </c>
    </row>
    <row r="525" spans="1:22" x14ac:dyDescent="0.25">
      <c r="A525" s="5">
        <v>9</v>
      </c>
      <c r="B525" s="5">
        <v>130</v>
      </c>
      <c r="C525" s="5">
        <v>70</v>
      </c>
      <c r="D525" s="5" t="s">
        <v>23</v>
      </c>
      <c r="E525" s="5">
        <v>29</v>
      </c>
      <c r="F525" s="5">
        <v>125</v>
      </c>
      <c r="G525" s="5">
        <v>34.200000000000003</v>
      </c>
      <c r="H525" s="5" t="s">
        <v>29</v>
      </c>
      <c r="I525" s="5">
        <v>0.65200000000000002</v>
      </c>
      <c r="J525" s="5">
        <v>45</v>
      </c>
      <c r="K525" s="5" t="s">
        <v>37</v>
      </c>
      <c r="L525" s="15">
        <v>1</v>
      </c>
      <c r="M525" s="5" t="s">
        <v>57</v>
      </c>
      <c r="N525" s="5" t="s">
        <v>56</v>
      </c>
      <c r="O525" s="5" t="s">
        <v>31</v>
      </c>
      <c r="R525" s="5" t="e">
        <f>IF(diabetesoriginal[[#This Row],[Diabetes]]=$R$1,diabetesoriginal[[#This Row],[Skin Thickness]],NA())</f>
        <v>#N/A</v>
      </c>
      <c r="S525" s="5">
        <f>IF(diabetesoriginal[[#This Row],[Diabetes]]=$S$1,diabetesoriginal[[#This Row],[Skin Thickness]],NA())</f>
        <v>29</v>
      </c>
      <c r="U525" s="5" t="e">
        <f>IF(diabetesoriginal[[#This Row],[Diabetes]]=$U$1,diabetesoriginal[[#This Row],[Insulin]],NA())</f>
        <v>#N/A</v>
      </c>
      <c r="V525" s="5">
        <f>IF(diabetesoriginal[[#This Row],[Diabetes]]=$S$1,diabetesoriginal[[#This Row],[Insulin]],NA())</f>
        <v>125</v>
      </c>
    </row>
    <row r="526" spans="1:22" x14ac:dyDescent="0.25">
      <c r="A526" s="5">
        <v>3</v>
      </c>
      <c r="B526" s="5">
        <v>125</v>
      </c>
      <c r="C526" s="5">
        <v>58</v>
      </c>
      <c r="D526" s="5" t="s">
        <v>23</v>
      </c>
      <c r="E526" s="5">
        <v>29</v>
      </c>
      <c r="F526" s="5">
        <v>125</v>
      </c>
      <c r="G526" s="5">
        <v>31.6</v>
      </c>
      <c r="H526" s="5" t="s">
        <v>29</v>
      </c>
      <c r="I526" s="5">
        <v>0.151</v>
      </c>
      <c r="J526" s="5">
        <v>24</v>
      </c>
      <c r="K526" s="5" t="s">
        <v>35</v>
      </c>
      <c r="L526" s="15">
        <v>0</v>
      </c>
      <c r="M526" s="5" t="s">
        <v>57</v>
      </c>
      <c r="N526" s="5" t="s">
        <v>56</v>
      </c>
      <c r="O526" s="5" t="s">
        <v>31</v>
      </c>
      <c r="R526" s="5">
        <f>IF(diabetesoriginal[[#This Row],[Diabetes]]=$R$1,diabetesoriginal[[#This Row],[Skin Thickness]],NA())</f>
        <v>29</v>
      </c>
      <c r="S526" s="5" t="e">
        <f>IF(diabetesoriginal[[#This Row],[Diabetes]]=$S$1,diabetesoriginal[[#This Row],[Skin Thickness]],NA())</f>
        <v>#N/A</v>
      </c>
      <c r="U526" s="5">
        <f>IF(diabetesoriginal[[#This Row],[Diabetes]]=$U$1,diabetesoriginal[[#This Row],[Insulin]],NA())</f>
        <v>125</v>
      </c>
      <c r="V526" s="5" t="e">
        <f>IF(diabetesoriginal[[#This Row],[Diabetes]]=$S$1,diabetesoriginal[[#This Row],[Insulin]],NA())</f>
        <v>#N/A</v>
      </c>
    </row>
    <row r="527" spans="1:22" x14ac:dyDescent="0.25">
      <c r="A527" s="5">
        <v>3</v>
      </c>
      <c r="B527" s="5">
        <v>87</v>
      </c>
      <c r="C527" s="5">
        <v>60</v>
      </c>
      <c r="D527" s="5" t="s">
        <v>23</v>
      </c>
      <c r="E527" s="5">
        <v>18</v>
      </c>
      <c r="F527" s="5">
        <v>125</v>
      </c>
      <c r="G527" s="5">
        <v>21.8</v>
      </c>
      <c r="H527" s="5" t="s">
        <v>31</v>
      </c>
      <c r="I527" s="5">
        <v>0.44400000000000001</v>
      </c>
      <c r="J527" s="5">
        <v>21</v>
      </c>
      <c r="K527" s="5" t="s">
        <v>35</v>
      </c>
      <c r="L527" s="15">
        <v>0</v>
      </c>
      <c r="M527" s="5" t="s">
        <v>57</v>
      </c>
      <c r="N527" s="5" t="s">
        <v>58</v>
      </c>
      <c r="O527" s="5" t="s">
        <v>31</v>
      </c>
      <c r="R527" s="5">
        <f>IF(diabetesoriginal[[#This Row],[Diabetes]]=$R$1,diabetesoriginal[[#This Row],[Skin Thickness]],NA())</f>
        <v>18</v>
      </c>
      <c r="S527" s="5" t="e">
        <f>IF(diabetesoriginal[[#This Row],[Diabetes]]=$S$1,diabetesoriginal[[#This Row],[Skin Thickness]],NA())</f>
        <v>#N/A</v>
      </c>
      <c r="U527" s="5">
        <f>IF(diabetesoriginal[[#This Row],[Diabetes]]=$U$1,diabetesoriginal[[#This Row],[Insulin]],NA())</f>
        <v>125</v>
      </c>
      <c r="V527" s="5" t="e">
        <f>IF(diabetesoriginal[[#This Row],[Diabetes]]=$S$1,diabetesoriginal[[#This Row],[Insulin]],NA())</f>
        <v>#N/A</v>
      </c>
    </row>
    <row r="528" spans="1:22" x14ac:dyDescent="0.25">
      <c r="A528" s="5">
        <v>1</v>
      </c>
      <c r="B528" s="5">
        <v>97</v>
      </c>
      <c r="C528" s="5">
        <v>64</v>
      </c>
      <c r="D528" s="5" t="s">
        <v>23</v>
      </c>
      <c r="E528" s="5">
        <v>19</v>
      </c>
      <c r="F528" s="5">
        <v>82</v>
      </c>
      <c r="G528" s="5">
        <v>18.2</v>
      </c>
      <c r="H528" s="5" t="s">
        <v>33</v>
      </c>
      <c r="I528" s="5">
        <v>0.29899999999999999</v>
      </c>
      <c r="J528" s="5">
        <v>21</v>
      </c>
      <c r="K528" s="5" t="s">
        <v>35</v>
      </c>
      <c r="L528" s="15">
        <v>0</v>
      </c>
      <c r="M528" s="5" t="s">
        <v>57</v>
      </c>
      <c r="N528" s="5" t="s">
        <v>58</v>
      </c>
      <c r="O528" s="5" t="s">
        <v>31</v>
      </c>
      <c r="R528" s="5">
        <f>IF(diabetesoriginal[[#This Row],[Diabetes]]=$R$1,diabetesoriginal[[#This Row],[Skin Thickness]],NA())</f>
        <v>19</v>
      </c>
      <c r="S528" s="5" t="e">
        <f>IF(diabetesoriginal[[#This Row],[Diabetes]]=$S$1,diabetesoriginal[[#This Row],[Skin Thickness]],NA())</f>
        <v>#N/A</v>
      </c>
      <c r="U528" s="5">
        <f>IF(diabetesoriginal[[#This Row],[Diabetes]]=$U$1,diabetesoriginal[[#This Row],[Insulin]],NA())</f>
        <v>82</v>
      </c>
      <c r="V528" s="5" t="e">
        <f>IF(diabetesoriginal[[#This Row],[Diabetes]]=$S$1,diabetesoriginal[[#This Row],[Insulin]],NA())</f>
        <v>#N/A</v>
      </c>
    </row>
    <row r="529" spans="1:22" x14ac:dyDescent="0.25">
      <c r="A529" s="5">
        <v>3</v>
      </c>
      <c r="B529" s="5">
        <v>116</v>
      </c>
      <c r="C529" s="5">
        <v>74</v>
      </c>
      <c r="D529" s="5" t="s">
        <v>23</v>
      </c>
      <c r="E529" s="5">
        <v>15</v>
      </c>
      <c r="F529" s="5">
        <v>105</v>
      </c>
      <c r="G529" s="5">
        <v>26.3</v>
      </c>
      <c r="H529" s="5" t="s">
        <v>30</v>
      </c>
      <c r="I529" s="5">
        <v>0.107</v>
      </c>
      <c r="J529" s="5">
        <v>24</v>
      </c>
      <c r="K529" s="5" t="s">
        <v>35</v>
      </c>
      <c r="L529" s="15">
        <v>0</v>
      </c>
      <c r="M529" s="5" t="s">
        <v>57</v>
      </c>
      <c r="N529" s="5" t="s">
        <v>58</v>
      </c>
      <c r="O529" s="5" t="s">
        <v>31</v>
      </c>
      <c r="R529" s="5">
        <f>IF(diabetesoriginal[[#This Row],[Diabetes]]=$R$1,diabetesoriginal[[#This Row],[Skin Thickness]],NA())</f>
        <v>15</v>
      </c>
      <c r="S529" s="5" t="e">
        <f>IF(diabetesoriginal[[#This Row],[Diabetes]]=$S$1,diabetesoriginal[[#This Row],[Skin Thickness]],NA())</f>
        <v>#N/A</v>
      </c>
      <c r="U529" s="5">
        <f>IF(diabetesoriginal[[#This Row],[Diabetes]]=$U$1,diabetesoriginal[[#This Row],[Insulin]],NA())</f>
        <v>105</v>
      </c>
      <c r="V529" s="5" t="e">
        <f>IF(diabetesoriginal[[#This Row],[Diabetes]]=$S$1,diabetesoriginal[[#This Row],[Insulin]],NA())</f>
        <v>#N/A</v>
      </c>
    </row>
    <row r="530" spans="1:22" x14ac:dyDescent="0.25">
      <c r="A530" s="5">
        <v>0</v>
      </c>
      <c r="B530" s="5">
        <v>117</v>
      </c>
      <c r="C530" s="5">
        <v>66</v>
      </c>
      <c r="D530" s="5" t="s">
        <v>23</v>
      </c>
      <c r="E530" s="5">
        <v>31</v>
      </c>
      <c r="F530" s="5">
        <v>188</v>
      </c>
      <c r="G530" s="5">
        <v>30.8</v>
      </c>
      <c r="H530" s="5" t="s">
        <v>29</v>
      </c>
      <c r="I530" s="5">
        <v>0.49299999999999999</v>
      </c>
      <c r="J530" s="5">
        <v>22</v>
      </c>
      <c r="K530" s="5" t="s">
        <v>35</v>
      </c>
      <c r="L530" s="15">
        <v>0</v>
      </c>
      <c r="M530" s="5" t="s">
        <v>57</v>
      </c>
      <c r="N530" s="5" t="s">
        <v>56</v>
      </c>
      <c r="O530" s="5" t="s">
        <v>59</v>
      </c>
      <c r="R530" s="5">
        <f>IF(diabetesoriginal[[#This Row],[Diabetes]]=$R$1,diabetesoriginal[[#This Row],[Skin Thickness]],NA())</f>
        <v>31</v>
      </c>
      <c r="S530" s="5" t="e">
        <f>IF(diabetesoriginal[[#This Row],[Diabetes]]=$S$1,diabetesoriginal[[#This Row],[Skin Thickness]],NA())</f>
        <v>#N/A</v>
      </c>
      <c r="U530" s="5">
        <f>IF(diabetesoriginal[[#This Row],[Diabetes]]=$U$1,diabetesoriginal[[#This Row],[Insulin]],NA())</f>
        <v>188</v>
      </c>
      <c r="V530" s="5" t="e">
        <f>IF(diabetesoriginal[[#This Row],[Diabetes]]=$S$1,diabetesoriginal[[#This Row],[Insulin]],NA())</f>
        <v>#N/A</v>
      </c>
    </row>
    <row r="531" spans="1:22" x14ac:dyDescent="0.25">
      <c r="A531" s="5">
        <v>0</v>
      </c>
      <c r="B531" s="5">
        <v>111</v>
      </c>
      <c r="C531" s="5">
        <v>65</v>
      </c>
      <c r="D531" s="5" t="s">
        <v>23</v>
      </c>
      <c r="E531" s="5">
        <v>29</v>
      </c>
      <c r="F531" s="5">
        <v>125</v>
      </c>
      <c r="G531" s="5">
        <v>24.6</v>
      </c>
      <c r="H531" s="5" t="s">
        <v>31</v>
      </c>
      <c r="I531" s="5">
        <v>0.66</v>
      </c>
      <c r="J531" s="5">
        <v>31</v>
      </c>
      <c r="K531" s="5" t="s">
        <v>36</v>
      </c>
      <c r="L531" s="15">
        <v>0</v>
      </c>
      <c r="M531" s="5" t="s">
        <v>57</v>
      </c>
      <c r="N531" s="5" t="s">
        <v>56</v>
      </c>
      <c r="O531" s="5" t="s">
        <v>31</v>
      </c>
      <c r="R531" s="5">
        <f>IF(diabetesoriginal[[#This Row],[Diabetes]]=$R$1,diabetesoriginal[[#This Row],[Skin Thickness]],NA())</f>
        <v>29</v>
      </c>
      <c r="S531" s="5" t="e">
        <f>IF(diabetesoriginal[[#This Row],[Diabetes]]=$S$1,diabetesoriginal[[#This Row],[Skin Thickness]],NA())</f>
        <v>#N/A</v>
      </c>
      <c r="U531" s="5">
        <f>IF(diabetesoriginal[[#This Row],[Diabetes]]=$U$1,diabetesoriginal[[#This Row],[Insulin]],NA())</f>
        <v>125</v>
      </c>
      <c r="V531" s="5" t="e">
        <f>IF(diabetesoriginal[[#This Row],[Diabetes]]=$S$1,diabetesoriginal[[#This Row],[Insulin]],NA())</f>
        <v>#N/A</v>
      </c>
    </row>
    <row r="532" spans="1:22" x14ac:dyDescent="0.25">
      <c r="A532" s="5">
        <v>2</v>
      </c>
      <c r="B532" s="5">
        <v>122</v>
      </c>
      <c r="C532" s="5">
        <v>60</v>
      </c>
      <c r="D532" s="5" t="s">
        <v>23</v>
      </c>
      <c r="E532" s="5">
        <v>18</v>
      </c>
      <c r="F532" s="5">
        <v>106</v>
      </c>
      <c r="G532" s="5">
        <v>29.8</v>
      </c>
      <c r="H532" s="5" t="s">
        <v>30</v>
      </c>
      <c r="I532" s="5">
        <v>0.71699999999999997</v>
      </c>
      <c r="J532" s="5">
        <v>22</v>
      </c>
      <c r="K532" s="5" t="s">
        <v>35</v>
      </c>
      <c r="L532" s="15">
        <v>0</v>
      </c>
      <c r="M532" s="5" t="s">
        <v>57</v>
      </c>
      <c r="N532" s="5" t="s">
        <v>58</v>
      </c>
      <c r="O532" s="5" t="s">
        <v>31</v>
      </c>
      <c r="R532" s="5">
        <f>IF(diabetesoriginal[[#This Row],[Diabetes]]=$R$1,diabetesoriginal[[#This Row],[Skin Thickness]],NA())</f>
        <v>18</v>
      </c>
      <c r="S532" s="5" t="e">
        <f>IF(diabetesoriginal[[#This Row],[Diabetes]]=$S$1,diabetesoriginal[[#This Row],[Skin Thickness]],NA())</f>
        <v>#N/A</v>
      </c>
      <c r="U532" s="5">
        <f>IF(diabetesoriginal[[#This Row],[Diabetes]]=$U$1,diabetesoriginal[[#This Row],[Insulin]],NA())</f>
        <v>106</v>
      </c>
      <c r="V532" s="5" t="e">
        <f>IF(diabetesoriginal[[#This Row],[Diabetes]]=$S$1,diabetesoriginal[[#This Row],[Insulin]],NA())</f>
        <v>#N/A</v>
      </c>
    </row>
    <row r="533" spans="1:22" x14ac:dyDescent="0.25">
      <c r="A533" s="5">
        <v>0</v>
      </c>
      <c r="B533" s="5">
        <v>107</v>
      </c>
      <c r="C533" s="5">
        <v>76</v>
      </c>
      <c r="D533" s="5" t="s">
        <v>23</v>
      </c>
      <c r="E533" s="5">
        <v>29</v>
      </c>
      <c r="F533" s="5">
        <v>125</v>
      </c>
      <c r="G533" s="5">
        <v>45.3</v>
      </c>
      <c r="H533" s="5" t="s">
        <v>32</v>
      </c>
      <c r="I533" s="5">
        <v>0.68600000000000005</v>
      </c>
      <c r="J533" s="5">
        <v>24</v>
      </c>
      <c r="K533" s="5" t="s">
        <v>35</v>
      </c>
      <c r="L533" s="15">
        <v>0</v>
      </c>
      <c r="M533" s="5" t="s">
        <v>57</v>
      </c>
      <c r="N533" s="5" t="s">
        <v>56</v>
      </c>
      <c r="O533" s="5" t="s">
        <v>31</v>
      </c>
      <c r="R533" s="5">
        <f>IF(diabetesoriginal[[#This Row],[Diabetes]]=$R$1,diabetesoriginal[[#This Row],[Skin Thickness]],NA())</f>
        <v>29</v>
      </c>
      <c r="S533" s="5" t="e">
        <f>IF(diabetesoriginal[[#This Row],[Diabetes]]=$S$1,diabetesoriginal[[#This Row],[Skin Thickness]],NA())</f>
        <v>#N/A</v>
      </c>
      <c r="U533" s="5">
        <f>IF(diabetesoriginal[[#This Row],[Diabetes]]=$U$1,diabetesoriginal[[#This Row],[Insulin]],NA())</f>
        <v>125</v>
      </c>
      <c r="V533" s="5" t="e">
        <f>IF(diabetesoriginal[[#This Row],[Diabetes]]=$S$1,diabetesoriginal[[#This Row],[Insulin]],NA())</f>
        <v>#N/A</v>
      </c>
    </row>
    <row r="534" spans="1:22" x14ac:dyDescent="0.25">
      <c r="A534" s="5">
        <v>1</v>
      </c>
      <c r="B534" s="5">
        <v>86</v>
      </c>
      <c r="C534" s="5">
        <v>66</v>
      </c>
      <c r="D534" s="5" t="s">
        <v>23</v>
      </c>
      <c r="E534" s="5">
        <v>52</v>
      </c>
      <c r="F534" s="5">
        <v>65</v>
      </c>
      <c r="G534" s="5">
        <v>41.3</v>
      </c>
      <c r="H534" s="5" t="s">
        <v>32</v>
      </c>
      <c r="I534" s="5">
        <v>0.91700000000000004</v>
      </c>
      <c r="J534" s="5">
        <v>29</v>
      </c>
      <c r="K534" s="5" t="s">
        <v>35</v>
      </c>
      <c r="L534" s="15">
        <v>0</v>
      </c>
      <c r="M534" s="5" t="s">
        <v>57</v>
      </c>
      <c r="N534" s="5" t="s">
        <v>56</v>
      </c>
      <c r="O534" s="5" t="s">
        <v>31</v>
      </c>
      <c r="R534" s="5">
        <f>IF(diabetesoriginal[[#This Row],[Diabetes]]=$R$1,diabetesoriginal[[#This Row],[Skin Thickness]],NA())</f>
        <v>52</v>
      </c>
      <c r="S534" s="5" t="e">
        <f>IF(diabetesoriginal[[#This Row],[Diabetes]]=$S$1,diabetesoriginal[[#This Row],[Skin Thickness]],NA())</f>
        <v>#N/A</v>
      </c>
      <c r="U534" s="5">
        <f>IF(diabetesoriginal[[#This Row],[Diabetes]]=$U$1,diabetesoriginal[[#This Row],[Insulin]],NA())</f>
        <v>65</v>
      </c>
      <c r="V534" s="5" t="e">
        <f>IF(diabetesoriginal[[#This Row],[Diabetes]]=$S$1,diabetesoriginal[[#This Row],[Insulin]],NA())</f>
        <v>#N/A</v>
      </c>
    </row>
    <row r="535" spans="1:22" x14ac:dyDescent="0.25">
      <c r="A535" s="5">
        <v>6</v>
      </c>
      <c r="B535" s="5">
        <v>91</v>
      </c>
      <c r="C535" s="5">
        <v>72</v>
      </c>
      <c r="D535" s="5" t="s">
        <v>23</v>
      </c>
      <c r="E535" s="5">
        <v>29</v>
      </c>
      <c r="F535" s="5">
        <v>125</v>
      </c>
      <c r="G535" s="5">
        <v>29.8</v>
      </c>
      <c r="H535" s="5" t="s">
        <v>30</v>
      </c>
      <c r="I535" s="5">
        <v>0.501</v>
      </c>
      <c r="J535" s="5">
        <v>31</v>
      </c>
      <c r="K535" s="5" t="s">
        <v>36</v>
      </c>
      <c r="L535" s="15">
        <v>0</v>
      </c>
      <c r="M535" s="5" t="s">
        <v>57</v>
      </c>
      <c r="N535" s="5" t="s">
        <v>56</v>
      </c>
      <c r="O535" s="5" t="s">
        <v>31</v>
      </c>
      <c r="R535" s="5">
        <f>IF(diabetesoriginal[[#This Row],[Diabetes]]=$R$1,diabetesoriginal[[#This Row],[Skin Thickness]],NA())</f>
        <v>29</v>
      </c>
      <c r="S535" s="5" t="e">
        <f>IF(diabetesoriginal[[#This Row],[Diabetes]]=$S$1,diabetesoriginal[[#This Row],[Skin Thickness]],NA())</f>
        <v>#N/A</v>
      </c>
      <c r="U535" s="5">
        <f>IF(diabetesoriginal[[#This Row],[Diabetes]]=$U$1,diabetesoriginal[[#This Row],[Insulin]],NA())</f>
        <v>125</v>
      </c>
      <c r="V535" s="5" t="e">
        <f>IF(diabetesoriginal[[#This Row],[Diabetes]]=$S$1,diabetesoriginal[[#This Row],[Insulin]],NA())</f>
        <v>#N/A</v>
      </c>
    </row>
    <row r="536" spans="1:22" x14ac:dyDescent="0.25">
      <c r="A536" s="5">
        <v>1</v>
      </c>
      <c r="B536" s="5">
        <v>77</v>
      </c>
      <c r="C536" s="5">
        <v>56</v>
      </c>
      <c r="D536" s="5" t="s">
        <v>23</v>
      </c>
      <c r="E536" s="5">
        <v>30</v>
      </c>
      <c r="F536" s="5">
        <v>56</v>
      </c>
      <c r="G536" s="5">
        <v>33.299999999999997</v>
      </c>
      <c r="H536" s="5" t="s">
        <v>29</v>
      </c>
      <c r="I536" s="5">
        <v>1.2509999999999999</v>
      </c>
      <c r="J536" s="5">
        <v>24</v>
      </c>
      <c r="K536" s="5" t="s">
        <v>35</v>
      </c>
      <c r="L536" s="15">
        <v>0</v>
      </c>
      <c r="M536" s="5" t="s">
        <v>57</v>
      </c>
      <c r="N536" s="5" t="s">
        <v>56</v>
      </c>
      <c r="O536" s="5" t="s">
        <v>31</v>
      </c>
      <c r="R536" s="5">
        <f>IF(diabetesoriginal[[#This Row],[Diabetes]]=$R$1,diabetesoriginal[[#This Row],[Skin Thickness]],NA())</f>
        <v>30</v>
      </c>
      <c r="S536" s="5" t="e">
        <f>IF(diabetesoriginal[[#This Row],[Diabetes]]=$S$1,diabetesoriginal[[#This Row],[Skin Thickness]],NA())</f>
        <v>#N/A</v>
      </c>
      <c r="U536" s="5">
        <f>IF(diabetesoriginal[[#This Row],[Diabetes]]=$U$1,diabetesoriginal[[#This Row],[Insulin]],NA())</f>
        <v>56</v>
      </c>
      <c r="V536" s="5" t="e">
        <f>IF(diabetesoriginal[[#This Row],[Diabetes]]=$S$1,diabetesoriginal[[#This Row],[Insulin]],NA())</f>
        <v>#N/A</v>
      </c>
    </row>
    <row r="537" spans="1:22" x14ac:dyDescent="0.25">
      <c r="A537" s="5">
        <v>4</v>
      </c>
      <c r="B537" s="5">
        <v>132</v>
      </c>
      <c r="C537" s="5">
        <v>72</v>
      </c>
      <c r="D537" s="5" t="s">
        <v>23</v>
      </c>
      <c r="E537" s="5">
        <v>29</v>
      </c>
      <c r="F537" s="5">
        <v>125</v>
      </c>
      <c r="G537" s="5">
        <v>32.9</v>
      </c>
      <c r="H537" s="5" t="s">
        <v>29</v>
      </c>
      <c r="I537" s="5">
        <v>0.30199999999999999</v>
      </c>
      <c r="J537" s="5">
        <v>23</v>
      </c>
      <c r="K537" s="5" t="s">
        <v>35</v>
      </c>
      <c r="L537" s="15">
        <v>1</v>
      </c>
      <c r="M537" s="5" t="s">
        <v>57</v>
      </c>
      <c r="N537" s="5" t="s">
        <v>56</v>
      </c>
      <c r="O537" s="5" t="s">
        <v>31</v>
      </c>
      <c r="R537" s="5" t="e">
        <f>IF(diabetesoriginal[[#This Row],[Diabetes]]=$R$1,diabetesoriginal[[#This Row],[Skin Thickness]],NA())</f>
        <v>#N/A</v>
      </c>
      <c r="S537" s="5">
        <f>IF(diabetesoriginal[[#This Row],[Diabetes]]=$S$1,diabetesoriginal[[#This Row],[Skin Thickness]],NA())</f>
        <v>29</v>
      </c>
      <c r="U537" s="5" t="e">
        <f>IF(diabetesoriginal[[#This Row],[Diabetes]]=$U$1,diabetesoriginal[[#This Row],[Insulin]],NA())</f>
        <v>#N/A</v>
      </c>
      <c r="V537" s="5">
        <f>IF(diabetesoriginal[[#This Row],[Diabetes]]=$S$1,diabetesoriginal[[#This Row],[Insulin]],NA())</f>
        <v>125</v>
      </c>
    </row>
    <row r="538" spans="1:22" x14ac:dyDescent="0.25">
      <c r="A538" s="5">
        <v>0</v>
      </c>
      <c r="B538" s="5">
        <v>105</v>
      </c>
      <c r="C538" s="5">
        <v>90</v>
      </c>
      <c r="D538" s="5" t="s">
        <v>24</v>
      </c>
      <c r="E538" s="5">
        <v>29</v>
      </c>
      <c r="F538" s="5">
        <v>125</v>
      </c>
      <c r="G538" s="5">
        <v>29.6</v>
      </c>
      <c r="H538" s="5" t="s">
        <v>30</v>
      </c>
      <c r="I538" s="5">
        <v>0.19700000000000001</v>
      </c>
      <c r="J538" s="5">
        <v>46</v>
      </c>
      <c r="K538" s="5" t="s">
        <v>37</v>
      </c>
      <c r="L538" s="15">
        <v>0</v>
      </c>
      <c r="M538" s="5" t="s">
        <v>57</v>
      </c>
      <c r="N538" s="5" t="s">
        <v>56</v>
      </c>
      <c r="O538" s="5" t="s">
        <v>31</v>
      </c>
      <c r="R538" s="5">
        <f>IF(diabetesoriginal[[#This Row],[Diabetes]]=$R$1,diabetesoriginal[[#This Row],[Skin Thickness]],NA())</f>
        <v>29</v>
      </c>
      <c r="S538" s="5" t="e">
        <f>IF(diabetesoriginal[[#This Row],[Diabetes]]=$S$1,diabetesoriginal[[#This Row],[Skin Thickness]],NA())</f>
        <v>#N/A</v>
      </c>
      <c r="U538" s="5">
        <f>IF(diabetesoriginal[[#This Row],[Diabetes]]=$U$1,diabetesoriginal[[#This Row],[Insulin]],NA())</f>
        <v>125</v>
      </c>
      <c r="V538" s="5" t="e">
        <f>IF(diabetesoriginal[[#This Row],[Diabetes]]=$S$1,diabetesoriginal[[#This Row],[Insulin]],NA())</f>
        <v>#N/A</v>
      </c>
    </row>
    <row r="539" spans="1:22" x14ac:dyDescent="0.25">
      <c r="A539" s="5">
        <v>0</v>
      </c>
      <c r="B539" s="5">
        <v>57</v>
      </c>
      <c r="C539" s="5">
        <v>60</v>
      </c>
      <c r="D539" s="5" t="s">
        <v>23</v>
      </c>
      <c r="E539" s="5">
        <v>29</v>
      </c>
      <c r="F539" s="5">
        <v>125</v>
      </c>
      <c r="G539" s="5">
        <v>21.7</v>
      </c>
      <c r="H539" s="5" t="s">
        <v>31</v>
      </c>
      <c r="I539" s="5">
        <v>0.73499999999999999</v>
      </c>
      <c r="J539" s="5">
        <v>67</v>
      </c>
      <c r="K539" s="5" t="s">
        <v>39</v>
      </c>
      <c r="L539" s="15">
        <v>0</v>
      </c>
      <c r="M539" s="5" t="s">
        <v>57</v>
      </c>
      <c r="N539" s="5" t="s">
        <v>56</v>
      </c>
      <c r="O539" s="5" t="s">
        <v>31</v>
      </c>
      <c r="R539" s="5">
        <f>IF(diabetesoriginal[[#This Row],[Diabetes]]=$R$1,diabetesoriginal[[#This Row],[Skin Thickness]],NA())</f>
        <v>29</v>
      </c>
      <c r="S539" s="5" t="e">
        <f>IF(diabetesoriginal[[#This Row],[Diabetes]]=$S$1,diabetesoriginal[[#This Row],[Skin Thickness]],NA())</f>
        <v>#N/A</v>
      </c>
      <c r="U539" s="5">
        <f>IF(diabetesoriginal[[#This Row],[Diabetes]]=$U$1,diabetesoriginal[[#This Row],[Insulin]],NA())</f>
        <v>125</v>
      </c>
      <c r="V539" s="5" t="e">
        <f>IF(diabetesoriginal[[#This Row],[Diabetes]]=$S$1,diabetesoriginal[[#This Row],[Insulin]],NA())</f>
        <v>#N/A</v>
      </c>
    </row>
    <row r="540" spans="1:22" x14ac:dyDescent="0.25">
      <c r="A540" s="5">
        <v>0</v>
      </c>
      <c r="B540" s="5">
        <v>127</v>
      </c>
      <c r="C540" s="5">
        <v>80</v>
      </c>
      <c r="D540" s="5" t="s">
        <v>25</v>
      </c>
      <c r="E540" s="5">
        <v>37</v>
      </c>
      <c r="F540" s="5">
        <v>210</v>
      </c>
      <c r="G540" s="5">
        <v>36.299999999999997</v>
      </c>
      <c r="H540" s="5" t="s">
        <v>29</v>
      </c>
      <c r="I540" s="5">
        <v>0.80400000000000005</v>
      </c>
      <c r="J540" s="5">
        <v>23</v>
      </c>
      <c r="K540" s="5" t="s">
        <v>35</v>
      </c>
      <c r="L540" s="15">
        <v>0</v>
      </c>
      <c r="M540" s="5" t="s">
        <v>57</v>
      </c>
      <c r="N540" s="5" t="s">
        <v>56</v>
      </c>
      <c r="O540" s="5" t="s">
        <v>59</v>
      </c>
      <c r="R540" s="5">
        <f>IF(diabetesoriginal[[#This Row],[Diabetes]]=$R$1,diabetesoriginal[[#This Row],[Skin Thickness]],NA())</f>
        <v>37</v>
      </c>
      <c r="S540" s="5" t="e">
        <f>IF(diabetesoriginal[[#This Row],[Diabetes]]=$S$1,diabetesoriginal[[#This Row],[Skin Thickness]],NA())</f>
        <v>#N/A</v>
      </c>
      <c r="U540" s="5">
        <f>IF(diabetesoriginal[[#This Row],[Diabetes]]=$U$1,diabetesoriginal[[#This Row],[Insulin]],NA())</f>
        <v>210</v>
      </c>
      <c r="V540" s="5" t="e">
        <f>IF(diabetesoriginal[[#This Row],[Diabetes]]=$S$1,diabetesoriginal[[#This Row],[Insulin]],NA())</f>
        <v>#N/A</v>
      </c>
    </row>
    <row r="541" spans="1:22" x14ac:dyDescent="0.25">
      <c r="A541" s="5">
        <v>3</v>
      </c>
      <c r="B541" s="5">
        <v>129</v>
      </c>
      <c r="C541" s="5">
        <v>92</v>
      </c>
      <c r="D541" s="5" t="s">
        <v>24</v>
      </c>
      <c r="E541" s="5">
        <v>49</v>
      </c>
      <c r="F541" s="5">
        <v>155</v>
      </c>
      <c r="G541" s="5">
        <v>36.4</v>
      </c>
      <c r="H541" s="5" t="s">
        <v>29</v>
      </c>
      <c r="I541" s="5">
        <v>0.96799999999999997</v>
      </c>
      <c r="J541" s="5">
        <v>32</v>
      </c>
      <c r="K541" s="5" t="s">
        <v>36</v>
      </c>
      <c r="L541" s="15">
        <v>1</v>
      </c>
      <c r="M541" s="5" t="s">
        <v>57</v>
      </c>
      <c r="N541" s="5" t="s">
        <v>56</v>
      </c>
      <c r="O541" s="5" t="s">
        <v>31</v>
      </c>
      <c r="R541" s="5" t="e">
        <f>IF(diabetesoriginal[[#This Row],[Diabetes]]=$R$1,diabetesoriginal[[#This Row],[Skin Thickness]],NA())</f>
        <v>#N/A</v>
      </c>
      <c r="S541" s="5">
        <f>IF(diabetesoriginal[[#This Row],[Diabetes]]=$S$1,diabetesoriginal[[#This Row],[Skin Thickness]],NA())</f>
        <v>49</v>
      </c>
      <c r="U541" s="5" t="e">
        <f>IF(diabetesoriginal[[#This Row],[Diabetes]]=$U$1,diabetesoriginal[[#This Row],[Insulin]],NA())</f>
        <v>#N/A</v>
      </c>
      <c r="V541" s="5">
        <f>IF(diabetesoriginal[[#This Row],[Diabetes]]=$S$1,diabetesoriginal[[#This Row],[Insulin]],NA())</f>
        <v>155</v>
      </c>
    </row>
    <row r="542" spans="1:22" x14ac:dyDescent="0.25">
      <c r="A542" s="5">
        <v>8</v>
      </c>
      <c r="B542" s="5">
        <v>100</v>
      </c>
      <c r="C542" s="5">
        <v>74</v>
      </c>
      <c r="D542" s="5" t="s">
        <v>23</v>
      </c>
      <c r="E542" s="5">
        <v>40</v>
      </c>
      <c r="F542" s="5">
        <v>215</v>
      </c>
      <c r="G542" s="5">
        <v>39.4</v>
      </c>
      <c r="H542" s="5" t="s">
        <v>29</v>
      </c>
      <c r="I542" s="5">
        <v>0.66100000000000003</v>
      </c>
      <c r="J542" s="5">
        <v>43</v>
      </c>
      <c r="K542" s="5" t="s">
        <v>37</v>
      </c>
      <c r="L542" s="15">
        <v>1</v>
      </c>
      <c r="M542" s="5" t="s">
        <v>57</v>
      </c>
      <c r="N542" s="5" t="s">
        <v>56</v>
      </c>
      <c r="O542" s="5" t="s">
        <v>59</v>
      </c>
      <c r="R542" s="5" t="e">
        <f>IF(diabetesoriginal[[#This Row],[Diabetes]]=$R$1,diabetesoriginal[[#This Row],[Skin Thickness]],NA())</f>
        <v>#N/A</v>
      </c>
      <c r="S542" s="5">
        <f>IF(diabetesoriginal[[#This Row],[Diabetes]]=$S$1,diabetesoriginal[[#This Row],[Skin Thickness]],NA())</f>
        <v>40</v>
      </c>
      <c r="U542" s="5" t="e">
        <f>IF(diabetesoriginal[[#This Row],[Diabetes]]=$U$1,diabetesoriginal[[#This Row],[Insulin]],NA())</f>
        <v>#N/A</v>
      </c>
      <c r="V542" s="5">
        <f>IF(diabetesoriginal[[#This Row],[Diabetes]]=$S$1,diabetesoriginal[[#This Row],[Insulin]],NA())</f>
        <v>215</v>
      </c>
    </row>
    <row r="543" spans="1:22" x14ac:dyDescent="0.25">
      <c r="A543" s="5">
        <v>3</v>
      </c>
      <c r="B543" s="5">
        <v>128</v>
      </c>
      <c r="C543" s="5">
        <v>72</v>
      </c>
      <c r="D543" s="5" t="s">
        <v>23</v>
      </c>
      <c r="E543" s="5">
        <v>25</v>
      </c>
      <c r="F543" s="5">
        <v>190</v>
      </c>
      <c r="G543" s="5">
        <v>32.4</v>
      </c>
      <c r="H543" s="5" t="s">
        <v>29</v>
      </c>
      <c r="I543" s="5">
        <v>0.54900000000000004</v>
      </c>
      <c r="J543" s="5">
        <v>27</v>
      </c>
      <c r="K543" s="5" t="s">
        <v>35</v>
      </c>
      <c r="L543" s="15">
        <v>1</v>
      </c>
      <c r="M543" s="5" t="s">
        <v>57</v>
      </c>
      <c r="N543" s="5" t="s">
        <v>56</v>
      </c>
      <c r="O543" s="5" t="s">
        <v>59</v>
      </c>
      <c r="R543" s="5" t="e">
        <f>IF(diabetesoriginal[[#This Row],[Diabetes]]=$R$1,diabetesoriginal[[#This Row],[Skin Thickness]],NA())</f>
        <v>#N/A</v>
      </c>
      <c r="S543" s="5">
        <f>IF(diabetesoriginal[[#This Row],[Diabetes]]=$S$1,diabetesoriginal[[#This Row],[Skin Thickness]],NA())</f>
        <v>25</v>
      </c>
      <c r="U543" s="5" t="e">
        <f>IF(diabetesoriginal[[#This Row],[Diabetes]]=$U$1,diabetesoriginal[[#This Row],[Insulin]],NA())</f>
        <v>#N/A</v>
      </c>
      <c r="V543" s="5">
        <f>IF(diabetesoriginal[[#This Row],[Diabetes]]=$S$1,diabetesoriginal[[#This Row],[Insulin]],NA())</f>
        <v>190</v>
      </c>
    </row>
    <row r="544" spans="1:22" x14ac:dyDescent="0.25">
      <c r="A544" s="5">
        <v>10</v>
      </c>
      <c r="B544" s="5">
        <v>90</v>
      </c>
      <c r="C544" s="5">
        <v>85</v>
      </c>
      <c r="D544" s="5" t="s">
        <v>25</v>
      </c>
      <c r="E544" s="5">
        <v>32</v>
      </c>
      <c r="F544" s="5">
        <v>125</v>
      </c>
      <c r="G544" s="5">
        <v>34.9</v>
      </c>
      <c r="H544" s="5" t="s">
        <v>29</v>
      </c>
      <c r="I544" s="5">
        <v>0.82499999999999996</v>
      </c>
      <c r="J544" s="5">
        <v>56</v>
      </c>
      <c r="K544" s="5" t="s">
        <v>38</v>
      </c>
      <c r="L544" s="15">
        <v>1</v>
      </c>
      <c r="M544" s="5" t="s">
        <v>57</v>
      </c>
      <c r="N544" s="5" t="s">
        <v>56</v>
      </c>
      <c r="O544" s="5" t="s">
        <v>31</v>
      </c>
      <c r="R544" s="5" t="e">
        <f>IF(diabetesoriginal[[#This Row],[Diabetes]]=$R$1,diabetesoriginal[[#This Row],[Skin Thickness]],NA())</f>
        <v>#N/A</v>
      </c>
      <c r="S544" s="5">
        <f>IF(diabetesoriginal[[#This Row],[Diabetes]]=$S$1,diabetesoriginal[[#This Row],[Skin Thickness]],NA())</f>
        <v>32</v>
      </c>
      <c r="U544" s="5" t="e">
        <f>IF(diabetesoriginal[[#This Row],[Diabetes]]=$U$1,diabetesoriginal[[#This Row],[Insulin]],NA())</f>
        <v>#N/A</v>
      </c>
      <c r="V544" s="5">
        <f>IF(diabetesoriginal[[#This Row],[Diabetes]]=$S$1,diabetesoriginal[[#This Row],[Insulin]],NA())</f>
        <v>125</v>
      </c>
    </row>
    <row r="545" spans="1:22" x14ac:dyDescent="0.25">
      <c r="A545" s="5">
        <v>4</v>
      </c>
      <c r="B545" s="5">
        <v>84</v>
      </c>
      <c r="C545" s="5">
        <v>90</v>
      </c>
      <c r="D545" s="5" t="s">
        <v>24</v>
      </c>
      <c r="E545" s="5">
        <v>23</v>
      </c>
      <c r="F545" s="5">
        <v>56</v>
      </c>
      <c r="G545" s="5">
        <v>39.5</v>
      </c>
      <c r="H545" s="5" t="s">
        <v>29</v>
      </c>
      <c r="I545" s="5">
        <v>0.159</v>
      </c>
      <c r="J545" s="5">
        <v>25</v>
      </c>
      <c r="K545" s="5" t="s">
        <v>35</v>
      </c>
      <c r="L545" s="15">
        <v>0</v>
      </c>
      <c r="M545" s="5" t="s">
        <v>57</v>
      </c>
      <c r="N545" s="5" t="s">
        <v>58</v>
      </c>
      <c r="O545" s="5" t="s">
        <v>31</v>
      </c>
      <c r="R545" s="5">
        <f>IF(diabetesoriginal[[#This Row],[Diabetes]]=$R$1,diabetesoriginal[[#This Row],[Skin Thickness]],NA())</f>
        <v>23</v>
      </c>
      <c r="S545" s="5" t="e">
        <f>IF(diabetesoriginal[[#This Row],[Diabetes]]=$S$1,diabetesoriginal[[#This Row],[Skin Thickness]],NA())</f>
        <v>#N/A</v>
      </c>
      <c r="U545" s="5">
        <f>IF(diabetesoriginal[[#This Row],[Diabetes]]=$U$1,diabetesoriginal[[#This Row],[Insulin]],NA())</f>
        <v>56</v>
      </c>
      <c r="V545" s="5" t="e">
        <f>IF(diabetesoriginal[[#This Row],[Diabetes]]=$S$1,diabetesoriginal[[#This Row],[Insulin]],NA())</f>
        <v>#N/A</v>
      </c>
    </row>
    <row r="546" spans="1:22" x14ac:dyDescent="0.25">
      <c r="A546" s="5">
        <v>1</v>
      </c>
      <c r="B546" s="5">
        <v>88</v>
      </c>
      <c r="C546" s="5">
        <v>78</v>
      </c>
      <c r="D546" s="5" t="s">
        <v>23</v>
      </c>
      <c r="E546" s="5">
        <v>29</v>
      </c>
      <c r="F546" s="5">
        <v>76</v>
      </c>
      <c r="G546" s="5">
        <v>32</v>
      </c>
      <c r="H546" s="5" t="s">
        <v>29</v>
      </c>
      <c r="I546" s="5">
        <v>0.36499999999999999</v>
      </c>
      <c r="J546" s="5">
        <v>29</v>
      </c>
      <c r="K546" s="5" t="s">
        <v>35</v>
      </c>
      <c r="L546" s="15">
        <v>0</v>
      </c>
      <c r="M546" s="5" t="s">
        <v>57</v>
      </c>
      <c r="N546" s="5" t="s">
        <v>56</v>
      </c>
      <c r="O546" s="5" t="s">
        <v>31</v>
      </c>
      <c r="R546" s="5">
        <f>IF(diabetesoriginal[[#This Row],[Diabetes]]=$R$1,diabetesoriginal[[#This Row],[Skin Thickness]],NA())</f>
        <v>29</v>
      </c>
      <c r="S546" s="5" t="e">
        <f>IF(diabetesoriginal[[#This Row],[Diabetes]]=$S$1,diabetesoriginal[[#This Row],[Skin Thickness]],NA())</f>
        <v>#N/A</v>
      </c>
      <c r="U546" s="5">
        <f>IF(diabetesoriginal[[#This Row],[Diabetes]]=$U$1,diabetesoriginal[[#This Row],[Insulin]],NA())</f>
        <v>76</v>
      </c>
      <c r="V546" s="5" t="e">
        <f>IF(diabetesoriginal[[#This Row],[Diabetes]]=$S$1,diabetesoriginal[[#This Row],[Insulin]],NA())</f>
        <v>#N/A</v>
      </c>
    </row>
    <row r="547" spans="1:22" x14ac:dyDescent="0.25">
      <c r="A547" s="5">
        <v>8</v>
      </c>
      <c r="B547" s="5">
        <v>186</v>
      </c>
      <c r="C547" s="5">
        <v>90</v>
      </c>
      <c r="D547" s="5" t="s">
        <v>24</v>
      </c>
      <c r="E547" s="5">
        <v>35</v>
      </c>
      <c r="F547" s="5">
        <v>225</v>
      </c>
      <c r="G547" s="5">
        <v>34.5</v>
      </c>
      <c r="H547" s="5" t="s">
        <v>29</v>
      </c>
      <c r="I547" s="5">
        <v>0.42299999999999999</v>
      </c>
      <c r="J547" s="5">
        <v>37</v>
      </c>
      <c r="K547" s="5" t="s">
        <v>36</v>
      </c>
      <c r="L547" s="15">
        <v>1</v>
      </c>
      <c r="M547" s="5" t="s">
        <v>22</v>
      </c>
      <c r="N547" s="5" t="s">
        <v>56</v>
      </c>
      <c r="O547" s="5" t="s">
        <v>59</v>
      </c>
      <c r="R547" s="5" t="e">
        <f>IF(diabetesoriginal[[#This Row],[Diabetes]]=$R$1,diabetesoriginal[[#This Row],[Skin Thickness]],NA())</f>
        <v>#N/A</v>
      </c>
      <c r="S547" s="5">
        <f>IF(diabetesoriginal[[#This Row],[Diabetes]]=$S$1,diabetesoriginal[[#This Row],[Skin Thickness]],NA())</f>
        <v>35</v>
      </c>
      <c r="U547" s="5" t="e">
        <f>IF(diabetesoriginal[[#This Row],[Diabetes]]=$U$1,diabetesoriginal[[#This Row],[Insulin]],NA())</f>
        <v>#N/A</v>
      </c>
      <c r="V547" s="5">
        <f>IF(diabetesoriginal[[#This Row],[Diabetes]]=$S$1,diabetesoriginal[[#This Row],[Insulin]],NA())</f>
        <v>225</v>
      </c>
    </row>
    <row r="548" spans="1:22" x14ac:dyDescent="0.25">
      <c r="A548" s="5">
        <v>5</v>
      </c>
      <c r="B548" s="5">
        <v>187</v>
      </c>
      <c r="C548" s="5">
        <v>76</v>
      </c>
      <c r="D548" s="5" t="s">
        <v>23</v>
      </c>
      <c r="E548" s="5">
        <v>27</v>
      </c>
      <c r="F548" s="5">
        <v>207</v>
      </c>
      <c r="G548" s="5">
        <v>43.6</v>
      </c>
      <c r="H548" s="5" t="s">
        <v>32</v>
      </c>
      <c r="I548" s="5">
        <v>1.034</v>
      </c>
      <c r="J548" s="5">
        <v>53</v>
      </c>
      <c r="K548" s="5" t="s">
        <v>38</v>
      </c>
      <c r="L548" s="15">
        <v>1</v>
      </c>
      <c r="M548" s="5" t="s">
        <v>22</v>
      </c>
      <c r="N548" s="5" t="s">
        <v>56</v>
      </c>
      <c r="O548" s="5" t="s">
        <v>59</v>
      </c>
      <c r="R548" s="5" t="e">
        <f>IF(diabetesoriginal[[#This Row],[Diabetes]]=$R$1,diabetesoriginal[[#This Row],[Skin Thickness]],NA())</f>
        <v>#N/A</v>
      </c>
      <c r="S548" s="5">
        <f>IF(diabetesoriginal[[#This Row],[Diabetes]]=$S$1,diabetesoriginal[[#This Row],[Skin Thickness]],NA())</f>
        <v>27</v>
      </c>
      <c r="U548" s="5" t="e">
        <f>IF(diabetesoriginal[[#This Row],[Diabetes]]=$U$1,diabetesoriginal[[#This Row],[Insulin]],NA())</f>
        <v>#N/A</v>
      </c>
      <c r="V548" s="5">
        <f>IF(diabetesoriginal[[#This Row],[Diabetes]]=$S$1,diabetesoriginal[[#This Row],[Insulin]],NA())</f>
        <v>207</v>
      </c>
    </row>
    <row r="549" spans="1:22" x14ac:dyDescent="0.25">
      <c r="A549" s="5">
        <v>4</v>
      </c>
      <c r="B549" s="5">
        <v>131</v>
      </c>
      <c r="C549" s="5">
        <v>68</v>
      </c>
      <c r="D549" s="5" t="s">
        <v>23</v>
      </c>
      <c r="E549" s="5">
        <v>21</v>
      </c>
      <c r="F549" s="5">
        <v>166</v>
      </c>
      <c r="G549" s="5">
        <v>33.1</v>
      </c>
      <c r="H549" s="5" t="s">
        <v>29</v>
      </c>
      <c r="I549" s="5">
        <v>0.16</v>
      </c>
      <c r="J549" s="5">
        <v>28</v>
      </c>
      <c r="K549" s="5" t="s">
        <v>35</v>
      </c>
      <c r="L549" s="15">
        <v>0</v>
      </c>
      <c r="M549" s="5" t="s">
        <v>57</v>
      </c>
      <c r="N549" s="5" t="s">
        <v>58</v>
      </c>
      <c r="O549" s="5" t="s">
        <v>31</v>
      </c>
      <c r="R549" s="5">
        <f>IF(diabetesoriginal[[#This Row],[Diabetes]]=$R$1,diabetesoriginal[[#This Row],[Skin Thickness]],NA())</f>
        <v>21</v>
      </c>
      <c r="S549" s="5" t="e">
        <f>IF(diabetesoriginal[[#This Row],[Diabetes]]=$S$1,diabetesoriginal[[#This Row],[Skin Thickness]],NA())</f>
        <v>#N/A</v>
      </c>
      <c r="U549" s="5">
        <f>IF(diabetesoriginal[[#This Row],[Diabetes]]=$U$1,diabetesoriginal[[#This Row],[Insulin]],NA())</f>
        <v>166</v>
      </c>
      <c r="V549" s="5" t="e">
        <f>IF(diabetesoriginal[[#This Row],[Diabetes]]=$S$1,diabetesoriginal[[#This Row],[Insulin]],NA())</f>
        <v>#N/A</v>
      </c>
    </row>
    <row r="550" spans="1:22" x14ac:dyDescent="0.25">
      <c r="A550" s="5">
        <v>1</v>
      </c>
      <c r="B550" s="5">
        <v>164</v>
      </c>
      <c r="C550" s="5">
        <v>82</v>
      </c>
      <c r="D550" s="5" t="s">
        <v>25</v>
      </c>
      <c r="E550" s="5">
        <v>43</v>
      </c>
      <c r="F550" s="5">
        <v>67</v>
      </c>
      <c r="G550" s="5">
        <v>32.799999999999997</v>
      </c>
      <c r="H550" s="5" t="s">
        <v>29</v>
      </c>
      <c r="I550" s="5">
        <v>0.34100000000000003</v>
      </c>
      <c r="J550" s="5">
        <v>50</v>
      </c>
      <c r="K550" s="5" t="s">
        <v>38</v>
      </c>
      <c r="L550" s="15">
        <v>0</v>
      </c>
      <c r="M550" s="5" t="s">
        <v>22</v>
      </c>
      <c r="N550" s="5" t="s">
        <v>56</v>
      </c>
      <c r="O550" s="5" t="s">
        <v>31</v>
      </c>
      <c r="R550" s="5">
        <f>IF(diabetesoriginal[[#This Row],[Diabetes]]=$R$1,diabetesoriginal[[#This Row],[Skin Thickness]],NA())</f>
        <v>43</v>
      </c>
      <c r="S550" s="5" t="e">
        <f>IF(diabetesoriginal[[#This Row],[Diabetes]]=$S$1,diabetesoriginal[[#This Row],[Skin Thickness]],NA())</f>
        <v>#N/A</v>
      </c>
      <c r="U550" s="5">
        <f>IF(diabetesoriginal[[#This Row],[Diabetes]]=$U$1,diabetesoriginal[[#This Row],[Insulin]],NA())</f>
        <v>67</v>
      </c>
      <c r="V550" s="5" t="e">
        <f>IF(diabetesoriginal[[#This Row],[Diabetes]]=$S$1,diabetesoriginal[[#This Row],[Insulin]],NA())</f>
        <v>#N/A</v>
      </c>
    </row>
    <row r="551" spans="1:22" x14ac:dyDescent="0.25">
      <c r="A551" s="5">
        <v>4</v>
      </c>
      <c r="B551" s="5">
        <v>189</v>
      </c>
      <c r="C551" s="5">
        <v>110</v>
      </c>
      <c r="D551" s="5" t="s">
        <v>26</v>
      </c>
      <c r="E551" s="5">
        <v>31</v>
      </c>
      <c r="F551" s="5">
        <v>125</v>
      </c>
      <c r="G551" s="5">
        <v>28.5</v>
      </c>
      <c r="H551" s="5" t="s">
        <v>30</v>
      </c>
      <c r="I551" s="5">
        <v>0.68</v>
      </c>
      <c r="J551" s="5">
        <v>37</v>
      </c>
      <c r="K551" s="5" t="s">
        <v>36</v>
      </c>
      <c r="L551" s="15">
        <v>0</v>
      </c>
      <c r="M551" s="5" t="s">
        <v>22</v>
      </c>
      <c r="N551" s="5" t="s">
        <v>56</v>
      </c>
      <c r="O551" s="5" t="s">
        <v>31</v>
      </c>
      <c r="R551" s="5">
        <f>IF(diabetesoriginal[[#This Row],[Diabetes]]=$R$1,diabetesoriginal[[#This Row],[Skin Thickness]],NA())</f>
        <v>31</v>
      </c>
      <c r="S551" s="5" t="e">
        <f>IF(diabetesoriginal[[#This Row],[Diabetes]]=$S$1,diabetesoriginal[[#This Row],[Skin Thickness]],NA())</f>
        <v>#N/A</v>
      </c>
      <c r="U551" s="5">
        <f>IF(diabetesoriginal[[#This Row],[Diabetes]]=$U$1,diabetesoriginal[[#This Row],[Insulin]],NA())</f>
        <v>125</v>
      </c>
      <c r="V551" s="5" t="e">
        <f>IF(diabetesoriginal[[#This Row],[Diabetes]]=$S$1,diabetesoriginal[[#This Row],[Insulin]],NA())</f>
        <v>#N/A</v>
      </c>
    </row>
    <row r="552" spans="1:22" x14ac:dyDescent="0.25">
      <c r="A552" s="5">
        <v>1</v>
      </c>
      <c r="B552" s="5">
        <v>116</v>
      </c>
      <c r="C552" s="5">
        <v>70</v>
      </c>
      <c r="D552" s="5" t="s">
        <v>23</v>
      </c>
      <c r="E552" s="5">
        <v>28</v>
      </c>
      <c r="F552" s="5">
        <v>125</v>
      </c>
      <c r="G552" s="5">
        <v>27.4</v>
      </c>
      <c r="H552" s="5" t="s">
        <v>30</v>
      </c>
      <c r="I552" s="5">
        <v>0.20399999999999999</v>
      </c>
      <c r="J552" s="5">
        <v>21</v>
      </c>
      <c r="K552" s="5" t="s">
        <v>35</v>
      </c>
      <c r="L552" s="15">
        <v>0</v>
      </c>
      <c r="M552" s="5" t="s">
        <v>57</v>
      </c>
      <c r="N552" s="5" t="s">
        <v>56</v>
      </c>
      <c r="O552" s="5" t="s">
        <v>31</v>
      </c>
      <c r="R552" s="5">
        <f>IF(diabetesoriginal[[#This Row],[Diabetes]]=$R$1,diabetesoriginal[[#This Row],[Skin Thickness]],NA())</f>
        <v>28</v>
      </c>
      <c r="S552" s="5" t="e">
        <f>IF(diabetesoriginal[[#This Row],[Diabetes]]=$S$1,diabetesoriginal[[#This Row],[Skin Thickness]],NA())</f>
        <v>#N/A</v>
      </c>
      <c r="U552" s="5">
        <f>IF(diabetesoriginal[[#This Row],[Diabetes]]=$U$1,diabetesoriginal[[#This Row],[Insulin]],NA())</f>
        <v>125</v>
      </c>
      <c r="V552" s="5" t="e">
        <f>IF(diabetesoriginal[[#This Row],[Diabetes]]=$S$1,diabetesoriginal[[#This Row],[Insulin]],NA())</f>
        <v>#N/A</v>
      </c>
    </row>
    <row r="553" spans="1:22" x14ac:dyDescent="0.25">
      <c r="A553" s="5">
        <v>3</v>
      </c>
      <c r="B553" s="5">
        <v>84</v>
      </c>
      <c r="C553" s="5">
        <v>68</v>
      </c>
      <c r="D553" s="5" t="s">
        <v>23</v>
      </c>
      <c r="E553" s="5">
        <v>30</v>
      </c>
      <c r="F553" s="5">
        <v>106</v>
      </c>
      <c r="G553" s="5">
        <v>31.9</v>
      </c>
      <c r="H553" s="5" t="s">
        <v>29</v>
      </c>
      <c r="I553" s="5">
        <v>0.59099999999999997</v>
      </c>
      <c r="J553" s="5">
        <v>25</v>
      </c>
      <c r="K553" s="5" t="s">
        <v>35</v>
      </c>
      <c r="L553" s="15">
        <v>0</v>
      </c>
      <c r="M553" s="5" t="s">
        <v>57</v>
      </c>
      <c r="N553" s="5" t="s">
        <v>56</v>
      </c>
      <c r="O553" s="5" t="s">
        <v>31</v>
      </c>
      <c r="R553" s="5">
        <f>IF(diabetesoriginal[[#This Row],[Diabetes]]=$R$1,diabetesoriginal[[#This Row],[Skin Thickness]],NA())</f>
        <v>30</v>
      </c>
      <c r="S553" s="5" t="e">
        <f>IF(diabetesoriginal[[#This Row],[Diabetes]]=$S$1,diabetesoriginal[[#This Row],[Skin Thickness]],NA())</f>
        <v>#N/A</v>
      </c>
      <c r="U553" s="5">
        <f>IF(diabetesoriginal[[#This Row],[Diabetes]]=$U$1,diabetesoriginal[[#This Row],[Insulin]],NA())</f>
        <v>106</v>
      </c>
      <c r="V553" s="5" t="e">
        <f>IF(diabetesoriginal[[#This Row],[Diabetes]]=$S$1,diabetesoriginal[[#This Row],[Insulin]],NA())</f>
        <v>#N/A</v>
      </c>
    </row>
    <row r="554" spans="1:22" x14ac:dyDescent="0.25">
      <c r="A554" s="5">
        <v>6</v>
      </c>
      <c r="B554" s="5">
        <v>114</v>
      </c>
      <c r="C554" s="5">
        <v>88</v>
      </c>
      <c r="D554" s="5" t="s">
        <v>25</v>
      </c>
      <c r="E554" s="5">
        <v>29</v>
      </c>
      <c r="F554" s="5">
        <v>125</v>
      </c>
      <c r="G554" s="5">
        <v>27.8</v>
      </c>
      <c r="H554" s="5" t="s">
        <v>30</v>
      </c>
      <c r="I554" s="5">
        <v>0.247</v>
      </c>
      <c r="J554" s="5">
        <v>66</v>
      </c>
      <c r="K554" s="5" t="s">
        <v>39</v>
      </c>
      <c r="L554" s="15">
        <v>0</v>
      </c>
      <c r="M554" s="5" t="s">
        <v>57</v>
      </c>
      <c r="N554" s="5" t="s">
        <v>56</v>
      </c>
      <c r="O554" s="5" t="s">
        <v>31</v>
      </c>
      <c r="R554" s="5">
        <f>IF(diabetesoriginal[[#This Row],[Diabetes]]=$R$1,diabetesoriginal[[#This Row],[Skin Thickness]],NA())</f>
        <v>29</v>
      </c>
      <c r="S554" s="5" t="e">
        <f>IF(diabetesoriginal[[#This Row],[Diabetes]]=$S$1,diabetesoriginal[[#This Row],[Skin Thickness]],NA())</f>
        <v>#N/A</v>
      </c>
      <c r="U554" s="5">
        <f>IF(diabetesoriginal[[#This Row],[Diabetes]]=$U$1,diabetesoriginal[[#This Row],[Insulin]],NA())</f>
        <v>125</v>
      </c>
      <c r="V554" s="5" t="e">
        <f>IF(diabetesoriginal[[#This Row],[Diabetes]]=$S$1,diabetesoriginal[[#This Row],[Insulin]],NA())</f>
        <v>#N/A</v>
      </c>
    </row>
    <row r="555" spans="1:22" x14ac:dyDescent="0.25">
      <c r="A555" s="5">
        <v>1</v>
      </c>
      <c r="B555" s="5">
        <v>88</v>
      </c>
      <c r="C555" s="5">
        <v>62</v>
      </c>
      <c r="D555" s="5" t="s">
        <v>23</v>
      </c>
      <c r="E555" s="5">
        <v>24</v>
      </c>
      <c r="F555" s="5">
        <v>44</v>
      </c>
      <c r="G555" s="5">
        <v>29.9</v>
      </c>
      <c r="H555" s="5" t="s">
        <v>30</v>
      </c>
      <c r="I555" s="5">
        <v>0.42199999999999999</v>
      </c>
      <c r="J555" s="5">
        <v>23</v>
      </c>
      <c r="K555" s="5" t="s">
        <v>35</v>
      </c>
      <c r="L555" s="15">
        <v>0</v>
      </c>
      <c r="M555" s="5" t="s">
        <v>57</v>
      </c>
      <c r="N555" s="5" t="s">
        <v>56</v>
      </c>
      <c r="O555" s="5" t="s">
        <v>31</v>
      </c>
      <c r="R555" s="5">
        <f>IF(diabetesoriginal[[#This Row],[Diabetes]]=$R$1,diabetesoriginal[[#This Row],[Skin Thickness]],NA())</f>
        <v>24</v>
      </c>
      <c r="S555" s="5" t="e">
        <f>IF(diabetesoriginal[[#This Row],[Diabetes]]=$S$1,diabetesoriginal[[#This Row],[Skin Thickness]],NA())</f>
        <v>#N/A</v>
      </c>
      <c r="U555" s="5">
        <f>IF(diabetesoriginal[[#This Row],[Diabetes]]=$U$1,diabetesoriginal[[#This Row],[Insulin]],NA())</f>
        <v>44</v>
      </c>
      <c r="V555" s="5" t="e">
        <f>IF(diabetesoriginal[[#This Row],[Diabetes]]=$S$1,diabetesoriginal[[#This Row],[Insulin]],NA())</f>
        <v>#N/A</v>
      </c>
    </row>
    <row r="556" spans="1:22" x14ac:dyDescent="0.25">
      <c r="A556" s="5">
        <v>1</v>
      </c>
      <c r="B556" s="5">
        <v>84</v>
      </c>
      <c r="C556" s="5">
        <v>64</v>
      </c>
      <c r="D556" s="5" t="s">
        <v>23</v>
      </c>
      <c r="E556" s="5">
        <v>23</v>
      </c>
      <c r="F556" s="5">
        <v>115</v>
      </c>
      <c r="G556" s="5">
        <v>36.9</v>
      </c>
      <c r="H556" s="5" t="s">
        <v>29</v>
      </c>
      <c r="I556" s="5">
        <v>0.47099999999999997</v>
      </c>
      <c r="J556" s="5">
        <v>28</v>
      </c>
      <c r="K556" s="5" t="s">
        <v>35</v>
      </c>
      <c r="L556" s="15">
        <v>0</v>
      </c>
      <c r="M556" s="5" t="s">
        <v>57</v>
      </c>
      <c r="N556" s="5" t="s">
        <v>58</v>
      </c>
      <c r="O556" s="5" t="s">
        <v>31</v>
      </c>
      <c r="R556" s="5">
        <f>IF(diabetesoriginal[[#This Row],[Diabetes]]=$R$1,diabetesoriginal[[#This Row],[Skin Thickness]],NA())</f>
        <v>23</v>
      </c>
      <c r="S556" s="5" t="e">
        <f>IF(diabetesoriginal[[#This Row],[Diabetes]]=$S$1,diabetesoriginal[[#This Row],[Skin Thickness]],NA())</f>
        <v>#N/A</v>
      </c>
      <c r="U556" s="5">
        <f>IF(diabetesoriginal[[#This Row],[Diabetes]]=$U$1,diabetesoriginal[[#This Row],[Insulin]],NA())</f>
        <v>115</v>
      </c>
      <c r="V556" s="5" t="e">
        <f>IF(diabetesoriginal[[#This Row],[Diabetes]]=$S$1,diabetesoriginal[[#This Row],[Insulin]],NA())</f>
        <v>#N/A</v>
      </c>
    </row>
    <row r="557" spans="1:22" x14ac:dyDescent="0.25">
      <c r="A557" s="5">
        <v>7</v>
      </c>
      <c r="B557" s="5">
        <v>124</v>
      </c>
      <c r="C557" s="5">
        <v>70</v>
      </c>
      <c r="D557" s="5" t="s">
        <v>23</v>
      </c>
      <c r="E557" s="5">
        <v>33</v>
      </c>
      <c r="F557" s="5">
        <v>215</v>
      </c>
      <c r="G557" s="5">
        <v>25.5</v>
      </c>
      <c r="H557" s="5" t="s">
        <v>30</v>
      </c>
      <c r="I557" s="5">
        <v>0.161</v>
      </c>
      <c r="J557" s="5">
        <v>37</v>
      </c>
      <c r="K557" s="5" t="s">
        <v>36</v>
      </c>
      <c r="L557" s="15">
        <v>0</v>
      </c>
      <c r="M557" s="5" t="s">
        <v>57</v>
      </c>
      <c r="N557" s="5" t="s">
        <v>56</v>
      </c>
      <c r="O557" s="5" t="s">
        <v>59</v>
      </c>
      <c r="R557" s="5">
        <f>IF(diabetesoriginal[[#This Row],[Diabetes]]=$R$1,diabetesoriginal[[#This Row],[Skin Thickness]],NA())</f>
        <v>33</v>
      </c>
      <c r="S557" s="5" t="e">
        <f>IF(diabetesoriginal[[#This Row],[Diabetes]]=$S$1,diabetesoriginal[[#This Row],[Skin Thickness]],NA())</f>
        <v>#N/A</v>
      </c>
      <c r="U557" s="5">
        <f>IF(diabetesoriginal[[#This Row],[Diabetes]]=$U$1,diabetesoriginal[[#This Row],[Insulin]],NA())</f>
        <v>215</v>
      </c>
      <c r="V557" s="5" t="e">
        <f>IF(diabetesoriginal[[#This Row],[Diabetes]]=$S$1,diabetesoriginal[[#This Row],[Insulin]],NA())</f>
        <v>#N/A</v>
      </c>
    </row>
    <row r="558" spans="1:22" x14ac:dyDescent="0.25">
      <c r="A558" s="5">
        <v>1</v>
      </c>
      <c r="B558" s="5">
        <v>97</v>
      </c>
      <c r="C558" s="5">
        <v>70</v>
      </c>
      <c r="D558" s="5" t="s">
        <v>23</v>
      </c>
      <c r="E558" s="5">
        <v>40</v>
      </c>
      <c r="F558" s="5">
        <v>125</v>
      </c>
      <c r="G558" s="5">
        <v>38.1</v>
      </c>
      <c r="H558" s="5" t="s">
        <v>29</v>
      </c>
      <c r="I558" s="5">
        <v>0.218</v>
      </c>
      <c r="J558" s="5">
        <v>30</v>
      </c>
      <c r="K558" s="5" t="s">
        <v>36</v>
      </c>
      <c r="L558" s="15">
        <v>0</v>
      </c>
      <c r="M558" s="5" t="s">
        <v>57</v>
      </c>
      <c r="N558" s="5" t="s">
        <v>56</v>
      </c>
      <c r="O558" s="5" t="s">
        <v>31</v>
      </c>
      <c r="R558" s="5">
        <f>IF(diabetesoriginal[[#This Row],[Diabetes]]=$R$1,diabetesoriginal[[#This Row],[Skin Thickness]],NA())</f>
        <v>40</v>
      </c>
      <c r="S558" s="5" t="e">
        <f>IF(diabetesoriginal[[#This Row],[Diabetes]]=$S$1,diabetesoriginal[[#This Row],[Skin Thickness]],NA())</f>
        <v>#N/A</v>
      </c>
      <c r="U558" s="5">
        <f>IF(diabetesoriginal[[#This Row],[Diabetes]]=$U$1,diabetesoriginal[[#This Row],[Insulin]],NA())</f>
        <v>125</v>
      </c>
      <c r="V558" s="5" t="e">
        <f>IF(diabetesoriginal[[#This Row],[Diabetes]]=$S$1,diabetesoriginal[[#This Row],[Insulin]],NA())</f>
        <v>#N/A</v>
      </c>
    </row>
    <row r="559" spans="1:22" x14ac:dyDescent="0.25">
      <c r="A559" s="5">
        <v>8</v>
      </c>
      <c r="B559" s="5">
        <v>110</v>
      </c>
      <c r="C559" s="5">
        <v>76</v>
      </c>
      <c r="D559" s="5" t="s">
        <v>23</v>
      </c>
      <c r="E559" s="5">
        <v>29</v>
      </c>
      <c r="F559" s="5">
        <v>125</v>
      </c>
      <c r="G559" s="5">
        <v>27.8</v>
      </c>
      <c r="H559" s="5" t="s">
        <v>30</v>
      </c>
      <c r="I559" s="5">
        <v>0.23699999999999999</v>
      </c>
      <c r="J559" s="5">
        <v>58</v>
      </c>
      <c r="K559" s="5" t="s">
        <v>38</v>
      </c>
      <c r="L559" s="15">
        <v>0</v>
      </c>
      <c r="M559" s="5" t="s">
        <v>57</v>
      </c>
      <c r="N559" s="5" t="s">
        <v>56</v>
      </c>
      <c r="O559" s="5" t="s">
        <v>31</v>
      </c>
      <c r="R559" s="5">
        <f>IF(diabetesoriginal[[#This Row],[Diabetes]]=$R$1,diabetesoriginal[[#This Row],[Skin Thickness]],NA())</f>
        <v>29</v>
      </c>
      <c r="S559" s="5" t="e">
        <f>IF(diabetesoriginal[[#This Row],[Diabetes]]=$S$1,diabetesoriginal[[#This Row],[Skin Thickness]],NA())</f>
        <v>#N/A</v>
      </c>
      <c r="U559" s="5">
        <f>IF(diabetesoriginal[[#This Row],[Diabetes]]=$U$1,diabetesoriginal[[#This Row],[Insulin]],NA())</f>
        <v>125</v>
      </c>
      <c r="V559" s="5" t="e">
        <f>IF(diabetesoriginal[[#This Row],[Diabetes]]=$S$1,diabetesoriginal[[#This Row],[Insulin]],NA())</f>
        <v>#N/A</v>
      </c>
    </row>
    <row r="560" spans="1:22" x14ac:dyDescent="0.25">
      <c r="A560" s="5">
        <v>11</v>
      </c>
      <c r="B560" s="5">
        <v>103</v>
      </c>
      <c r="C560" s="5">
        <v>68</v>
      </c>
      <c r="D560" s="5" t="s">
        <v>23</v>
      </c>
      <c r="E560" s="5">
        <v>40</v>
      </c>
      <c r="F560" s="5">
        <v>125</v>
      </c>
      <c r="G560" s="5">
        <v>46.2</v>
      </c>
      <c r="H560" s="5" t="s">
        <v>32</v>
      </c>
      <c r="I560" s="5">
        <v>0.126</v>
      </c>
      <c r="J560" s="5">
        <v>42</v>
      </c>
      <c r="K560" s="5" t="s">
        <v>37</v>
      </c>
      <c r="L560" s="15">
        <v>0</v>
      </c>
      <c r="M560" s="5" t="s">
        <v>57</v>
      </c>
      <c r="N560" s="5" t="s">
        <v>56</v>
      </c>
      <c r="O560" s="5" t="s">
        <v>31</v>
      </c>
      <c r="R560" s="5">
        <f>IF(diabetesoriginal[[#This Row],[Diabetes]]=$R$1,diabetesoriginal[[#This Row],[Skin Thickness]],NA())</f>
        <v>40</v>
      </c>
      <c r="S560" s="5" t="e">
        <f>IF(diabetesoriginal[[#This Row],[Diabetes]]=$S$1,diabetesoriginal[[#This Row],[Skin Thickness]],NA())</f>
        <v>#N/A</v>
      </c>
      <c r="U560" s="5">
        <f>IF(diabetesoriginal[[#This Row],[Diabetes]]=$U$1,diabetesoriginal[[#This Row],[Insulin]],NA())</f>
        <v>125</v>
      </c>
      <c r="V560" s="5" t="e">
        <f>IF(diabetesoriginal[[#This Row],[Diabetes]]=$S$1,diabetesoriginal[[#This Row],[Insulin]],NA())</f>
        <v>#N/A</v>
      </c>
    </row>
    <row r="561" spans="1:22" x14ac:dyDescent="0.25">
      <c r="A561" s="5">
        <v>11</v>
      </c>
      <c r="B561" s="5">
        <v>85</v>
      </c>
      <c r="C561" s="5">
        <v>74</v>
      </c>
      <c r="D561" s="5" t="s">
        <v>23</v>
      </c>
      <c r="E561" s="5">
        <v>29</v>
      </c>
      <c r="F561" s="5">
        <v>125</v>
      </c>
      <c r="G561" s="5">
        <v>30.1</v>
      </c>
      <c r="H561" s="5" t="s">
        <v>29</v>
      </c>
      <c r="I561" s="5">
        <v>0.3</v>
      </c>
      <c r="J561" s="5">
        <v>35</v>
      </c>
      <c r="K561" s="5" t="s">
        <v>36</v>
      </c>
      <c r="L561" s="15">
        <v>0</v>
      </c>
      <c r="M561" s="5" t="s">
        <v>57</v>
      </c>
      <c r="N561" s="5" t="s">
        <v>56</v>
      </c>
      <c r="O561" s="5" t="s">
        <v>31</v>
      </c>
      <c r="R561" s="5">
        <f>IF(diabetesoriginal[[#This Row],[Diabetes]]=$R$1,diabetesoriginal[[#This Row],[Skin Thickness]],NA())</f>
        <v>29</v>
      </c>
      <c r="S561" s="5" t="e">
        <f>IF(diabetesoriginal[[#This Row],[Diabetes]]=$S$1,diabetesoriginal[[#This Row],[Skin Thickness]],NA())</f>
        <v>#N/A</v>
      </c>
      <c r="U561" s="5">
        <f>IF(diabetesoriginal[[#This Row],[Diabetes]]=$U$1,diabetesoriginal[[#This Row],[Insulin]],NA())</f>
        <v>125</v>
      </c>
      <c r="V561" s="5" t="e">
        <f>IF(diabetesoriginal[[#This Row],[Diabetes]]=$S$1,diabetesoriginal[[#This Row],[Insulin]],NA())</f>
        <v>#N/A</v>
      </c>
    </row>
    <row r="562" spans="1:22" x14ac:dyDescent="0.25">
      <c r="A562" s="5">
        <v>6</v>
      </c>
      <c r="B562" s="5">
        <v>125</v>
      </c>
      <c r="C562" s="5">
        <v>76</v>
      </c>
      <c r="D562" s="5" t="s">
        <v>23</v>
      </c>
      <c r="E562" s="5">
        <v>29</v>
      </c>
      <c r="F562" s="5">
        <v>125</v>
      </c>
      <c r="G562" s="5">
        <v>33.799999999999997</v>
      </c>
      <c r="H562" s="5" t="s">
        <v>29</v>
      </c>
      <c r="I562" s="5">
        <v>0.121</v>
      </c>
      <c r="J562" s="5">
        <v>54</v>
      </c>
      <c r="K562" s="5" t="s">
        <v>38</v>
      </c>
      <c r="L562" s="15">
        <v>1</v>
      </c>
      <c r="M562" s="5" t="s">
        <v>57</v>
      </c>
      <c r="N562" s="5" t="s">
        <v>56</v>
      </c>
      <c r="O562" s="5" t="s">
        <v>31</v>
      </c>
      <c r="R562" s="5" t="e">
        <f>IF(diabetesoriginal[[#This Row],[Diabetes]]=$R$1,diabetesoriginal[[#This Row],[Skin Thickness]],NA())</f>
        <v>#N/A</v>
      </c>
      <c r="S562" s="5">
        <f>IF(diabetesoriginal[[#This Row],[Diabetes]]=$S$1,diabetesoriginal[[#This Row],[Skin Thickness]],NA())</f>
        <v>29</v>
      </c>
      <c r="U562" s="5" t="e">
        <f>IF(diabetesoriginal[[#This Row],[Diabetes]]=$U$1,diabetesoriginal[[#This Row],[Insulin]],NA())</f>
        <v>#N/A</v>
      </c>
      <c r="V562" s="5">
        <f>IF(diabetesoriginal[[#This Row],[Diabetes]]=$S$1,diabetesoriginal[[#This Row],[Insulin]],NA())</f>
        <v>125</v>
      </c>
    </row>
    <row r="563" spans="1:22" x14ac:dyDescent="0.25">
      <c r="A563" s="5">
        <v>0</v>
      </c>
      <c r="B563" s="5">
        <v>198</v>
      </c>
      <c r="C563" s="5">
        <v>66</v>
      </c>
      <c r="D563" s="5" t="s">
        <v>23</v>
      </c>
      <c r="E563" s="5">
        <v>32</v>
      </c>
      <c r="F563" s="5">
        <v>274</v>
      </c>
      <c r="G563" s="5">
        <v>41.3</v>
      </c>
      <c r="H563" s="5" t="s">
        <v>32</v>
      </c>
      <c r="I563" s="5">
        <v>0.502</v>
      </c>
      <c r="J563" s="5">
        <v>28</v>
      </c>
      <c r="K563" s="5" t="s">
        <v>35</v>
      </c>
      <c r="L563" s="15">
        <v>1</v>
      </c>
      <c r="M563" s="5" t="s">
        <v>22</v>
      </c>
      <c r="N563" s="5" t="s">
        <v>56</v>
      </c>
      <c r="O563" s="5" t="s">
        <v>59</v>
      </c>
      <c r="R563" s="5" t="e">
        <f>IF(diabetesoriginal[[#This Row],[Diabetes]]=$R$1,diabetesoriginal[[#This Row],[Skin Thickness]],NA())</f>
        <v>#N/A</v>
      </c>
      <c r="S563" s="5">
        <f>IF(diabetesoriginal[[#This Row],[Diabetes]]=$S$1,diabetesoriginal[[#This Row],[Skin Thickness]],NA())</f>
        <v>32</v>
      </c>
      <c r="U563" s="5" t="e">
        <f>IF(diabetesoriginal[[#This Row],[Diabetes]]=$U$1,diabetesoriginal[[#This Row],[Insulin]],NA())</f>
        <v>#N/A</v>
      </c>
      <c r="V563" s="5">
        <f>IF(diabetesoriginal[[#This Row],[Diabetes]]=$S$1,diabetesoriginal[[#This Row],[Insulin]],NA())</f>
        <v>274</v>
      </c>
    </row>
    <row r="564" spans="1:22" x14ac:dyDescent="0.25">
      <c r="A564" s="5">
        <v>1</v>
      </c>
      <c r="B564" s="5">
        <v>87</v>
      </c>
      <c r="C564" s="5">
        <v>68</v>
      </c>
      <c r="D564" s="5" t="s">
        <v>23</v>
      </c>
      <c r="E564" s="5">
        <v>34</v>
      </c>
      <c r="F564" s="5">
        <v>77</v>
      </c>
      <c r="G564" s="5">
        <v>37.6</v>
      </c>
      <c r="H564" s="5" t="s">
        <v>29</v>
      </c>
      <c r="I564" s="5">
        <v>0.40100000000000002</v>
      </c>
      <c r="J564" s="5">
        <v>24</v>
      </c>
      <c r="K564" s="5" t="s">
        <v>35</v>
      </c>
      <c r="L564" s="15">
        <v>0</v>
      </c>
      <c r="M564" s="5" t="s">
        <v>57</v>
      </c>
      <c r="N564" s="5" t="s">
        <v>56</v>
      </c>
      <c r="O564" s="5" t="s">
        <v>31</v>
      </c>
      <c r="R564" s="5">
        <f>IF(diabetesoriginal[[#This Row],[Diabetes]]=$R$1,diabetesoriginal[[#This Row],[Skin Thickness]],NA())</f>
        <v>34</v>
      </c>
      <c r="S564" s="5" t="e">
        <f>IF(diabetesoriginal[[#This Row],[Diabetes]]=$S$1,diabetesoriginal[[#This Row],[Skin Thickness]],NA())</f>
        <v>#N/A</v>
      </c>
      <c r="U564" s="5">
        <f>IF(diabetesoriginal[[#This Row],[Diabetes]]=$U$1,diabetesoriginal[[#This Row],[Insulin]],NA())</f>
        <v>77</v>
      </c>
      <c r="V564" s="5" t="e">
        <f>IF(diabetesoriginal[[#This Row],[Diabetes]]=$S$1,diabetesoriginal[[#This Row],[Insulin]],NA())</f>
        <v>#N/A</v>
      </c>
    </row>
    <row r="565" spans="1:22" x14ac:dyDescent="0.25">
      <c r="A565" s="5">
        <v>6</v>
      </c>
      <c r="B565" s="5">
        <v>99</v>
      </c>
      <c r="C565" s="5">
        <v>60</v>
      </c>
      <c r="D565" s="5" t="s">
        <v>23</v>
      </c>
      <c r="E565" s="5">
        <v>19</v>
      </c>
      <c r="F565" s="5">
        <v>54</v>
      </c>
      <c r="G565" s="5">
        <v>26.9</v>
      </c>
      <c r="H565" s="5" t="s">
        <v>30</v>
      </c>
      <c r="I565" s="5">
        <v>0.497</v>
      </c>
      <c r="J565" s="5">
        <v>32</v>
      </c>
      <c r="K565" s="5" t="s">
        <v>36</v>
      </c>
      <c r="L565" s="15">
        <v>0</v>
      </c>
      <c r="M565" s="5" t="s">
        <v>57</v>
      </c>
      <c r="N565" s="5" t="s">
        <v>58</v>
      </c>
      <c r="O565" s="5" t="s">
        <v>31</v>
      </c>
      <c r="R565" s="5">
        <f>IF(diabetesoriginal[[#This Row],[Diabetes]]=$R$1,diabetesoriginal[[#This Row],[Skin Thickness]],NA())</f>
        <v>19</v>
      </c>
      <c r="S565" s="5" t="e">
        <f>IF(diabetesoriginal[[#This Row],[Diabetes]]=$S$1,diabetesoriginal[[#This Row],[Skin Thickness]],NA())</f>
        <v>#N/A</v>
      </c>
      <c r="U565" s="5">
        <f>IF(diabetesoriginal[[#This Row],[Diabetes]]=$U$1,diabetesoriginal[[#This Row],[Insulin]],NA())</f>
        <v>54</v>
      </c>
      <c r="V565" s="5" t="e">
        <f>IF(diabetesoriginal[[#This Row],[Diabetes]]=$S$1,diabetesoriginal[[#This Row],[Insulin]],NA())</f>
        <v>#N/A</v>
      </c>
    </row>
    <row r="566" spans="1:22" x14ac:dyDescent="0.25">
      <c r="A566" s="5">
        <v>0</v>
      </c>
      <c r="B566" s="5">
        <v>91</v>
      </c>
      <c r="C566" s="5">
        <v>80</v>
      </c>
      <c r="D566" s="5" t="s">
        <v>25</v>
      </c>
      <c r="E566" s="5">
        <v>29</v>
      </c>
      <c r="F566" s="5">
        <v>125</v>
      </c>
      <c r="G566" s="5">
        <v>32.4</v>
      </c>
      <c r="H566" s="5" t="s">
        <v>29</v>
      </c>
      <c r="I566" s="5">
        <v>0.60099999999999998</v>
      </c>
      <c r="J566" s="5">
        <v>27</v>
      </c>
      <c r="K566" s="5" t="s">
        <v>35</v>
      </c>
      <c r="L566" s="15">
        <v>0</v>
      </c>
      <c r="M566" s="5" t="s">
        <v>57</v>
      </c>
      <c r="N566" s="5" t="s">
        <v>56</v>
      </c>
      <c r="O566" s="5" t="s">
        <v>31</v>
      </c>
      <c r="R566" s="5">
        <f>IF(diabetesoriginal[[#This Row],[Diabetes]]=$R$1,diabetesoriginal[[#This Row],[Skin Thickness]],NA())</f>
        <v>29</v>
      </c>
      <c r="S566" s="5" t="e">
        <f>IF(diabetesoriginal[[#This Row],[Diabetes]]=$S$1,diabetesoriginal[[#This Row],[Skin Thickness]],NA())</f>
        <v>#N/A</v>
      </c>
      <c r="U566" s="5">
        <f>IF(diabetesoriginal[[#This Row],[Diabetes]]=$U$1,diabetesoriginal[[#This Row],[Insulin]],NA())</f>
        <v>125</v>
      </c>
      <c r="V566" s="5" t="e">
        <f>IF(diabetesoriginal[[#This Row],[Diabetes]]=$S$1,diabetesoriginal[[#This Row],[Insulin]],NA())</f>
        <v>#N/A</v>
      </c>
    </row>
    <row r="567" spans="1:22" x14ac:dyDescent="0.25">
      <c r="A567" s="5">
        <v>2</v>
      </c>
      <c r="B567" s="5">
        <v>95</v>
      </c>
      <c r="C567" s="5">
        <v>54</v>
      </c>
      <c r="D567" s="5" t="s">
        <v>23</v>
      </c>
      <c r="E567" s="5">
        <v>14</v>
      </c>
      <c r="F567" s="5">
        <v>88</v>
      </c>
      <c r="G567" s="5">
        <v>26.1</v>
      </c>
      <c r="H567" s="5" t="s">
        <v>30</v>
      </c>
      <c r="I567" s="5">
        <v>0.748</v>
      </c>
      <c r="J567" s="5">
        <v>22</v>
      </c>
      <c r="K567" s="5" t="s">
        <v>35</v>
      </c>
      <c r="L567" s="15">
        <v>0</v>
      </c>
      <c r="M567" s="5" t="s">
        <v>57</v>
      </c>
      <c r="N567" s="5" t="s">
        <v>58</v>
      </c>
      <c r="O567" s="5" t="s">
        <v>31</v>
      </c>
      <c r="R567" s="5">
        <f>IF(diabetesoriginal[[#This Row],[Diabetes]]=$R$1,diabetesoriginal[[#This Row],[Skin Thickness]],NA())</f>
        <v>14</v>
      </c>
      <c r="S567" s="5" t="e">
        <f>IF(diabetesoriginal[[#This Row],[Diabetes]]=$S$1,diabetesoriginal[[#This Row],[Skin Thickness]],NA())</f>
        <v>#N/A</v>
      </c>
      <c r="U567" s="5">
        <f>IF(diabetesoriginal[[#This Row],[Diabetes]]=$U$1,diabetesoriginal[[#This Row],[Insulin]],NA())</f>
        <v>88</v>
      </c>
      <c r="V567" s="5" t="e">
        <f>IF(diabetesoriginal[[#This Row],[Diabetes]]=$S$1,diabetesoriginal[[#This Row],[Insulin]],NA())</f>
        <v>#N/A</v>
      </c>
    </row>
    <row r="568" spans="1:22" x14ac:dyDescent="0.25">
      <c r="A568" s="5">
        <v>1</v>
      </c>
      <c r="B568" s="5">
        <v>99</v>
      </c>
      <c r="C568" s="5">
        <v>72</v>
      </c>
      <c r="D568" s="5" t="s">
        <v>23</v>
      </c>
      <c r="E568" s="5">
        <v>30</v>
      </c>
      <c r="F568" s="5">
        <v>18</v>
      </c>
      <c r="G568" s="5">
        <v>38.6</v>
      </c>
      <c r="H568" s="5" t="s">
        <v>29</v>
      </c>
      <c r="I568" s="5">
        <v>0.41199999999999998</v>
      </c>
      <c r="J568" s="5">
        <v>21</v>
      </c>
      <c r="K568" s="5" t="s">
        <v>35</v>
      </c>
      <c r="L568" s="15">
        <v>0</v>
      </c>
      <c r="M568" s="5" t="s">
        <v>57</v>
      </c>
      <c r="N568" s="5" t="s">
        <v>56</v>
      </c>
      <c r="O568" s="5" t="s">
        <v>31</v>
      </c>
      <c r="R568" s="5">
        <f>IF(diabetesoriginal[[#This Row],[Diabetes]]=$R$1,diabetesoriginal[[#This Row],[Skin Thickness]],NA())</f>
        <v>30</v>
      </c>
      <c r="S568" s="5" t="e">
        <f>IF(diabetesoriginal[[#This Row],[Diabetes]]=$S$1,diabetesoriginal[[#This Row],[Skin Thickness]],NA())</f>
        <v>#N/A</v>
      </c>
      <c r="U568" s="5">
        <f>IF(diabetesoriginal[[#This Row],[Diabetes]]=$U$1,diabetesoriginal[[#This Row],[Insulin]],NA())</f>
        <v>18</v>
      </c>
      <c r="V568" s="5" t="e">
        <f>IF(diabetesoriginal[[#This Row],[Diabetes]]=$S$1,diabetesoriginal[[#This Row],[Insulin]],NA())</f>
        <v>#N/A</v>
      </c>
    </row>
    <row r="569" spans="1:22" x14ac:dyDescent="0.25">
      <c r="A569" s="5">
        <v>6</v>
      </c>
      <c r="B569" s="5">
        <v>92</v>
      </c>
      <c r="C569" s="5">
        <v>62</v>
      </c>
      <c r="D569" s="5" t="s">
        <v>23</v>
      </c>
      <c r="E569" s="5">
        <v>32</v>
      </c>
      <c r="F569" s="5">
        <v>126</v>
      </c>
      <c r="G569" s="5">
        <v>32</v>
      </c>
      <c r="H569" s="5" t="s">
        <v>29</v>
      </c>
      <c r="I569" s="5">
        <v>8.5000000000000006E-2</v>
      </c>
      <c r="J569" s="5">
        <v>46</v>
      </c>
      <c r="K569" s="5" t="s">
        <v>37</v>
      </c>
      <c r="L569" s="15">
        <v>0</v>
      </c>
      <c r="M569" s="5" t="s">
        <v>57</v>
      </c>
      <c r="N569" s="5" t="s">
        <v>56</v>
      </c>
      <c r="O569" s="5" t="s">
        <v>31</v>
      </c>
      <c r="R569" s="5">
        <f>IF(diabetesoriginal[[#This Row],[Diabetes]]=$R$1,diabetesoriginal[[#This Row],[Skin Thickness]],NA())</f>
        <v>32</v>
      </c>
      <c r="S569" s="5" t="e">
        <f>IF(diabetesoriginal[[#This Row],[Diabetes]]=$S$1,diabetesoriginal[[#This Row],[Skin Thickness]],NA())</f>
        <v>#N/A</v>
      </c>
      <c r="U569" s="5">
        <f>IF(diabetesoriginal[[#This Row],[Diabetes]]=$U$1,diabetesoriginal[[#This Row],[Insulin]],NA())</f>
        <v>126</v>
      </c>
      <c r="V569" s="5" t="e">
        <f>IF(diabetesoriginal[[#This Row],[Diabetes]]=$S$1,diabetesoriginal[[#This Row],[Insulin]],NA())</f>
        <v>#N/A</v>
      </c>
    </row>
    <row r="570" spans="1:22" x14ac:dyDescent="0.25">
      <c r="A570" s="5">
        <v>4</v>
      </c>
      <c r="B570" s="5">
        <v>154</v>
      </c>
      <c r="C570" s="5">
        <v>72</v>
      </c>
      <c r="D570" s="5" t="s">
        <v>23</v>
      </c>
      <c r="E570" s="5">
        <v>29</v>
      </c>
      <c r="F570" s="5">
        <v>126</v>
      </c>
      <c r="G570" s="5">
        <v>31.3</v>
      </c>
      <c r="H570" s="5" t="s">
        <v>29</v>
      </c>
      <c r="I570" s="5">
        <v>0.33800000000000002</v>
      </c>
      <c r="J570" s="5">
        <v>37</v>
      </c>
      <c r="K570" s="5" t="s">
        <v>36</v>
      </c>
      <c r="L570" s="15">
        <v>0</v>
      </c>
      <c r="M570" s="5" t="s">
        <v>22</v>
      </c>
      <c r="N570" s="5" t="s">
        <v>56</v>
      </c>
      <c r="O570" s="5" t="s">
        <v>31</v>
      </c>
      <c r="R570" s="5">
        <f>IF(diabetesoriginal[[#This Row],[Diabetes]]=$R$1,diabetesoriginal[[#This Row],[Skin Thickness]],NA())</f>
        <v>29</v>
      </c>
      <c r="S570" s="5" t="e">
        <f>IF(diabetesoriginal[[#This Row],[Diabetes]]=$S$1,diabetesoriginal[[#This Row],[Skin Thickness]],NA())</f>
        <v>#N/A</v>
      </c>
      <c r="U570" s="5">
        <f>IF(diabetesoriginal[[#This Row],[Diabetes]]=$U$1,diabetesoriginal[[#This Row],[Insulin]],NA())</f>
        <v>126</v>
      </c>
      <c r="V570" s="5" t="e">
        <f>IF(diabetesoriginal[[#This Row],[Diabetes]]=$S$1,diabetesoriginal[[#This Row],[Insulin]],NA())</f>
        <v>#N/A</v>
      </c>
    </row>
    <row r="571" spans="1:22" x14ac:dyDescent="0.25">
      <c r="A571" s="5">
        <v>0</v>
      </c>
      <c r="B571" s="5">
        <v>121</v>
      </c>
      <c r="C571" s="5">
        <v>66</v>
      </c>
      <c r="D571" s="5" t="s">
        <v>23</v>
      </c>
      <c r="E571" s="5">
        <v>30</v>
      </c>
      <c r="F571" s="5">
        <v>165</v>
      </c>
      <c r="G571" s="5">
        <v>34.299999999999997</v>
      </c>
      <c r="H571" s="5" t="s">
        <v>29</v>
      </c>
      <c r="I571" s="5">
        <v>0.20300000000000001</v>
      </c>
      <c r="J571" s="5">
        <v>33</v>
      </c>
      <c r="K571" s="5" t="s">
        <v>36</v>
      </c>
      <c r="L571" s="15">
        <v>1</v>
      </c>
      <c r="M571" s="5" t="s">
        <v>57</v>
      </c>
      <c r="N571" s="5" t="s">
        <v>56</v>
      </c>
      <c r="O571" s="5" t="s">
        <v>31</v>
      </c>
      <c r="R571" s="5" t="e">
        <f>IF(diabetesoriginal[[#This Row],[Diabetes]]=$R$1,diabetesoriginal[[#This Row],[Skin Thickness]],NA())</f>
        <v>#N/A</v>
      </c>
      <c r="S571" s="5">
        <f>IF(diabetesoriginal[[#This Row],[Diabetes]]=$S$1,diabetesoriginal[[#This Row],[Skin Thickness]],NA())</f>
        <v>30</v>
      </c>
      <c r="U571" s="5" t="e">
        <f>IF(diabetesoriginal[[#This Row],[Diabetes]]=$U$1,diabetesoriginal[[#This Row],[Insulin]],NA())</f>
        <v>#N/A</v>
      </c>
      <c r="V571" s="5">
        <f>IF(diabetesoriginal[[#This Row],[Diabetes]]=$S$1,diabetesoriginal[[#This Row],[Insulin]],NA())</f>
        <v>165</v>
      </c>
    </row>
    <row r="572" spans="1:22" x14ac:dyDescent="0.25">
      <c r="A572" s="5">
        <v>3</v>
      </c>
      <c r="B572" s="5">
        <v>78</v>
      </c>
      <c r="C572" s="5">
        <v>70</v>
      </c>
      <c r="D572" s="5" t="s">
        <v>23</v>
      </c>
      <c r="E572" s="5">
        <v>29</v>
      </c>
      <c r="F572" s="5">
        <v>125</v>
      </c>
      <c r="G572" s="5">
        <v>32.5</v>
      </c>
      <c r="H572" s="5" t="s">
        <v>29</v>
      </c>
      <c r="I572" s="5">
        <v>0.27</v>
      </c>
      <c r="J572" s="5">
        <v>39</v>
      </c>
      <c r="K572" s="5" t="s">
        <v>36</v>
      </c>
      <c r="L572" s="15">
        <v>0</v>
      </c>
      <c r="M572" s="5" t="s">
        <v>57</v>
      </c>
      <c r="N572" s="5" t="s">
        <v>56</v>
      </c>
      <c r="O572" s="5" t="s">
        <v>31</v>
      </c>
      <c r="R572" s="5">
        <f>IF(diabetesoriginal[[#This Row],[Diabetes]]=$R$1,diabetesoriginal[[#This Row],[Skin Thickness]],NA())</f>
        <v>29</v>
      </c>
      <c r="S572" s="5" t="e">
        <f>IF(diabetesoriginal[[#This Row],[Diabetes]]=$S$1,diabetesoriginal[[#This Row],[Skin Thickness]],NA())</f>
        <v>#N/A</v>
      </c>
      <c r="U572" s="5">
        <f>IF(diabetesoriginal[[#This Row],[Diabetes]]=$U$1,diabetesoriginal[[#This Row],[Insulin]],NA())</f>
        <v>125</v>
      </c>
      <c r="V572" s="5" t="e">
        <f>IF(diabetesoriginal[[#This Row],[Diabetes]]=$S$1,diabetesoriginal[[#This Row],[Insulin]],NA())</f>
        <v>#N/A</v>
      </c>
    </row>
    <row r="573" spans="1:22" x14ac:dyDescent="0.25">
      <c r="A573" s="5">
        <v>2</v>
      </c>
      <c r="B573" s="5">
        <v>130</v>
      </c>
      <c r="C573" s="5">
        <v>96</v>
      </c>
      <c r="D573" s="5" t="s">
        <v>24</v>
      </c>
      <c r="E573" s="5">
        <v>29</v>
      </c>
      <c r="F573" s="5">
        <v>125</v>
      </c>
      <c r="G573" s="5">
        <v>22.6</v>
      </c>
      <c r="H573" s="5" t="s">
        <v>31</v>
      </c>
      <c r="I573" s="5">
        <v>0.26800000000000002</v>
      </c>
      <c r="J573" s="5">
        <v>21</v>
      </c>
      <c r="K573" s="5" t="s">
        <v>35</v>
      </c>
      <c r="L573" s="15">
        <v>0</v>
      </c>
      <c r="M573" s="5" t="s">
        <v>57</v>
      </c>
      <c r="N573" s="5" t="s">
        <v>56</v>
      </c>
      <c r="O573" s="5" t="s">
        <v>31</v>
      </c>
      <c r="R573" s="5">
        <f>IF(diabetesoriginal[[#This Row],[Diabetes]]=$R$1,diabetesoriginal[[#This Row],[Skin Thickness]],NA())</f>
        <v>29</v>
      </c>
      <c r="S573" s="5" t="e">
        <f>IF(diabetesoriginal[[#This Row],[Diabetes]]=$S$1,diabetesoriginal[[#This Row],[Skin Thickness]],NA())</f>
        <v>#N/A</v>
      </c>
      <c r="U573" s="5">
        <f>IF(diabetesoriginal[[#This Row],[Diabetes]]=$U$1,diabetesoriginal[[#This Row],[Insulin]],NA())</f>
        <v>125</v>
      </c>
      <c r="V573" s="5" t="e">
        <f>IF(diabetesoriginal[[#This Row],[Diabetes]]=$S$1,diabetesoriginal[[#This Row],[Insulin]],NA())</f>
        <v>#N/A</v>
      </c>
    </row>
    <row r="574" spans="1:22" x14ac:dyDescent="0.25">
      <c r="A574" s="5">
        <v>3</v>
      </c>
      <c r="B574" s="5">
        <v>111</v>
      </c>
      <c r="C574" s="5">
        <v>58</v>
      </c>
      <c r="D574" s="5" t="s">
        <v>23</v>
      </c>
      <c r="E574" s="5">
        <v>31</v>
      </c>
      <c r="F574" s="5">
        <v>44</v>
      </c>
      <c r="G574" s="5">
        <v>29.5</v>
      </c>
      <c r="H574" s="5" t="s">
        <v>30</v>
      </c>
      <c r="I574" s="5">
        <v>0.43</v>
      </c>
      <c r="J574" s="5">
        <v>22</v>
      </c>
      <c r="K574" s="5" t="s">
        <v>35</v>
      </c>
      <c r="L574" s="15">
        <v>0</v>
      </c>
      <c r="M574" s="5" t="s">
        <v>57</v>
      </c>
      <c r="N574" s="5" t="s">
        <v>56</v>
      </c>
      <c r="O574" s="5" t="s">
        <v>31</v>
      </c>
      <c r="R574" s="5">
        <f>IF(diabetesoriginal[[#This Row],[Diabetes]]=$R$1,diabetesoriginal[[#This Row],[Skin Thickness]],NA())</f>
        <v>31</v>
      </c>
      <c r="S574" s="5" t="e">
        <f>IF(diabetesoriginal[[#This Row],[Diabetes]]=$S$1,diabetesoriginal[[#This Row],[Skin Thickness]],NA())</f>
        <v>#N/A</v>
      </c>
      <c r="U574" s="5">
        <f>IF(diabetesoriginal[[#This Row],[Diabetes]]=$U$1,diabetesoriginal[[#This Row],[Insulin]],NA())</f>
        <v>44</v>
      </c>
      <c r="V574" s="5" t="e">
        <f>IF(diabetesoriginal[[#This Row],[Diabetes]]=$S$1,diabetesoriginal[[#This Row],[Insulin]],NA())</f>
        <v>#N/A</v>
      </c>
    </row>
    <row r="575" spans="1:22" x14ac:dyDescent="0.25">
      <c r="A575" s="5">
        <v>2</v>
      </c>
      <c r="B575" s="5">
        <v>98</v>
      </c>
      <c r="C575" s="5">
        <v>60</v>
      </c>
      <c r="D575" s="5" t="s">
        <v>23</v>
      </c>
      <c r="E575" s="5">
        <v>17</v>
      </c>
      <c r="F575" s="5">
        <v>120</v>
      </c>
      <c r="G575" s="5">
        <v>34.700000000000003</v>
      </c>
      <c r="H575" s="5" t="s">
        <v>29</v>
      </c>
      <c r="I575" s="5">
        <v>0.19800000000000001</v>
      </c>
      <c r="J575" s="5">
        <v>22</v>
      </c>
      <c r="K575" s="5" t="s">
        <v>35</v>
      </c>
      <c r="L575" s="15">
        <v>0</v>
      </c>
      <c r="M575" s="5" t="s">
        <v>57</v>
      </c>
      <c r="N575" s="5" t="s">
        <v>58</v>
      </c>
      <c r="O575" s="5" t="s">
        <v>31</v>
      </c>
      <c r="R575" s="5">
        <f>IF(diabetesoriginal[[#This Row],[Diabetes]]=$R$1,diabetesoriginal[[#This Row],[Skin Thickness]],NA())</f>
        <v>17</v>
      </c>
      <c r="S575" s="5" t="e">
        <f>IF(diabetesoriginal[[#This Row],[Diabetes]]=$S$1,diabetesoriginal[[#This Row],[Skin Thickness]],NA())</f>
        <v>#N/A</v>
      </c>
      <c r="U575" s="5">
        <f>IF(diabetesoriginal[[#This Row],[Diabetes]]=$U$1,diabetesoriginal[[#This Row],[Insulin]],NA())</f>
        <v>120</v>
      </c>
      <c r="V575" s="5" t="e">
        <f>IF(diabetesoriginal[[#This Row],[Diabetes]]=$S$1,diabetesoriginal[[#This Row],[Insulin]],NA())</f>
        <v>#N/A</v>
      </c>
    </row>
    <row r="576" spans="1:22" x14ac:dyDescent="0.25">
      <c r="A576" s="5">
        <v>1</v>
      </c>
      <c r="B576" s="5">
        <v>143</v>
      </c>
      <c r="C576" s="5">
        <v>86</v>
      </c>
      <c r="D576" s="5" t="s">
        <v>25</v>
      </c>
      <c r="E576" s="5">
        <v>30</v>
      </c>
      <c r="F576" s="5">
        <v>330</v>
      </c>
      <c r="G576" s="5">
        <v>30.1</v>
      </c>
      <c r="H576" s="5" t="s">
        <v>29</v>
      </c>
      <c r="I576" s="5">
        <v>0.89200000000000002</v>
      </c>
      <c r="J576" s="5">
        <v>23</v>
      </c>
      <c r="K576" s="5" t="s">
        <v>35</v>
      </c>
      <c r="L576" s="15">
        <v>0</v>
      </c>
      <c r="M576" s="5" t="s">
        <v>22</v>
      </c>
      <c r="N576" s="5" t="s">
        <v>56</v>
      </c>
      <c r="O576" s="5" t="s">
        <v>59</v>
      </c>
      <c r="R576" s="5">
        <f>IF(diabetesoriginal[[#This Row],[Diabetes]]=$R$1,diabetesoriginal[[#This Row],[Skin Thickness]],NA())</f>
        <v>30</v>
      </c>
      <c r="S576" s="5" t="e">
        <f>IF(diabetesoriginal[[#This Row],[Diabetes]]=$S$1,diabetesoriginal[[#This Row],[Skin Thickness]],NA())</f>
        <v>#N/A</v>
      </c>
      <c r="U576" s="5">
        <f>IF(diabetesoriginal[[#This Row],[Diabetes]]=$U$1,diabetesoriginal[[#This Row],[Insulin]],NA())</f>
        <v>330</v>
      </c>
      <c r="V576" s="5" t="e">
        <f>IF(diabetesoriginal[[#This Row],[Diabetes]]=$S$1,diabetesoriginal[[#This Row],[Insulin]],NA())</f>
        <v>#N/A</v>
      </c>
    </row>
    <row r="577" spans="1:22" x14ac:dyDescent="0.25">
      <c r="A577" s="5">
        <v>1</v>
      </c>
      <c r="B577" s="5">
        <v>119</v>
      </c>
      <c r="C577" s="5">
        <v>44</v>
      </c>
      <c r="D577" s="5" t="s">
        <v>23</v>
      </c>
      <c r="E577" s="5">
        <v>47</v>
      </c>
      <c r="F577" s="5">
        <v>63</v>
      </c>
      <c r="G577" s="5">
        <v>35.5</v>
      </c>
      <c r="H577" s="5" t="s">
        <v>29</v>
      </c>
      <c r="I577" s="5">
        <v>0.28000000000000003</v>
      </c>
      <c r="J577" s="5">
        <v>25</v>
      </c>
      <c r="K577" s="5" t="s">
        <v>35</v>
      </c>
      <c r="L577" s="15">
        <v>0</v>
      </c>
      <c r="M577" s="5" t="s">
        <v>57</v>
      </c>
      <c r="N577" s="5" t="s">
        <v>56</v>
      </c>
      <c r="O577" s="5" t="s">
        <v>31</v>
      </c>
      <c r="R577" s="5">
        <f>IF(diabetesoriginal[[#This Row],[Diabetes]]=$R$1,diabetesoriginal[[#This Row],[Skin Thickness]],NA())</f>
        <v>47</v>
      </c>
      <c r="S577" s="5" t="e">
        <f>IF(diabetesoriginal[[#This Row],[Diabetes]]=$S$1,diabetesoriginal[[#This Row],[Skin Thickness]],NA())</f>
        <v>#N/A</v>
      </c>
      <c r="U577" s="5">
        <f>IF(diabetesoriginal[[#This Row],[Diabetes]]=$U$1,diabetesoriginal[[#This Row],[Insulin]],NA())</f>
        <v>63</v>
      </c>
      <c r="V577" s="5" t="e">
        <f>IF(diabetesoriginal[[#This Row],[Diabetes]]=$S$1,diabetesoriginal[[#This Row],[Insulin]],NA())</f>
        <v>#N/A</v>
      </c>
    </row>
    <row r="578" spans="1:22" x14ac:dyDescent="0.25">
      <c r="A578" s="5">
        <v>6</v>
      </c>
      <c r="B578" s="5">
        <v>108</v>
      </c>
      <c r="C578" s="5">
        <v>44</v>
      </c>
      <c r="D578" s="5" t="s">
        <v>23</v>
      </c>
      <c r="E578" s="5">
        <v>20</v>
      </c>
      <c r="F578" s="5">
        <v>130</v>
      </c>
      <c r="G578" s="5">
        <v>24</v>
      </c>
      <c r="H578" s="5" t="s">
        <v>31</v>
      </c>
      <c r="I578" s="5">
        <v>0.81299999999999994</v>
      </c>
      <c r="J578" s="5">
        <v>35</v>
      </c>
      <c r="K578" s="5" t="s">
        <v>36</v>
      </c>
      <c r="L578" s="15">
        <v>0</v>
      </c>
      <c r="M578" s="5" t="s">
        <v>57</v>
      </c>
      <c r="N578" s="5" t="s">
        <v>58</v>
      </c>
      <c r="O578" s="5" t="s">
        <v>31</v>
      </c>
      <c r="R578" s="5">
        <f>IF(diabetesoriginal[[#This Row],[Diabetes]]=$R$1,diabetesoriginal[[#This Row],[Skin Thickness]],NA())</f>
        <v>20</v>
      </c>
      <c r="S578" s="5" t="e">
        <f>IF(diabetesoriginal[[#This Row],[Diabetes]]=$S$1,diabetesoriginal[[#This Row],[Skin Thickness]],NA())</f>
        <v>#N/A</v>
      </c>
      <c r="U578" s="5">
        <f>IF(diabetesoriginal[[#This Row],[Diabetes]]=$U$1,diabetesoriginal[[#This Row],[Insulin]],NA())</f>
        <v>130</v>
      </c>
      <c r="V578" s="5" t="e">
        <f>IF(diabetesoriginal[[#This Row],[Diabetes]]=$S$1,diabetesoriginal[[#This Row],[Insulin]],NA())</f>
        <v>#N/A</v>
      </c>
    </row>
    <row r="579" spans="1:22" x14ac:dyDescent="0.25">
      <c r="A579" s="5">
        <v>2</v>
      </c>
      <c r="B579" s="5">
        <v>118</v>
      </c>
      <c r="C579" s="5">
        <v>80</v>
      </c>
      <c r="D579" s="5" t="s">
        <v>25</v>
      </c>
      <c r="E579" s="5">
        <v>29</v>
      </c>
      <c r="F579" s="5">
        <v>125</v>
      </c>
      <c r="G579" s="5">
        <v>42.9</v>
      </c>
      <c r="H579" s="5" t="s">
        <v>32</v>
      </c>
      <c r="I579" s="5">
        <v>0.69299999999999995</v>
      </c>
      <c r="J579" s="5">
        <v>21</v>
      </c>
      <c r="K579" s="5" t="s">
        <v>35</v>
      </c>
      <c r="L579" s="15">
        <v>1</v>
      </c>
      <c r="M579" s="5" t="s">
        <v>57</v>
      </c>
      <c r="N579" s="5" t="s">
        <v>56</v>
      </c>
      <c r="O579" s="5" t="s">
        <v>31</v>
      </c>
      <c r="R579" s="5" t="e">
        <f>IF(diabetesoriginal[[#This Row],[Diabetes]]=$R$1,diabetesoriginal[[#This Row],[Skin Thickness]],NA())</f>
        <v>#N/A</v>
      </c>
      <c r="S579" s="5">
        <f>IF(diabetesoriginal[[#This Row],[Diabetes]]=$S$1,diabetesoriginal[[#This Row],[Skin Thickness]],NA())</f>
        <v>29</v>
      </c>
      <c r="U579" s="5" t="e">
        <f>IF(diabetesoriginal[[#This Row],[Diabetes]]=$U$1,diabetesoriginal[[#This Row],[Insulin]],NA())</f>
        <v>#N/A</v>
      </c>
      <c r="V579" s="5">
        <f>IF(diabetesoriginal[[#This Row],[Diabetes]]=$S$1,diabetesoriginal[[#This Row],[Insulin]],NA())</f>
        <v>125</v>
      </c>
    </row>
    <row r="580" spans="1:22" x14ac:dyDescent="0.25">
      <c r="A580" s="5">
        <v>10</v>
      </c>
      <c r="B580" s="5">
        <v>133</v>
      </c>
      <c r="C580" s="5">
        <v>68</v>
      </c>
      <c r="D580" s="5" t="s">
        <v>23</v>
      </c>
      <c r="E580" s="5">
        <v>29</v>
      </c>
      <c r="F580" s="5">
        <v>125</v>
      </c>
      <c r="G580" s="5">
        <v>27</v>
      </c>
      <c r="H580" s="5" t="s">
        <v>30</v>
      </c>
      <c r="I580" s="5">
        <v>0.245</v>
      </c>
      <c r="J580" s="5">
        <v>36</v>
      </c>
      <c r="K580" s="5" t="s">
        <v>36</v>
      </c>
      <c r="L580" s="15">
        <v>0</v>
      </c>
      <c r="M580" s="5" t="s">
        <v>57</v>
      </c>
      <c r="N580" s="5" t="s">
        <v>56</v>
      </c>
      <c r="O580" s="5" t="s">
        <v>31</v>
      </c>
      <c r="R580" s="5">
        <f>IF(diabetesoriginal[[#This Row],[Diabetes]]=$R$1,diabetesoriginal[[#This Row],[Skin Thickness]],NA())</f>
        <v>29</v>
      </c>
      <c r="S580" s="5" t="e">
        <f>IF(diabetesoriginal[[#This Row],[Diabetes]]=$S$1,diabetesoriginal[[#This Row],[Skin Thickness]],NA())</f>
        <v>#N/A</v>
      </c>
      <c r="U580" s="5">
        <f>IF(diabetesoriginal[[#This Row],[Diabetes]]=$U$1,diabetesoriginal[[#This Row],[Insulin]],NA())</f>
        <v>125</v>
      </c>
      <c r="V580" s="5" t="e">
        <f>IF(diabetesoriginal[[#This Row],[Diabetes]]=$S$1,diabetesoriginal[[#This Row],[Insulin]],NA())</f>
        <v>#N/A</v>
      </c>
    </row>
    <row r="581" spans="1:22" x14ac:dyDescent="0.25">
      <c r="A581" s="5">
        <v>2</v>
      </c>
      <c r="B581" s="5">
        <v>197</v>
      </c>
      <c r="C581" s="5">
        <v>70</v>
      </c>
      <c r="D581" s="5" t="s">
        <v>23</v>
      </c>
      <c r="E581" s="5">
        <v>99</v>
      </c>
      <c r="F581" s="5">
        <v>125</v>
      </c>
      <c r="G581" s="5">
        <v>34.700000000000003</v>
      </c>
      <c r="H581" s="5" t="s">
        <v>29</v>
      </c>
      <c r="I581" s="5">
        <v>0.57499999999999996</v>
      </c>
      <c r="J581" s="5">
        <v>62</v>
      </c>
      <c r="K581" s="5" t="s">
        <v>39</v>
      </c>
      <c r="L581" s="15">
        <v>1</v>
      </c>
      <c r="M581" s="5" t="s">
        <v>22</v>
      </c>
      <c r="N581" s="5" t="s">
        <v>56</v>
      </c>
      <c r="O581" s="5" t="s">
        <v>31</v>
      </c>
      <c r="R581" s="5" t="e">
        <f>IF(diabetesoriginal[[#This Row],[Diabetes]]=$R$1,diabetesoriginal[[#This Row],[Skin Thickness]],NA())</f>
        <v>#N/A</v>
      </c>
      <c r="S581" s="5">
        <f>IF(diabetesoriginal[[#This Row],[Diabetes]]=$S$1,diabetesoriginal[[#This Row],[Skin Thickness]],NA())</f>
        <v>99</v>
      </c>
      <c r="U581" s="5" t="e">
        <f>IF(diabetesoriginal[[#This Row],[Diabetes]]=$U$1,diabetesoriginal[[#This Row],[Insulin]],NA())</f>
        <v>#N/A</v>
      </c>
      <c r="V581" s="5">
        <f>IF(diabetesoriginal[[#This Row],[Diabetes]]=$S$1,diabetesoriginal[[#This Row],[Insulin]],NA())</f>
        <v>125</v>
      </c>
    </row>
    <row r="582" spans="1:22" x14ac:dyDescent="0.25">
      <c r="A582" s="5">
        <v>0</v>
      </c>
      <c r="B582" s="5">
        <v>151</v>
      </c>
      <c r="C582" s="5">
        <v>90</v>
      </c>
      <c r="D582" s="5" t="s">
        <v>24</v>
      </c>
      <c r="E582" s="5">
        <v>46</v>
      </c>
      <c r="F582" s="5">
        <v>125</v>
      </c>
      <c r="G582" s="5">
        <v>42.1</v>
      </c>
      <c r="H582" s="5" t="s">
        <v>32</v>
      </c>
      <c r="I582" s="5">
        <v>0.371</v>
      </c>
      <c r="J582" s="5">
        <v>21</v>
      </c>
      <c r="K582" s="5" t="s">
        <v>35</v>
      </c>
      <c r="L582" s="15">
        <v>1</v>
      </c>
      <c r="M582" s="5" t="s">
        <v>22</v>
      </c>
      <c r="N582" s="5" t="s">
        <v>56</v>
      </c>
      <c r="O582" s="5" t="s">
        <v>31</v>
      </c>
      <c r="R582" s="5" t="e">
        <f>IF(diabetesoriginal[[#This Row],[Diabetes]]=$R$1,diabetesoriginal[[#This Row],[Skin Thickness]],NA())</f>
        <v>#N/A</v>
      </c>
      <c r="S582" s="5">
        <f>IF(diabetesoriginal[[#This Row],[Diabetes]]=$S$1,diabetesoriginal[[#This Row],[Skin Thickness]],NA())</f>
        <v>46</v>
      </c>
      <c r="U582" s="5" t="e">
        <f>IF(diabetesoriginal[[#This Row],[Diabetes]]=$U$1,diabetesoriginal[[#This Row],[Insulin]],NA())</f>
        <v>#N/A</v>
      </c>
      <c r="V582" s="5">
        <f>IF(diabetesoriginal[[#This Row],[Diabetes]]=$S$1,diabetesoriginal[[#This Row],[Insulin]],NA())</f>
        <v>125</v>
      </c>
    </row>
    <row r="583" spans="1:22" x14ac:dyDescent="0.25">
      <c r="A583" s="5">
        <v>6</v>
      </c>
      <c r="B583" s="5">
        <v>109</v>
      </c>
      <c r="C583" s="5">
        <v>60</v>
      </c>
      <c r="D583" s="5" t="s">
        <v>23</v>
      </c>
      <c r="E583" s="5">
        <v>27</v>
      </c>
      <c r="F583" s="5">
        <v>125</v>
      </c>
      <c r="G583" s="5">
        <v>25</v>
      </c>
      <c r="H583" s="5" t="s">
        <v>30</v>
      </c>
      <c r="I583" s="5">
        <v>0.20599999999999999</v>
      </c>
      <c r="J583" s="5">
        <v>27</v>
      </c>
      <c r="K583" s="5" t="s">
        <v>35</v>
      </c>
      <c r="L583" s="15">
        <v>0</v>
      </c>
      <c r="M583" s="5" t="s">
        <v>57</v>
      </c>
      <c r="N583" s="5" t="s">
        <v>56</v>
      </c>
      <c r="O583" s="5" t="s">
        <v>31</v>
      </c>
      <c r="R583" s="5">
        <f>IF(diabetesoriginal[[#This Row],[Diabetes]]=$R$1,diabetesoriginal[[#This Row],[Skin Thickness]],NA())</f>
        <v>27</v>
      </c>
      <c r="S583" s="5" t="e">
        <f>IF(diabetesoriginal[[#This Row],[Diabetes]]=$S$1,diabetesoriginal[[#This Row],[Skin Thickness]],NA())</f>
        <v>#N/A</v>
      </c>
      <c r="U583" s="5">
        <f>IF(diabetesoriginal[[#This Row],[Diabetes]]=$U$1,diabetesoriginal[[#This Row],[Insulin]],NA())</f>
        <v>125</v>
      </c>
      <c r="V583" s="5" t="e">
        <f>IF(diabetesoriginal[[#This Row],[Diabetes]]=$S$1,diabetesoriginal[[#This Row],[Insulin]],NA())</f>
        <v>#N/A</v>
      </c>
    </row>
    <row r="584" spans="1:22" x14ac:dyDescent="0.25">
      <c r="A584" s="5">
        <v>12</v>
      </c>
      <c r="B584" s="5">
        <v>121</v>
      </c>
      <c r="C584" s="5">
        <v>78</v>
      </c>
      <c r="D584" s="5" t="s">
        <v>23</v>
      </c>
      <c r="E584" s="5">
        <v>17</v>
      </c>
      <c r="F584" s="5">
        <v>125</v>
      </c>
      <c r="G584" s="5">
        <v>26.5</v>
      </c>
      <c r="H584" s="5" t="s">
        <v>30</v>
      </c>
      <c r="I584" s="5">
        <v>0.25900000000000001</v>
      </c>
      <c r="J584" s="5">
        <v>62</v>
      </c>
      <c r="K584" s="5" t="s">
        <v>39</v>
      </c>
      <c r="L584" s="15">
        <v>0</v>
      </c>
      <c r="M584" s="5" t="s">
        <v>57</v>
      </c>
      <c r="N584" s="5" t="s">
        <v>58</v>
      </c>
      <c r="O584" s="5" t="s">
        <v>31</v>
      </c>
      <c r="R584" s="5">
        <f>IF(diabetesoriginal[[#This Row],[Diabetes]]=$R$1,diabetesoriginal[[#This Row],[Skin Thickness]],NA())</f>
        <v>17</v>
      </c>
      <c r="S584" s="5" t="e">
        <f>IF(diabetesoriginal[[#This Row],[Diabetes]]=$S$1,diabetesoriginal[[#This Row],[Skin Thickness]],NA())</f>
        <v>#N/A</v>
      </c>
      <c r="U584" s="5">
        <f>IF(diabetesoriginal[[#This Row],[Diabetes]]=$U$1,diabetesoriginal[[#This Row],[Insulin]],NA())</f>
        <v>125</v>
      </c>
      <c r="V584" s="5" t="e">
        <f>IF(diabetesoriginal[[#This Row],[Diabetes]]=$S$1,diabetesoriginal[[#This Row],[Insulin]],NA())</f>
        <v>#N/A</v>
      </c>
    </row>
    <row r="585" spans="1:22" x14ac:dyDescent="0.25">
      <c r="A585" s="5">
        <v>8</v>
      </c>
      <c r="B585" s="5">
        <v>100</v>
      </c>
      <c r="C585" s="5">
        <v>76</v>
      </c>
      <c r="D585" s="5" t="s">
        <v>23</v>
      </c>
      <c r="E585" s="5">
        <v>29</v>
      </c>
      <c r="F585" s="5">
        <v>125</v>
      </c>
      <c r="G585" s="5">
        <v>38.700000000000003</v>
      </c>
      <c r="H585" s="5" t="s">
        <v>29</v>
      </c>
      <c r="I585" s="5">
        <v>0.19</v>
      </c>
      <c r="J585" s="5">
        <v>42</v>
      </c>
      <c r="K585" s="5" t="s">
        <v>37</v>
      </c>
      <c r="L585" s="15">
        <v>0</v>
      </c>
      <c r="M585" s="5" t="s">
        <v>57</v>
      </c>
      <c r="N585" s="5" t="s">
        <v>56</v>
      </c>
      <c r="O585" s="5" t="s">
        <v>31</v>
      </c>
      <c r="R585" s="5">
        <f>IF(diabetesoriginal[[#This Row],[Diabetes]]=$R$1,diabetesoriginal[[#This Row],[Skin Thickness]],NA())</f>
        <v>29</v>
      </c>
      <c r="S585" s="5" t="e">
        <f>IF(diabetesoriginal[[#This Row],[Diabetes]]=$S$1,diabetesoriginal[[#This Row],[Skin Thickness]],NA())</f>
        <v>#N/A</v>
      </c>
      <c r="U585" s="5">
        <f>IF(diabetesoriginal[[#This Row],[Diabetes]]=$U$1,diabetesoriginal[[#This Row],[Insulin]],NA())</f>
        <v>125</v>
      </c>
      <c r="V585" s="5" t="e">
        <f>IF(diabetesoriginal[[#This Row],[Diabetes]]=$S$1,diabetesoriginal[[#This Row],[Insulin]],NA())</f>
        <v>#N/A</v>
      </c>
    </row>
    <row r="586" spans="1:22" x14ac:dyDescent="0.25">
      <c r="A586" s="5">
        <v>8</v>
      </c>
      <c r="B586" s="5">
        <v>124</v>
      </c>
      <c r="C586" s="5">
        <v>76</v>
      </c>
      <c r="D586" s="5" t="s">
        <v>23</v>
      </c>
      <c r="E586" s="5">
        <v>24</v>
      </c>
      <c r="F586" s="5">
        <v>600</v>
      </c>
      <c r="G586" s="5">
        <v>28.7</v>
      </c>
      <c r="H586" s="5" t="s">
        <v>30</v>
      </c>
      <c r="I586" s="5">
        <v>0.68700000000000006</v>
      </c>
      <c r="J586" s="5">
        <v>52</v>
      </c>
      <c r="K586" s="5" t="s">
        <v>38</v>
      </c>
      <c r="L586" s="15">
        <v>1</v>
      </c>
      <c r="M586" s="5" t="s">
        <v>57</v>
      </c>
      <c r="N586" s="5" t="s">
        <v>56</v>
      </c>
      <c r="O586" s="5" t="s">
        <v>59</v>
      </c>
      <c r="R586" s="5" t="e">
        <f>IF(diabetesoriginal[[#This Row],[Diabetes]]=$R$1,diabetesoriginal[[#This Row],[Skin Thickness]],NA())</f>
        <v>#N/A</v>
      </c>
      <c r="S586" s="5">
        <f>IF(diabetesoriginal[[#This Row],[Diabetes]]=$S$1,diabetesoriginal[[#This Row],[Skin Thickness]],NA())</f>
        <v>24</v>
      </c>
      <c r="U586" s="5" t="e">
        <f>IF(diabetesoriginal[[#This Row],[Diabetes]]=$U$1,diabetesoriginal[[#This Row],[Insulin]],NA())</f>
        <v>#N/A</v>
      </c>
      <c r="V586" s="5">
        <f>IF(diabetesoriginal[[#This Row],[Diabetes]]=$S$1,diabetesoriginal[[#This Row],[Insulin]],NA())</f>
        <v>600</v>
      </c>
    </row>
    <row r="587" spans="1:22" x14ac:dyDescent="0.25">
      <c r="A587" s="5">
        <v>1</v>
      </c>
      <c r="B587" s="5">
        <v>93</v>
      </c>
      <c r="C587" s="5">
        <v>56</v>
      </c>
      <c r="D587" s="5" t="s">
        <v>23</v>
      </c>
      <c r="E587" s="5">
        <v>11</v>
      </c>
      <c r="F587" s="5">
        <v>125</v>
      </c>
      <c r="G587" s="5">
        <v>22.5</v>
      </c>
      <c r="H587" s="5" t="s">
        <v>31</v>
      </c>
      <c r="I587" s="5">
        <v>0.41699999999999998</v>
      </c>
      <c r="J587" s="5">
        <v>22</v>
      </c>
      <c r="K587" s="5" t="s">
        <v>35</v>
      </c>
      <c r="L587" s="15">
        <v>0</v>
      </c>
      <c r="M587" s="5" t="s">
        <v>57</v>
      </c>
      <c r="N587" s="5" t="s">
        <v>58</v>
      </c>
      <c r="O587" s="5" t="s">
        <v>31</v>
      </c>
      <c r="R587" s="5">
        <f>IF(diabetesoriginal[[#This Row],[Diabetes]]=$R$1,diabetesoriginal[[#This Row],[Skin Thickness]],NA())</f>
        <v>11</v>
      </c>
      <c r="S587" s="5" t="e">
        <f>IF(diabetesoriginal[[#This Row],[Diabetes]]=$S$1,diabetesoriginal[[#This Row],[Skin Thickness]],NA())</f>
        <v>#N/A</v>
      </c>
      <c r="U587" s="5">
        <f>IF(diabetesoriginal[[#This Row],[Diabetes]]=$U$1,diabetesoriginal[[#This Row],[Insulin]],NA())</f>
        <v>125</v>
      </c>
      <c r="V587" s="5" t="e">
        <f>IF(diabetesoriginal[[#This Row],[Diabetes]]=$S$1,diabetesoriginal[[#This Row],[Insulin]],NA())</f>
        <v>#N/A</v>
      </c>
    </row>
    <row r="588" spans="1:22" x14ac:dyDescent="0.25">
      <c r="A588" s="5">
        <v>8</v>
      </c>
      <c r="B588" s="5">
        <v>143</v>
      </c>
      <c r="C588" s="5">
        <v>66</v>
      </c>
      <c r="D588" s="5" t="s">
        <v>23</v>
      </c>
      <c r="E588" s="5">
        <v>29</v>
      </c>
      <c r="F588" s="5">
        <v>125</v>
      </c>
      <c r="G588" s="5">
        <v>34.9</v>
      </c>
      <c r="H588" s="5" t="s">
        <v>29</v>
      </c>
      <c r="I588" s="5">
        <v>0.129</v>
      </c>
      <c r="J588" s="5">
        <v>41</v>
      </c>
      <c r="K588" s="5" t="s">
        <v>37</v>
      </c>
      <c r="L588" s="15">
        <v>1</v>
      </c>
      <c r="M588" s="5" t="s">
        <v>22</v>
      </c>
      <c r="N588" s="5" t="s">
        <v>56</v>
      </c>
      <c r="O588" s="5" t="s">
        <v>31</v>
      </c>
      <c r="R588" s="5" t="e">
        <f>IF(diabetesoriginal[[#This Row],[Diabetes]]=$R$1,diabetesoriginal[[#This Row],[Skin Thickness]],NA())</f>
        <v>#N/A</v>
      </c>
      <c r="S588" s="5">
        <f>IF(diabetesoriginal[[#This Row],[Diabetes]]=$S$1,diabetesoriginal[[#This Row],[Skin Thickness]],NA())</f>
        <v>29</v>
      </c>
      <c r="U588" s="5" t="e">
        <f>IF(diabetesoriginal[[#This Row],[Diabetes]]=$U$1,diabetesoriginal[[#This Row],[Insulin]],NA())</f>
        <v>#N/A</v>
      </c>
      <c r="V588" s="5">
        <f>IF(diabetesoriginal[[#This Row],[Diabetes]]=$S$1,diabetesoriginal[[#This Row],[Insulin]],NA())</f>
        <v>125</v>
      </c>
    </row>
    <row r="589" spans="1:22" x14ac:dyDescent="0.25">
      <c r="A589" s="5">
        <v>6</v>
      </c>
      <c r="B589" s="5">
        <v>103</v>
      </c>
      <c r="C589" s="5">
        <v>66</v>
      </c>
      <c r="D589" s="5" t="s">
        <v>23</v>
      </c>
      <c r="E589" s="5">
        <v>29</v>
      </c>
      <c r="F589" s="5">
        <v>125</v>
      </c>
      <c r="G589" s="5">
        <v>24.3</v>
      </c>
      <c r="H589" s="5" t="s">
        <v>31</v>
      </c>
      <c r="I589" s="5">
        <v>0.249</v>
      </c>
      <c r="J589" s="5">
        <v>29</v>
      </c>
      <c r="K589" s="5" t="s">
        <v>35</v>
      </c>
      <c r="L589" s="15">
        <v>0</v>
      </c>
      <c r="M589" s="5" t="s">
        <v>57</v>
      </c>
      <c r="N589" s="5" t="s">
        <v>56</v>
      </c>
      <c r="O589" s="5" t="s">
        <v>31</v>
      </c>
      <c r="R589" s="5">
        <f>IF(diabetesoriginal[[#This Row],[Diabetes]]=$R$1,diabetesoriginal[[#This Row],[Skin Thickness]],NA())</f>
        <v>29</v>
      </c>
      <c r="S589" s="5" t="e">
        <f>IF(diabetesoriginal[[#This Row],[Diabetes]]=$S$1,diabetesoriginal[[#This Row],[Skin Thickness]],NA())</f>
        <v>#N/A</v>
      </c>
      <c r="U589" s="5">
        <f>IF(diabetesoriginal[[#This Row],[Diabetes]]=$U$1,diabetesoriginal[[#This Row],[Insulin]],NA())</f>
        <v>125</v>
      </c>
      <c r="V589" s="5" t="e">
        <f>IF(diabetesoriginal[[#This Row],[Diabetes]]=$S$1,diabetesoriginal[[#This Row],[Insulin]],NA())</f>
        <v>#N/A</v>
      </c>
    </row>
    <row r="590" spans="1:22" x14ac:dyDescent="0.25">
      <c r="A590" s="5">
        <v>3</v>
      </c>
      <c r="B590" s="5">
        <v>176</v>
      </c>
      <c r="C590" s="5">
        <v>86</v>
      </c>
      <c r="D590" s="5" t="s">
        <v>25</v>
      </c>
      <c r="E590" s="5">
        <v>27</v>
      </c>
      <c r="F590" s="5">
        <v>156</v>
      </c>
      <c r="G590" s="5">
        <v>33.299999999999997</v>
      </c>
      <c r="H590" s="5" t="s">
        <v>29</v>
      </c>
      <c r="I590" s="5">
        <v>1.1539999999999999</v>
      </c>
      <c r="J590" s="5">
        <v>52</v>
      </c>
      <c r="K590" s="5" t="s">
        <v>38</v>
      </c>
      <c r="L590" s="15">
        <v>1</v>
      </c>
      <c r="M590" s="5" t="s">
        <v>22</v>
      </c>
      <c r="N590" s="5" t="s">
        <v>56</v>
      </c>
      <c r="O590" s="5" t="s">
        <v>31</v>
      </c>
      <c r="R590" s="5" t="e">
        <f>IF(diabetesoriginal[[#This Row],[Diabetes]]=$R$1,diabetesoriginal[[#This Row],[Skin Thickness]],NA())</f>
        <v>#N/A</v>
      </c>
      <c r="S590" s="5">
        <f>IF(diabetesoriginal[[#This Row],[Diabetes]]=$S$1,diabetesoriginal[[#This Row],[Skin Thickness]],NA())</f>
        <v>27</v>
      </c>
      <c r="U590" s="5" t="e">
        <f>IF(diabetesoriginal[[#This Row],[Diabetes]]=$U$1,diabetesoriginal[[#This Row],[Insulin]],NA())</f>
        <v>#N/A</v>
      </c>
      <c r="V590" s="5">
        <f>IF(diabetesoriginal[[#This Row],[Diabetes]]=$S$1,diabetesoriginal[[#This Row],[Insulin]],NA())</f>
        <v>156</v>
      </c>
    </row>
    <row r="591" spans="1:22" x14ac:dyDescent="0.25">
      <c r="A591" s="5">
        <v>0</v>
      </c>
      <c r="B591" s="5">
        <v>73</v>
      </c>
      <c r="C591" s="5">
        <v>72</v>
      </c>
      <c r="D591" s="5" t="s">
        <v>23</v>
      </c>
      <c r="E591" s="5">
        <v>29</v>
      </c>
      <c r="F591" s="5">
        <v>125</v>
      </c>
      <c r="G591" s="5">
        <v>21.1</v>
      </c>
      <c r="H591" s="5" t="s">
        <v>31</v>
      </c>
      <c r="I591" s="5">
        <v>0.34200000000000003</v>
      </c>
      <c r="J591" s="5">
        <v>25</v>
      </c>
      <c r="K591" s="5" t="s">
        <v>35</v>
      </c>
      <c r="L591" s="15">
        <v>0</v>
      </c>
      <c r="M591" s="5" t="s">
        <v>57</v>
      </c>
      <c r="N591" s="5" t="s">
        <v>56</v>
      </c>
      <c r="O591" s="5" t="s">
        <v>31</v>
      </c>
      <c r="R591" s="5">
        <f>IF(diabetesoriginal[[#This Row],[Diabetes]]=$R$1,diabetesoriginal[[#This Row],[Skin Thickness]],NA())</f>
        <v>29</v>
      </c>
      <c r="S591" s="5" t="e">
        <f>IF(diabetesoriginal[[#This Row],[Diabetes]]=$S$1,diabetesoriginal[[#This Row],[Skin Thickness]],NA())</f>
        <v>#N/A</v>
      </c>
      <c r="U591" s="5">
        <f>IF(diabetesoriginal[[#This Row],[Diabetes]]=$U$1,diabetesoriginal[[#This Row],[Insulin]],NA())</f>
        <v>125</v>
      </c>
      <c r="V591" s="5" t="e">
        <f>IF(diabetesoriginal[[#This Row],[Diabetes]]=$S$1,diabetesoriginal[[#This Row],[Insulin]],NA())</f>
        <v>#N/A</v>
      </c>
    </row>
    <row r="592" spans="1:22" x14ac:dyDescent="0.25">
      <c r="A592" s="5">
        <v>11</v>
      </c>
      <c r="B592" s="5">
        <v>111</v>
      </c>
      <c r="C592" s="5">
        <v>84</v>
      </c>
      <c r="D592" s="5" t="s">
        <v>25</v>
      </c>
      <c r="E592" s="5">
        <v>40</v>
      </c>
      <c r="F592" s="5">
        <v>125</v>
      </c>
      <c r="G592" s="5">
        <v>46.8</v>
      </c>
      <c r="H592" s="5" t="s">
        <v>32</v>
      </c>
      <c r="I592" s="5">
        <v>0.92500000000000004</v>
      </c>
      <c r="J592" s="5">
        <v>45</v>
      </c>
      <c r="K592" s="5" t="s">
        <v>37</v>
      </c>
      <c r="L592" s="15">
        <v>1</v>
      </c>
      <c r="M592" s="5" t="s">
        <v>57</v>
      </c>
      <c r="N592" s="5" t="s">
        <v>56</v>
      </c>
      <c r="O592" s="5" t="s">
        <v>31</v>
      </c>
      <c r="R592" s="5" t="e">
        <f>IF(diabetesoriginal[[#This Row],[Diabetes]]=$R$1,diabetesoriginal[[#This Row],[Skin Thickness]],NA())</f>
        <v>#N/A</v>
      </c>
      <c r="S592" s="5">
        <f>IF(diabetesoriginal[[#This Row],[Diabetes]]=$S$1,diabetesoriginal[[#This Row],[Skin Thickness]],NA())</f>
        <v>40</v>
      </c>
      <c r="U592" s="5" t="e">
        <f>IF(diabetesoriginal[[#This Row],[Diabetes]]=$U$1,diabetesoriginal[[#This Row],[Insulin]],NA())</f>
        <v>#N/A</v>
      </c>
      <c r="V592" s="5">
        <f>IF(diabetesoriginal[[#This Row],[Diabetes]]=$S$1,diabetesoriginal[[#This Row],[Insulin]],NA())</f>
        <v>125</v>
      </c>
    </row>
    <row r="593" spans="1:22" x14ac:dyDescent="0.25">
      <c r="A593" s="5">
        <v>2</v>
      </c>
      <c r="B593" s="5">
        <v>112</v>
      </c>
      <c r="C593" s="5">
        <v>78</v>
      </c>
      <c r="D593" s="5" t="s">
        <v>23</v>
      </c>
      <c r="E593" s="5">
        <v>50</v>
      </c>
      <c r="F593" s="5">
        <v>140</v>
      </c>
      <c r="G593" s="5">
        <v>39.4</v>
      </c>
      <c r="H593" s="5" t="s">
        <v>29</v>
      </c>
      <c r="I593" s="5">
        <v>0.17499999999999999</v>
      </c>
      <c r="J593" s="5">
        <v>24</v>
      </c>
      <c r="K593" s="5" t="s">
        <v>35</v>
      </c>
      <c r="L593" s="15">
        <v>0</v>
      </c>
      <c r="M593" s="5" t="s">
        <v>57</v>
      </c>
      <c r="N593" s="5" t="s">
        <v>56</v>
      </c>
      <c r="O593" s="5" t="s">
        <v>31</v>
      </c>
      <c r="R593" s="5">
        <f>IF(diabetesoriginal[[#This Row],[Diabetes]]=$R$1,diabetesoriginal[[#This Row],[Skin Thickness]],NA())</f>
        <v>50</v>
      </c>
      <c r="S593" s="5" t="e">
        <f>IF(diabetesoriginal[[#This Row],[Diabetes]]=$S$1,diabetesoriginal[[#This Row],[Skin Thickness]],NA())</f>
        <v>#N/A</v>
      </c>
      <c r="U593" s="5">
        <f>IF(diabetesoriginal[[#This Row],[Diabetes]]=$U$1,diabetesoriginal[[#This Row],[Insulin]],NA())</f>
        <v>140</v>
      </c>
      <c r="V593" s="5" t="e">
        <f>IF(diabetesoriginal[[#This Row],[Diabetes]]=$S$1,diabetesoriginal[[#This Row],[Insulin]],NA())</f>
        <v>#N/A</v>
      </c>
    </row>
    <row r="594" spans="1:22" x14ac:dyDescent="0.25">
      <c r="A594" s="5">
        <v>3</v>
      </c>
      <c r="B594" s="5">
        <v>132</v>
      </c>
      <c r="C594" s="5">
        <v>80</v>
      </c>
      <c r="D594" s="5" t="s">
        <v>25</v>
      </c>
      <c r="E594" s="5">
        <v>29</v>
      </c>
      <c r="F594" s="5">
        <v>125</v>
      </c>
      <c r="G594" s="5">
        <v>34.4</v>
      </c>
      <c r="H594" s="5" t="s">
        <v>29</v>
      </c>
      <c r="I594" s="5">
        <v>0.40200000000000002</v>
      </c>
      <c r="J594" s="5">
        <v>44</v>
      </c>
      <c r="K594" s="5" t="s">
        <v>37</v>
      </c>
      <c r="L594" s="15">
        <v>1</v>
      </c>
      <c r="M594" s="5" t="s">
        <v>57</v>
      </c>
      <c r="N594" s="5" t="s">
        <v>56</v>
      </c>
      <c r="O594" s="5" t="s">
        <v>31</v>
      </c>
      <c r="R594" s="5" t="e">
        <f>IF(diabetesoriginal[[#This Row],[Diabetes]]=$R$1,diabetesoriginal[[#This Row],[Skin Thickness]],NA())</f>
        <v>#N/A</v>
      </c>
      <c r="S594" s="5">
        <f>IF(diabetesoriginal[[#This Row],[Diabetes]]=$S$1,diabetesoriginal[[#This Row],[Skin Thickness]],NA())</f>
        <v>29</v>
      </c>
      <c r="U594" s="5" t="e">
        <f>IF(diabetesoriginal[[#This Row],[Diabetes]]=$U$1,diabetesoriginal[[#This Row],[Insulin]],NA())</f>
        <v>#N/A</v>
      </c>
      <c r="V594" s="5">
        <f>IF(diabetesoriginal[[#This Row],[Diabetes]]=$S$1,diabetesoriginal[[#This Row],[Insulin]],NA())</f>
        <v>125</v>
      </c>
    </row>
    <row r="595" spans="1:22" x14ac:dyDescent="0.25">
      <c r="A595" s="5">
        <v>2</v>
      </c>
      <c r="B595" s="5">
        <v>82</v>
      </c>
      <c r="C595" s="5">
        <v>52</v>
      </c>
      <c r="D595" s="5" t="s">
        <v>23</v>
      </c>
      <c r="E595" s="5">
        <v>22</v>
      </c>
      <c r="F595" s="5">
        <v>115</v>
      </c>
      <c r="G595" s="5">
        <v>28.5</v>
      </c>
      <c r="H595" s="5" t="s">
        <v>30</v>
      </c>
      <c r="I595" s="5">
        <v>1.6990000000000001</v>
      </c>
      <c r="J595" s="5">
        <v>25</v>
      </c>
      <c r="K595" s="5" t="s">
        <v>35</v>
      </c>
      <c r="L595" s="15">
        <v>0</v>
      </c>
      <c r="M595" s="5" t="s">
        <v>57</v>
      </c>
      <c r="N595" s="5" t="s">
        <v>58</v>
      </c>
      <c r="O595" s="5" t="s">
        <v>31</v>
      </c>
      <c r="R595" s="5">
        <f>IF(diabetesoriginal[[#This Row],[Diabetes]]=$R$1,diabetesoriginal[[#This Row],[Skin Thickness]],NA())</f>
        <v>22</v>
      </c>
      <c r="S595" s="5" t="e">
        <f>IF(diabetesoriginal[[#This Row],[Diabetes]]=$S$1,diabetesoriginal[[#This Row],[Skin Thickness]],NA())</f>
        <v>#N/A</v>
      </c>
      <c r="U595" s="5">
        <f>IF(diabetesoriginal[[#This Row],[Diabetes]]=$U$1,diabetesoriginal[[#This Row],[Insulin]],NA())</f>
        <v>115</v>
      </c>
      <c r="V595" s="5" t="e">
        <f>IF(diabetesoriginal[[#This Row],[Diabetes]]=$S$1,diabetesoriginal[[#This Row],[Insulin]],NA())</f>
        <v>#N/A</v>
      </c>
    </row>
    <row r="596" spans="1:22" x14ac:dyDescent="0.25">
      <c r="A596" s="5">
        <v>6</v>
      </c>
      <c r="B596" s="5">
        <v>123</v>
      </c>
      <c r="C596" s="5">
        <v>72</v>
      </c>
      <c r="D596" s="5" t="s">
        <v>23</v>
      </c>
      <c r="E596" s="5">
        <v>45</v>
      </c>
      <c r="F596" s="5">
        <v>230</v>
      </c>
      <c r="G596" s="5">
        <v>33.6</v>
      </c>
      <c r="H596" s="5" t="s">
        <v>29</v>
      </c>
      <c r="I596" s="5">
        <v>0.73299999999999998</v>
      </c>
      <c r="J596" s="5">
        <v>34</v>
      </c>
      <c r="K596" s="5" t="s">
        <v>36</v>
      </c>
      <c r="L596" s="15">
        <v>0</v>
      </c>
      <c r="M596" s="5" t="s">
        <v>57</v>
      </c>
      <c r="N596" s="5" t="s">
        <v>56</v>
      </c>
      <c r="O596" s="5" t="s">
        <v>59</v>
      </c>
      <c r="R596" s="5">
        <f>IF(diabetesoriginal[[#This Row],[Diabetes]]=$R$1,diabetesoriginal[[#This Row],[Skin Thickness]],NA())</f>
        <v>45</v>
      </c>
      <c r="S596" s="5" t="e">
        <f>IF(diabetesoriginal[[#This Row],[Diabetes]]=$S$1,diabetesoriginal[[#This Row],[Skin Thickness]],NA())</f>
        <v>#N/A</v>
      </c>
      <c r="U596" s="5">
        <f>IF(diabetesoriginal[[#This Row],[Diabetes]]=$U$1,diabetesoriginal[[#This Row],[Insulin]],NA())</f>
        <v>230</v>
      </c>
      <c r="V596" s="5" t="e">
        <f>IF(diabetesoriginal[[#This Row],[Diabetes]]=$S$1,diabetesoriginal[[#This Row],[Insulin]],NA())</f>
        <v>#N/A</v>
      </c>
    </row>
    <row r="597" spans="1:22" x14ac:dyDescent="0.25">
      <c r="A597" s="5">
        <v>0</v>
      </c>
      <c r="B597" s="5">
        <v>188</v>
      </c>
      <c r="C597" s="5">
        <v>82</v>
      </c>
      <c r="D597" s="5" t="s">
        <v>25</v>
      </c>
      <c r="E597" s="5">
        <v>14</v>
      </c>
      <c r="F597" s="5">
        <v>185</v>
      </c>
      <c r="G597" s="5">
        <v>32</v>
      </c>
      <c r="H597" s="5" t="s">
        <v>29</v>
      </c>
      <c r="I597" s="5">
        <v>0.68200000000000005</v>
      </c>
      <c r="J597" s="5">
        <v>22</v>
      </c>
      <c r="K597" s="5" t="s">
        <v>35</v>
      </c>
      <c r="L597" s="15">
        <v>1</v>
      </c>
      <c r="M597" s="5" t="s">
        <v>22</v>
      </c>
      <c r="N597" s="5" t="s">
        <v>58</v>
      </c>
      <c r="O597" s="5" t="s">
        <v>59</v>
      </c>
      <c r="R597" s="5" t="e">
        <f>IF(diabetesoriginal[[#This Row],[Diabetes]]=$R$1,diabetesoriginal[[#This Row],[Skin Thickness]],NA())</f>
        <v>#N/A</v>
      </c>
      <c r="S597" s="5">
        <f>IF(diabetesoriginal[[#This Row],[Diabetes]]=$S$1,diabetesoriginal[[#This Row],[Skin Thickness]],NA())</f>
        <v>14</v>
      </c>
      <c r="U597" s="5" t="e">
        <f>IF(diabetesoriginal[[#This Row],[Diabetes]]=$U$1,diabetesoriginal[[#This Row],[Insulin]],NA())</f>
        <v>#N/A</v>
      </c>
      <c r="V597" s="5">
        <f>IF(diabetesoriginal[[#This Row],[Diabetes]]=$S$1,diabetesoriginal[[#This Row],[Insulin]],NA())</f>
        <v>185</v>
      </c>
    </row>
    <row r="598" spans="1:22" x14ac:dyDescent="0.25">
      <c r="A598" s="5">
        <v>0</v>
      </c>
      <c r="B598" s="5">
        <v>67</v>
      </c>
      <c r="C598" s="5">
        <v>76</v>
      </c>
      <c r="D598" s="5" t="s">
        <v>23</v>
      </c>
      <c r="E598" s="5">
        <v>29</v>
      </c>
      <c r="F598" s="5">
        <v>125</v>
      </c>
      <c r="G598" s="5">
        <v>45.3</v>
      </c>
      <c r="H598" s="5" t="s">
        <v>32</v>
      </c>
      <c r="I598" s="5">
        <v>0.19400000000000001</v>
      </c>
      <c r="J598" s="5">
        <v>46</v>
      </c>
      <c r="K598" s="5" t="s">
        <v>37</v>
      </c>
      <c r="L598" s="15">
        <v>0</v>
      </c>
      <c r="M598" s="5" t="s">
        <v>57</v>
      </c>
      <c r="N598" s="5" t="s">
        <v>56</v>
      </c>
      <c r="O598" s="5" t="s">
        <v>31</v>
      </c>
      <c r="R598" s="5">
        <f>IF(diabetesoriginal[[#This Row],[Diabetes]]=$R$1,diabetesoriginal[[#This Row],[Skin Thickness]],NA())</f>
        <v>29</v>
      </c>
      <c r="S598" s="5" t="e">
        <f>IF(diabetesoriginal[[#This Row],[Diabetes]]=$S$1,diabetesoriginal[[#This Row],[Skin Thickness]],NA())</f>
        <v>#N/A</v>
      </c>
      <c r="U598" s="5">
        <f>IF(diabetesoriginal[[#This Row],[Diabetes]]=$U$1,diabetesoriginal[[#This Row],[Insulin]],NA())</f>
        <v>125</v>
      </c>
      <c r="V598" s="5" t="e">
        <f>IF(diabetesoriginal[[#This Row],[Diabetes]]=$S$1,diabetesoriginal[[#This Row],[Insulin]],NA())</f>
        <v>#N/A</v>
      </c>
    </row>
    <row r="599" spans="1:22" x14ac:dyDescent="0.25">
      <c r="A599" s="5">
        <v>1</v>
      </c>
      <c r="B599" s="5">
        <v>89</v>
      </c>
      <c r="C599" s="5">
        <v>24</v>
      </c>
      <c r="D599" s="5" t="s">
        <v>23</v>
      </c>
      <c r="E599" s="5">
        <v>19</v>
      </c>
      <c r="F599" s="5">
        <v>25</v>
      </c>
      <c r="G599" s="5">
        <v>27.8</v>
      </c>
      <c r="H599" s="5" t="s">
        <v>30</v>
      </c>
      <c r="I599" s="5">
        <v>0.55900000000000005</v>
      </c>
      <c r="J599" s="5">
        <v>21</v>
      </c>
      <c r="K599" s="5" t="s">
        <v>35</v>
      </c>
      <c r="L599" s="15">
        <v>0</v>
      </c>
      <c r="M599" s="5" t="s">
        <v>57</v>
      </c>
      <c r="N599" s="5" t="s">
        <v>58</v>
      </c>
      <c r="O599" s="5" t="s">
        <v>31</v>
      </c>
      <c r="R599" s="5">
        <f>IF(diabetesoriginal[[#This Row],[Diabetes]]=$R$1,diabetesoriginal[[#This Row],[Skin Thickness]],NA())</f>
        <v>19</v>
      </c>
      <c r="S599" s="5" t="e">
        <f>IF(diabetesoriginal[[#This Row],[Diabetes]]=$S$1,diabetesoriginal[[#This Row],[Skin Thickness]],NA())</f>
        <v>#N/A</v>
      </c>
      <c r="U599" s="5">
        <f>IF(diabetesoriginal[[#This Row],[Diabetes]]=$U$1,diabetesoriginal[[#This Row],[Insulin]],NA())</f>
        <v>25</v>
      </c>
      <c r="V599" s="5" t="e">
        <f>IF(diabetesoriginal[[#This Row],[Diabetes]]=$S$1,diabetesoriginal[[#This Row],[Insulin]],NA())</f>
        <v>#N/A</v>
      </c>
    </row>
    <row r="600" spans="1:22" x14ac:dyDescent="0.25">
      <c r="A600" s="5">
        <v>1</v>
      </c>
      <c r="B600" s="5">
        <v>173</v>
      </c>
      <c r="C600" s="5">
        <v>74</v>
      </c>
      <c r="D600" s="5" t="s">
        <v>23</v>
      </c>
      <c r="E600" s="5">
        <v>29</v>
      </c>
      <c r="F600" s="5">
        <v>125</v>
      </c>
      <c r="G600" s="5">
        <v>36.799999999999997</v>
      </c>
      <c r="H600" s="5" t="s">
        <v>29</v>
      </c>
      <c r="I600" s="5">
        <v>8.7999999999999995E-2</v>
      </c>
      <c r="J600" s="5">
        <v>38</v>
      </c>
      <c r="K600" s="5" t="s">
        <v>36</v>
      </c>
      <c r="L600" s="15">
        <v>1</v>
      </c>
      <c r="M600" s="5" t="s">
        <v>22</v>
      </c>
      <c r="N600" s="5" t="s">
        <v>56</v>
      </c>
      <c r="O600" s="5" t="s">
        <v>31</v>
      </c>
      <c r="R600" s="5" t="e">
        <f>IF(diabetesoriginal[[#This Row],[Diabetes]]=$R$1,diabetesoriginal[[#This Row],[Skin Thickness]],NA())</f>
        <v>#N/A</v>
      </c>
      <c r="S600" s="5">
        <f>IF(diabetesoriginal[[#This Row],[Diabetes]]=$S$1,diabetesoriginal[[#This Row],[Skin Thickness]],NA())</f>
        <v>29</v>
      </c>
      <c r="U600" s="5" t="e">
        <f>IF(diabetesoriginal[[#This Row],[Diabetes]]=$U$1,diabetesoriginal[[#This Row],[Insulin]],NA())</f>
        <v>#N/A</v>
      </c>
      <c r="V600" s="5">
        <f>IF(diabetesoriginal[[#This Row],[Diabetes]]=$S$1,diabetesoriginal[[#This Row],[Insulin]],NA())</f>
        <v>125</v>
      </c>
    </row>
    <row r="601" spans="1:22" x14ac:dyDescent="0.25">
      <c r="A601" s="5">
        <v>1</v>
      </c>
      <c r="B601" s="5">
        <v>109</v>
      </c>
      <c r="C601" s="5">
        <v>38</v>
      </c>
      <c r="D601" s="5" t="s">
        <v>23</v>
      </c>
      <c r="E601" s="5">
        <v>18</v>
      </c>
      <c r="F601" s="5">
        <v>120</v>
      </c>
      <c r="G601" s="5">
        <v>23.1</v>
      </c>
      <c r="H601" s="5" t="s">
        <v>31</v>
      </c>
      <c r="I601" s="5">
        <v>0.40699999999999997</v>
      </c>
      <c r="J601" s="5">
        <v>26</v>
      </c>
      <c r="K601" s="5" t="s">
        <v>35</v>
      </c>
      <c r="L601" s="15">
        <v>0</v>
      </c>
      <c r="M601" s="5" t="s">
        <v>57</v>
      </c>
      <c r="N601" s="5" t="s">
        <v>58</v>
      </c>
      <c r="O601" s="5" t="s">
        <v>31</v>
      </c>
      <c r="R601" s="5">
        <f>IF(diabetesoriginal[[#This Row],[Diabetes]]=$R$1,diabetesoriginal[[#This Row],[Skin Thickness]],NA())</f>
        <v>18</v>
      </c>
      <c r="S601" s="5" t="e">
        <f>IF(diabetesoriginal[[#This Row],[Diabetes]]=$S$1,diabetesoriginal[[#This Row],[Skin Thickness]],NA())</f>
        <v>#N/A</v>
      </c>
      <c r="U601" s="5">
        <f>IF(diabetesoriginal[[#This Row],[Diabetes]]=$U$1,diabetesoriginal[[#This Row],[Insulin]],NA())</f>
        <v>120</v>
      </c>
      <c r="V601" s="5" t="e">
        <f>IF(diabetesoriginal[[#This Row],[Diabetes]]=$S$1,diabetesoriginal[[#This Row],[Insulin]],NA())</f>
        <v>#N/A</v>
      </c>
    </row>
    <row r="602" spans="1:22" x14ac:dyDescent="0.25">
      <c r="A602" s="5">
        <v>1</v>
      </c>
      <c r="B602" s="5">
        <v>108</v>
      </c>
      <c r="C602" s="5">
        <v>88</v>
      </c>
      <c r="D602" s="5" t="s">
        <v>25</v>
      </c>
      <c r="E602" s="5">
        <v>19</v>
      </c>
      <c r="F602" s="5">
        <v>125</v>
      </c>
      <c r="G602" s="5">
        <v>27.1</v>
      </c>
      <c r="H602" s="5" t="s">
        <v>30</v>
      </c>
      <c r="I602" s="5">
        <v>0.4</v>
      </c>
      <c r="J602" s="5">
        <v>24</v>
      </c>
      <c r="K602" s="5" t="s">
        <v>35</v>
      </c>
      <c r="L602" s="15">
        <v>0</v>
      </c>
      <c r="M602" s="5" t="s">
        <v>57</v>
      </c>
      <c r="N602" s="5" t="s">
        <v>58</v>
      </c>
      <c r="O602" s="5" t="s">
        <v>31</v>
      </c>
      <c r="R602" s="5">
        <f>IF(diabetesoriginal[[#This Row],[Diabetes]]=$R$1,diabetesoriginal[[#This Row],[Skin Thickness]],NA())</f>
        <v>19</v>
      </c>
      <c r="S602" s="5" t="e">
        <f>IF(diabetesoriginal[[#This Row],[Diabetes]]=$S$1,diabetesoriginal[[#This Row],[Skin Thickness]],NA())</f>
        <v>#N/A</v>
      </c>
      <c r="U602" s="5">
        <f>IF(diabetesoriginal[[#This Row],[Diabetes]]=$U$1,diabetesoriginal[[#This Row],[Insulin]],NA())</f>
        <v>125</v>
      </c>
      <c r="V602" s="5" t="e">
        <f>IF(diabetesoriginal[[#This Row],[Diabetes]]=$S$1,diabetesoriginal[[#This Row],[Insulin]],NA())</f>
        <v>#N/A</v>
      </c>
    </row>
    <row r="603" spans="1:22" x14ac:dyDescent="0.25">
      <c r="A603" s="5">
        <v>6</v>
      </c>
      <c r="B603" s="5">
        <v>96</v>
      </c>
      <c r="C603" s="5">
        <v>72</v>
      </c>
      <c r="D603" s="5" t="s">
        <v>23</v>
      </c>
      <c r="E603" s="5">
        <v>29</v>
      </c>
      <c r="F603" s="5">
        <v>125</v>
      </c>
      <c r="G603" s="5">
        <v>23.7</v>
      </c>
      <c r="H603" s="5" t="s">
        <v>31</v>
      </c>
      <c r="I603" s="5">
        <v>0.19</v>
      </c>
      <c r="J603" s="5">
        <v>28</v>
      </c>
      <c r="K603" s="5" t="s">
        <v>35</v>
      </c>
      <c r="L603" s="15">
        <v>0</v>
      </c>
      <c r="M603" s="5" t="s">
        <v>57</v>
      </c>
      <c r="N603" s="5" t="s">
        <v>56</v>
      </c>
      <c r="O603" s="5" t="s">
        <v>31</v>
      </c>
      <c r="R603" s="5">
        <f>IF(diabetesoriginal[[#This Row],[Diabetes]]=$R$1,diabetesoriginal[[#This Row],[Skin Thickness]],NA())</f>
        <v>29</v>
      </c>
      <c r="S603" s="5" t="e">
        <f>IF(diabetesoriginal[[#This Row],[Diabetes]]=$S$1,diabetesoriginal[[#This Row],[Skin Thickness]],NA())</f>
        <v>#N/A</v>
      </c>
      <c r="U603" s="5">
        <f>IF(diabetesoriginal[[#This Row],[Diabetes]]=$U$1,diabetesoriginal[[#This Row],[Insulin]],NA())</f>
        <v>125</v>
      </c>
      <c r="V603" s="5" t="e">
        <f>IF(diabetesoriginal[[#This Row],[Diabetes]]=$S$1,diabetesoriginal[[#This Row],[Insulin]],NA())</f>
        <v>#N/A</v>
      </c>
    </row>
    <row r="604" spans="1:22" x14ac:dyDescent="0.25">
      <c r="A604" s="5">
        <v>1</v>
      </c>
      <c r="B604" s="5">
        <v>124</v>
      </c>
      <c r="C604" s="5">
        <v>74</v>
      </c>
      <c r="D604" s="5" t="s">
        <v>23</v>
      </c>
      <c r="E604" s="5">
        <v>36</v>
      </c>
      <c r="F604" s="5">
        <v>125</v>
      </c>
      <c r="G604" s="5">
        <v>27.8</v>
      </c>
      <c r="H604" s="5" t="s">
        <v>30</v>
      </c>
      <c r="I604" s="5">
        <v>0.1</v>
      </c>
      <c r="J604" s="5">
        <v>30</v>
      </c>
      <c r="K604" s="5" t="s">
        <v>36</v>
      </c>
      <c r="L604" s="15">
        <v>0</v>
      </c>
      <c r="M604" s="5" t="s">
        <v>57</v>
      </c>
      <c r="N604" s="5" t="s">
        <v>56</v>
      </c>
      <c r="O604" s="5" t="s">
        <v>31</v>
      </c>
      <c r="R604" s="5">
        <f>IF(diabetesoriginal[[#This Row],[Diabetes]]=$R$1,diabetesoriginal[[#This Row],[Skin Thickness]],NA())</f>
        <v>36</v>
      </c>
      <c r="S604" s="5" t="e">
        <f>IF(diabetesoriginal[[#This Row],[Diabetes]]=$S$1,diabetesoriginal[[#This Row],[Skin Thickness]],NA())</f>
        <v>#N/A</v>
      </c>
      <c r="U604" s="5">
        <f>IF(diabetesoriginal[[#This Row],[Diabetes]]=$U$1,diabetesoriginal[[#This Row],[Insulin]],NA())</f>
        <v>125</v>
      </c>
      <c r="V604" s="5" t="e">
        <f>IF(diabetesoriginal[[#This Row],[Diabetes]]=$S$1,diabetesoriginal[[#This Row],[Insulin]],NA())</f>
        <v>#N/A</v>
      </c>
    </row>
    <row r="605" spans="1:22" x14ac:dyDescent="0.25">
      <c r="A605" s="5">
        <v>7</v>
      </c>
      <c r="B605" s="5">
        <v>150</v>
      </c>
      <c r="C605" s="5">
        <v>78</v>
      </c>
      <c r="D605" s="5" t="s">
        <v>23</v>
      </c>
      <c r="E605" s="5">
        <v>29</v>
      </c>
      <c r="F605" s="5">
        <v>126</v>
      </c>
      <c r="G605" s="5">
        <v>35.200000000000003</v>
      </c>
      <c r="H605" s="5" t="s">
        <v>29</v>
      </c>
      <c r="I605" s="5">
        <v>0.69199999999999995</v>
      </c>
      <c r="J605" s="5">
        <v>54</v>
      </c>
      <c r="K605" s="5" t="s">
        <v>38</v>
      </c>
      <c r="L605" s="15">
        <v>1</v>
      </c>
      <c r="M605" s="5" t="s">
        <v>22</v>
      </c>
      <c r="N605" s="5" t="s">
        <v>56</v>
      </c>
      <c r="O605" s="5" t="s">
        <v>31</v>
      </c>
      <c r="R605" s="5" t="e">
        <f>IF(diabetesoriginal[[#This Row],[Diabetes]]=$R$1,diabetesoriginal[[#This Row],[Skin Thickness]],NA())</f>
        <v>#N/A</v>
      </c>
      <c r="S605" s="5">
        <f>IF(diabetesoriginal[[#This Row],[Diabetes]]=$S$1,diabetesoriginal[[#This Row],[Skin Thickness]],NA())</f>
        <v>29</v>
      </c>
      <c r="U605" s="5" t="e">
        <f>IF(diabetesoriginal[[#This Row],[Diabetes]]=$U$1,diabetesoriginal[[#This Row],[Insulin]],NA())</f>
        <v>#N/A</v>
      </c>
      <c r="V605" s="5">
        <f>IF(diabetesoriginal[[#This Row],[Diabetes]]=$S$1,diabetesoriginal[[#This Row],[Insulin]],NA())</f>
        <v>126</v>
      </c>
    </row>
    <row r="606" spans="1:22" x14ac:dyDescent="0.25">
      <c r="A606" s="5">
        <v>4</v>
      </c>
      <c r="B606" s="5">
        <v>183</v>
      </c>
      <c r="C606" s="5">
        <v>72</v>
      </c>
      <c r="D606" s="5" t="s">
        <v>23</v>
      </c>
      <c r="E606" s="5">
        <v>29</v>
      </c>
      <c r="F606" s="5">
        <v>125</v>
      </c>
      <c r="G606" s="5">
        <v>28.4</v>
      </c>
      <c r="H606" s="5" t="s">
        <v>30</v>
      </c>
      <c r="I606" s="5">
        <v>0.21199999999999999</v>
      </c>
      <c r="J606" s="5">
        <v>36</v>
      </c>
      <c r="K606" s="5" t="s">
        <v>36</v>
      </c>
      <c r="L606" s="15">
        <v>1</v>
      </c>
      <c r="M606" s="5" t="s">
        <v>22</v>
      </c>
      <c r="N606" s="5" t="s">
        <v>56</v>
      </c>
      <c r="O606" s="5" t="s">
        <v>31</v>
      </c>
      <c r="R606" s="5" t="e">
        <f>IF(diabetesoriginal[[#This Row],[Diabetes]]=$R$1,diabetesoriginal[[#This Row],[Skin Thickness]],NA())</f>
        <v>#N/A</v>
      </c>
      <c r="S606" s="5">
        <f>IF(diabetesoriginal[[#This Row],[Diabetes]]=$S$1,diabetesoriginal[[#This Row],[Skin Thickness]],NA())</f>
        <v>29</v>
      </c>
      <c r="U606" s="5" t="e">
        <f>IF(diabetesoriginal[[#This Row],[Diabetes]]=$U$1,diabetesoriginal[[#This Row],[Insulin]],NA())</f>
        <v>#N/A</v>
      </c>
      <c r="V606" s="5">
        <f>IF(diabetesoriginal[[#This Row],[Diabetes]]=$S$1,diabetesoriginal[[#This Row],[Insulin]],NA())</f>
        <v>125</v>
      </c>
    </row>
    <row r="607" spans="1:22" x14ac:dyDescent="0.25">
      <c r="A607" s="5">
        <v>1</v>
      </c>
      <c r="B607" s="5">
        <v>124</v>
      </c>
      <c r="C607" s="5">
        <v>60</v>
      </c>
      <c r="D607" s="5" t="s">
        <v>23</v>
      </c>
      <c r="E607" s="5">
        <v>32</v>
      </c>
      <c r="F607" s="5">
        <v>125</v>
      </c>
      <c r="G607" s="5">
        <v>35.799999999999997</v>
      </c>
      <c r="H607" s="5" t="s">
        <v>29</v>
      </c>
      <c r="I607" s="5">
        <v>0.51400000000000001</v>
      </c>
      <c r="J607" s="5">
        <v>21</v>
      </c>
      <c r="K607" s="5" t="s">
        <v>35</v>
      </c>
      <c r="L607" s="15">
        <v>0</v>
      </c>
      <c r="M607" s="5" t="s">
        <v>57</v>
      </c>
      <c r="N607" s="5" t="s">
        <v>56</v>
      </c>
      <c r="O607" s="5" t="s">
        <v>31</v>
      </c>
      <c r="R607" s="5">
        <f>IF(diabetesoriginal[[#This Row],[Diabetes]]=$R$1,diabetesoriginal[[#This Row],[Skin Thickness]],NA())</f>
        <v>32</v>
      </c>
      <c r="S607" s="5" t="e">
        <f>IF(diabetesoriginal[[#This Row],[Diabetes]]=$S$1,diabetesoriginal[[#This Row],[Skin Thickness]],NA())</f>
        <v>#N/A</v>
      </c>
      <c r="U607" s="5">
        <f>IF(diabetesoriginal[[#This Row],[Diabetes]]=$U$1,diabetesoriginal[[#This Row],[Insulin]],NA())</f>
        <v>125</v>
      </c>
      <c r="V607" s="5" t="e">
        <f>IF(diabetesoriginal[[#This Row],[Diabetes]]=$S$1,diabetesoriginal[[#This Row],[Insulin]],NA())</f>
        <v>#N/A</v>
      </c>
    </row>
    <row r="608" spans="1:22" x14ac:dyDescent="0.25">
      <c r="A608" s="5">
        <v>1</v>
      </c>
      <c r="B608" s="5">
        <v>181</v>
      </c>
      <c r="C608" s="5">
        <v>78</v>
      </c>
      <c r="D608" s="5" t="s">
        <v>23</v>
      </c>
      <c r="E608" s="5">
        <v>42</v>
      </c>
      <c r="F608" s="5">
        <v>293</v>
      </c>
      <c r="G608" s="5">
        <v>40</v>
      </c>
      <c r="H608" s="5" t="s">
        <v>32</v>
      </c>
      <c r="I608" s="5">
        <v>1.258</v>
      </c>
      <c r="J608" s="5">
        <v>22</v>
      </c>
      <c r="K608" s="5" t="s">
        <v>35</v>
      </c>
      <c r="L608" s="15">
        <v>1</v>
      </c>
      <c r="M608" s="5" t="s">
        <v>22</v>
      </c>
      <c r="N608" s="5" t="s">
        <v>56</v>
      </c>
      <c r="O608" s="5" t="s">
        <v>59</v>
      </c>
      <c r="R608" s="5" t="e">
        <f>IF(diabetesoriginal[[#This Row],[Diabetes]]=$R$1,diabetesoriginal[[#This Row],[Skin Thickness]],NA())</f>
        <v>#N/A</v>
      </c>
      <c r="S608" s="5">
        <f>IF(diabetesoriginal[[#This Row],[Diabetes]]=$S$1,diabetesoriginal[[#This Row],[Skin Thickness]],NA())</f>
        <v>42</v>
      </c>
      <c r="U608" s="5" t="e">
        <f>IF(diabetesoriginal[[#This Row],[Diabetes]]=$U$1,diabetesoriginal[[#This Row],[Insulin]],NA())</f>
        <v>#N/A</v>
      </c>
      <c r="V608" s="5">
        <f>IF(diabetesoriginal[[#This Row],[Diabetes]]=$S$1,diabetesoriginal[[#This Row],[Insulin]],NA())</f>
        <v>293</v>
      </c>
    </row>
    <row r="609" spans="1:22" x14ac:dyDescent="0.25">
      <c r="A609" s="5">
        <v>1</v>
      </c>
      <c r="B609" s="5">
        <v>92</v>
      </c>
      <c r="C609" s="5">
        <v>62</v>
      </c>
      <c r="D609" s="5" t="s">
        <v>23</v>
      </c>
      <c r="E609" s="5">
        <v>25</v>
      </c>
      <c r="F609" s="5">
        <v>41</v>
      </c>
      <c r="G609" s="5">
        <v>19.5</v>
      </c>
      <c r="H609" s="5" t="s">
        <v>31</v>
      </c>
      <c r="I609" s="5">
        <v>0.48199999999999998</v>
      </c>
      <c r="J609" s="5">
        <v>25</v>
      </c>
      <c r="K609" s="5" t="s">
        <v>35</v>
      </c>
      <c r="L609" s="15">
        <v>0</v>
      </c>
      <c r="M609" s="5" t="s">
        <v>57</v>
      </c>
      <c r="N609" s="5" t="s">
        <v>56</v>
      </c>
      <c r="O609" s="5" t="s">
        <v>31</v>
      </c>
      <c r="R609" s="5">
        <f>IF(diabetesoriginal[[#This Row],[Diabetes]]=$R$1,diabetesoriginal[[#This Row],[Skin Thickness]],NA())</f>
        <v>25</v>
      </c>
      <c r="S609" s="5" t="e">
        <f>IF(diabetesoriginal[[#This Row],[Diabetes]]=$S$1,diabetesoriginal[[#This Row],[Skin Thickness]],NA())</f>
        <v>#N/A</v>
      </c>
      <c r="U609" s="5">
        <f>IF(diabetesoriginal[[#This Row],[Diabetes]]=$U$1,diabetesoriginal[[#This Row],[Insulin]],NA())</f>
        <v>41</v>
      </c>
      <c r="V609" s="5" t="e">
        <f>IF(diabetesoriginal[[#This Row],[Diabetes]]=$S$1,diabetesoriginal[[#This Row],[Insulin]],NA())</f>
        <v>#N/A</v>
      </c>
    </row>
    <row r="610" spans="1:22" x14ac:dyDescent="0.25">
      <c r="A610" s="5">
        <v>0</v>
      </c>
      <c r="B610" s="5">
        <v>152</v>
      </c>
      <c r="C610" s="5">
        <v>82</v>
      </c>
      <c r="D610" s="5" t="s">
        <v>25</v>
      </c>
      <c r="E610" s="5">
        <v>39</v>
      </c>
      <c r="F610" s="5">
        <v>272</v>
      </c>
      <c r="G610" s="5">
        <v>41.5</v>
      </c>
      <c r="H610" s="5" t="s">
        <v>32</v>
      </c>
      <c r="I610" s="5">
        <v>0.27</v>
      </c>
      <c r="J610" s="5">
        <v>27</v>
      </c>
      <c r="K610" s="5" t="s">
        <v>35</v>
      </c>
      <c r="L610" s="15">
        <v>0</v>
      </c>
      <c r="M610" s="5" t="s">
        <v>22</v>
      </c>
      <c r="N610" s="5" t="s">
        <v>56</v>
      </c>
      <c r="O610" s="5" t="s">
        <v>59</v>
      </c>
      <c r="R610" s="5">
        <f>IF(diabetesoriginal[[#This Row],[Diabetes]]=$R$1,diabetesoriginal[[#This Row],[Skin Thickness]],NA())</f>
        <v>39</v>
      </c>
      <c r="S610" s="5" t="e">
        <f>IF(diabetesoriginal[[#This Row],[Diabetes]]=$S$1,diabetesoriginal[[#This Row],[Skin Thickness]],NA())</f>
        <v>#N/A</v>
      </c>
      <c r="U610" s="5">
        <f>IF(diabetesoriginal[[#This Row],[Diabetes]]=$U$1,diabetesoriginal[[#This Row],[Insulin]],NA())</f>
        <v>272</v>
      </c>
      <c r="V610" s="5" t="e">
        <f>IF(diabetesoriginal[[#This Row],[Diabetes]]=$S$1,diabetesoriginal[[#This Row],[Insulin]],NA())</f>
        <v>#N/A</v>
      </c>
    </row>
    <row r="611" spans="1:22" x14ac:dyDescent="0.25">
      <c r="A611" s="5">
        <v>1</v>
      </c>
      <c r="B611" s="5">
        <v>111</v>
      </c>
      <c r="C611" s="5">
        <v>62</v>
      </c>
      <c r="D611" s="5" t="s">
        <v>23</v>
      </c>
      <c r="E611" s="5">
        <v>13</v>
      </c>
      <c r="F611" s="5">
        <v>182</v>
      </c>
      <c r="G611" s="5">
        <v>24</v>
      </c>
      <c r="H611" s="5" t="s">
        <v>31</v>
      </c>
      <c r="I611" s="5">
        <v>0.13800000000000001</v>
      </c>
      <c r="J611" s="5">
        <v>23</v>
      </c>
      <c r="K611" s="5" t="s">
        <v>35</v>
      </c>
      <c r="L611" s="15">
        <v>0</v>
      </c>
      <c r="M611" s="5" t="s">
        <v>57</v>
      </c>
      <c r="N611" s="5" t="s">
        <v>58</v>
      </c>
      <c r="O611" s="5" t="s">
        <v>59</v>
      </c>
      <c r="R611" s="5">
        <f>IF(diabetesoriginal[[#This Row],[Diabetes]]=$R$1,diabetesoriginal[[#This Row],[Skin Thickness]],NA())</f>
        <v>13</v>
      </c>
      <c r="S611" s="5" t="e">
        <f>IF(diabetesoriginal[[#This Row],[Diabetes]]=$S$1,diabetesoriginal[[#This Row],[Skin Thickness]],NA())</f>
        <v>#N/A</v>
      </c>
      <c r="U611" s="5">
        <f>IF(diabetesoriginal[[#This Row],[Diabetes]]=$U$1,diabetesoriginal[[#This Row],[Insulin]],NA())</f>
        <v>182</v>
      </c>
      <c r="V611" s="5" t="e">
        <f>IF(diabetesoriginal[[#This Row],[Diabetes]]=$S$1,diabetesoriginal[[#This Row],[Insulin]],NA())</f>
        <v>#N/A</v>
      </c>
    </row>
    <row r="612" spans="1:22" x14ac:dyDescent="0.25">
      <c r="A612" s="5">
        <v>3</v>
      </c>
      <c r="B612" s="5">
        <v>106</v>
      </c>
      <c r="C612" s="5">
        <v>54</v>
      </c>
      <c r="D612" s="5" t="s">
        <v>23</v>
      </c>
      <c r="E612" s="5">
        <v>21</v>
      </c>
      <c r="F612" s="5">
        <v>158</v>
      </c>
      <c r="G612" s="5">
        <v>30.9</v>
      </c>
      <c r="H612" s="5" t="s">
        <v>29</v>
      </c>
      <c r="I612" s="5">
        <v>0.29199999999999998</v>
      </c>
      <c r="J612" s="5">
        <v>24</v>
      </c>
      <c r="K612" s="5" t="s">
        <v>35</v>
      </c>
      <c r="L612" s="15">
        <v>0</v>
      </c>
      <c r="M612" s="5" t="s">
        <v>57</v>
      </c>
      <c r="N612" s="5" t="s">
        <v>58</v>
      </c>
      <c r="O612" s="5" t="s">
        <v>31</v>
      </c>
      <c r="R612" s="5">
        <f>IF(diabetesoriginal[[#This Row],[Diabetes]]=$R$1,diabetesoriginal[[#This Row],[Skin Thickness]],NA())</f>
        <v>21</v>
      </c>
      <c r="S612" s="5" t="e">
        <f>IF(diabetesoriginal[[#This Row],[Diabetes]]=$S$1,diabetesoriginal[[#This Row],[Skin Thickness]],NA())</f>
        <v>#N/A</v>
      </c>
      <c r="U612" s="5">
        <f>IF(diabetesoriginal[[#This Row],[Diabetes]]=$U$1,diabetesoriginal[[#This Row],[Insulin]],NA())</f>
        <v>158</v>
      </c>
      <c r="V612" s="5" t="e">
        <f>IF(diabetesoriginal[[#This Row],[Diabetes]]=$S$1,diabetesoriginal[[#This Row],[Insulin]],NA())</f>
        <v>#N/A</v>
      </c>
    </row>
    <row r="613" spans="1:22" x14ac:dyDescent="0.25">
      <c r="A613" s="5">
        <v>3</v>
      </c>
      <c r="B613" s="5">
        <v>174</v>
      </c>
      <c r="C613" s="5">
        <v>58</v>
      </c>
      <c r="D613" s="5" t="s">
        <v>23</v>
      </c>
      <c r="E613" s="5">
        <v>22</v>
      </c>
      <c r="F613" s="5">
        <v>194</v>
      </c>
      <c r="G613" s="5">
        <v>32.9</v>
      </c>
      <c r="H613" s="5" t="s">
        <v>29</v>
      </c>
      <c r="I613" s="5">
        <v>0.59299999999999997</v>
      </c>
      <c r="J613" s="5">
        <v>36</v>
      </c>
      <c r="K613" s="5" t="s">
        <v>36</v>
      </c>
      <c r="L613" s="15">
        <v>1</v>
      </c>
      <c r="M613" s="5" t="s">
        <v>22</v>
      </c>
      <c r="N613" s="5" t="s">
        <v>58</v>
      </c>
      <c r="O613" s="5" t="s">
        <v>59</v>
      </c>
      <c r="R613" s="5" t="e">
        <f>IF(diabetesoriginal[[#This Row],[Diabetes]]=$R$1,diabetesoriginal[[#This Row],[Skin Thickness]],NA())</f>
        <v>#N/A</v>
      </c>
      <c r="S613" s="5">
        <f>IF(diabetesoriginal[[#This Row],[Diabetes]]=$S$1,diabetesoriginal[[#This Row],[Skin Thickness]],NA())</f>
        <v>22</v>
      </c>
      <c r="U613" s="5" t="e">
        <f>IF(diabetesoriginal[[#This Row],[Diabetes]]=$U$1,diabetesoriginal[[#This Row],[Insulin]],NA())</f>
        <v>#N/A</v>
      </c>
      <c r="V613" s="5">
        <f>IF(diabetesoriginal[[#This Row],[Diabetes]]=$S$1,diabetesoriginal[[#This Row],[Insulin]],NA())</f>
        <v>194</v>
      </c>
    </row>
    <row r="614" spans="1:22" x14ac:dyDescent="0.25">
      <c r="A614" s="5">
        <v>7</v>
      </c>
      <c r="B614" s="5">
        <v>168</v>
      </c>
      <c r="C614" s="5">
        <v>88</v>
      </c>
      <c r="D614" s="5" t="s">
        <v>25</v>
      </c>
      <c r="E614" s="5">
        <v>42</v>
      </c>
      <c r="F614" s="5">
        <v>321</v>
      </c>
      <c r="G614" s="5">
        <v>38.200000000000003</v>
      </c>
      <c r="H614" s="5" t="s">
        <v>29</v>
      </c>
      <c r="I614" s="5">
        <v>0.78700000000000003</v>
      </c>
      <c r="J614" s="5">
        <v>40</v>
      </c>
      <c r="K614" s="5" t="s">
        <v>37</v>
      </c>
      <c r="L614" s="15">
        <v>1</v>
      </c>
      <c r="M614" s="5" t="s">
        <v>22</v>
      </c>
      <c r="N614" s="5" t="s">
        <v>56</v>
      </c>
      <c r="O614" s="5" t="s">
        <v>59</v>
      </c>
      <c r="R614" s="5" t="e">
        <f>IF(diabetesoriginal[[#This Row],[Diabetes]]=$R$1,diabetesoriginal[[#This Row],[Skin Thickness]],NA())</f>
        <v>#N/A</v>
      </c>
      <c r="S614" s="5">
        <f>IF(diabetesoriginal[[#This Row],[Diabetes]]=$S$1,diabetesoriginal[[#This Row],[Skin Thickness]],NA())</f>
        <v>42</v>
      </c>
      <c r="U614" s="5" t="e">
        <f>IF(diabetesoriginal[[#This Row],[Diabetes]]=$U$1,diabetesoriginal[[#This Row],[Insulin]],NA())</f>
        <v>#N/A</v>
      </c>
      <c r="V614" s="5">
        <f>IF(diabetesoriginal[[#This Row],[Diabetes]]=$S$1,diabetesoriginal[[#This Row],[Insulin]],NA())</f>
        <v>321</v>
      </c>
    </row>
    <row r="615" spans="1:22" x14ac:dyDescent="0.25">
      <c r="A615" s="5">
        <v>6</v>
      </c>
      <c r="B615" s="5">
        <v>105</v>
      </c>
      <c r="C615" s="5">
        <v>80</v>
      </c>
      <c r="D615" s="5" t="s">
        <v>25</v>
      </c>
      <c r="E615" s="5">
        <v>28</v>
      </c>
      <c r="F615" s="5">
        <v>125</v>
      </c>
      <c r="G615" s="5">
        <v>32.5</v>
      </c>
      <c r="H615" s="5" t="s">
        <v>29</v>
      </c>
      <c r="I615" s="5">
        <v>0.878</v>
      </c>
      <c r="J615" s="5">
        <v>26</v>
      </c>
      <c r="K615" s="5" t="s">
        <v>35</v>
      </c>
      <c r="L615" s="15">
        <v>0</v>
      </c>
      <c r="M615" s="5" t="s">
        <v>57</v>
      </c>
      <c r="N615" s="5" t="s">
        <v>56</v>
      </c>
      <c r="O615" s="5" t="s">
        <v>31</v>
      </c>
      <c r="R615" s="5">
        <f>IF(diabetesoriginal[[#This Row],[Diabetes]]=$R$1,diabetesoriginal[[#This Row],[Skin Thickness]],NA())</f>
        <v>28</v>
      </c>
      <c r="S615" s="5" t="e">
        <f>IF(diabetesoriginal[[#This Row],[Diabetes]]=$S$1,diabetesoriginal[[#This Row],[Skin Thickness]],NA())</f>
        <v>#N/A</v>
      </c>
      <c r="U615" s="5">
        <f>IF(diabetesoriginal[[#This Row],[Diabetes]]=$U$1,diabetesoriginal[[#This Row],[Insulin]],NA())</f>
        <v>125</v>
      </c>
      <c r="V615" s="5" t="e">
        <f>IF(diabetesoriginal[[#This Row],[Diabetes]]=$S$1,diabetesoriginal[[#This Row],[Insulin]],NA())</f>
        <v>#N/A</v>
      </c>
    </row>
    <row r="616" spans="1:22" x14ac:dyDescent="0.25">
      <c r="A616" s="5">
        <v>11</v>
      </c>
      <c r="B616" s="5">
        <v>138</v>
      </c>
      <c r="C616" s="5">
        <v>74</v>
      </c>
      <c r="D616" s="5" t="s">
        <v>23</v>
      </c>
      <c r="E616" s="5">
        <v>26</v>
      </c>
      <c r="F616" s="5">
        <v>144</v>
      </c>
      <c r="G616" s="5">
        <v>36.1</v>
      </c>
      <c r="H616" s="5" t="s">
        <v>29</v>
      </c>
      <c r="I616" s="5">
        <v>0.55700000000000005</v>
      </c>
      <c r="J616" s="5">
        <v>50</v>
      </c>
      <c r="K616" s="5" t="s">
        <v>38</v>
      </c>
      <c r="L616" s="15">
        <v>1</v>
      </c>
      <c r="M616" s="5" t="s">
        <v>57</v>
      </c>
      <c r="N616" s="5" t="s">
        <v>56</v>
      </c>
      <c r="O616" s="5" t="s">
        <v>31</v>
      </c>
      <c r="R616" s="5" t="e">
        <f>IF(diabetesoriginal[[#This Row],[Diabetes]]=$R$1,diabetesoriginal[[#This Row],[Skin Thickness]],NA())</f>
        <v>#N/A</v>
      </c>
      <c r="S616" s="5">
        <f>IF(diabetesoriginal[[#This Row],[Diabetes]]=$S$1,diabetesoriginal[[#This Row],[Skin Thickness]],NA())</f>
        <v>26</v>
      </c>
      <c r="U616" s="5" t="e">
        <f>IF(diabetesoriginal[[#This Row],[Diabetes]]=$U$1,diabetesoriginal[[#This Row],[Insulin]],NA())</f>
        <v>#N/A</v>
      </c>
      <c r="V616" s="5">
        <f>IF(diabetesoriginal[[#This Row],[Diabetes]]=$S$1,diabetesoriginal[[#This Row],[Insulin]],NA())</f>
        <v>144</v>
      </c>
    </row>
    <row r="617" spans="1:22" x14ac:dyDescent="0.25">
      <c r="A617" s="5">
        <v>3</v>
      </c>
      <c r="B617" s="5">
        <v>106</v>
      </c>
      <c r="C617" s="5">
        <v>72</v>
      </c>
      <c r="D617" s="5" t="s">
        <v>23</v>
      </c>
      <c r="E617" s="5">
        <v>29</v>
      </c>
      <c r="F617" s="5">
        <v>125</v>
      </c>
      <c r="G617" s="5">
        <v>25.8</v>
      </c>
      <c r="H617" s="5" t="s">
        <v>30</v>
      </c>
      <c r="I617" s="5">
        <v>0.20699999999999999</v>
      </c>
      <c r="J617" s="5">
        <v>27</v>
      </c>
      <c r="K617" s="5" t="s">
        <v>35</v>
      </c>
      <c r="L617" s="15">
        <v>0</v>
      </c>
      <c r="M617" s="5" t="s">
        <v>57</v>
      </c>
      <c r="N617" s="5" t="s">
        <v>56</v>
      </c>
      <c r="O617" s="5" t="s">
        <v>31</v>
      </c>
      <c r="R617" s="5">
        <f>IF(diabetesoriginal[[#This Row],[Diabetes]]=$R$1,diabetesoriginal[[#This Row],[Skin Thickness]],NA())</f>
        <v>29</v>
      </c>
      <c r="S617" s="5" t="e">
        <f>IF(diabetesoriginal[[#This Row],[Diabetes]]=$S$1,diabetesoriginal[[#This Row],[Skin Thickness]],NA())</f>
        <v>#N/A</v>
      </c>
      <c r="U617" s="5">
        <f>IF(diabetesoriginal[[#This Row],[Diabetes]]=$U$1,diabetesoriginal[[#This Row],[Insulin]],NA())</f>
        <v>125</v>
      </c>
      <c r="V617" s="5" t="e">
        <f>IF(diabetesoriginal[[#This Row],[Diabetes]]=$S$1,diabetesoriginal[[#This Row],[Insulin]],NA())</f>
        <v>#N/A</v>
      </c>
    </row>
    <row r="618" spans="1:22" x14ac:dyDescent="0.25">
      <c r="A618" s="5">
        <v>6</v>
      </c>
      <c r="B618" s="5">
        <v>117</v>
      </c>
      <c r="C618" s="5">
        <v>96</v>
      </c>
      <c r="D618" s="5" t="s">
        <v>24</v>
      </c>
      <c r="E618" s="5">
        <v>29</v>
      </c>
      <c r="F618" s="5">
        <v>125</v>
      </c>
      <c r="G618" s="5">
        <v>28.7</v>
      </c>
      <c r="H618" s="5" t="s">
        <v>30</v>
      </c>
      <c r="I618" s="5">
        <v>0.157</v>
      </c>
      <c r="J618" s="5">
        <v>30</v>
      </c>
      <c r="K618" s="5" t="s">
        <v>36</v>
      </c>
      <c r="L618" s="15">
        <v>0</v>
      </c>
      <c r="M618" s="5" t="s">
        <v>57</v>
      </c>
      <c r="N618" s="5" t="s">
        <v>56</v>
      </c>
      <c r="O618" s="5" t="s">
        <v>31</v>
      </c>
      <c r="R618" s="5">
        <f>IF(diabetesoriginal[[#This Row],[Diabetes]]=$R$1,diabetesoriginal[[#This Row],[Skin Thickness]],NA())</f>
        <v>29</v>
      </c>
      <c r="S618" s="5" t="e">
        <f>IF(diabetesoriginal[[#This Row],[Diabetes]]=$S$1,diabetesoriginal[[#This Row],[Skin Thickness]],NA())</f>
        <v>#N/A</v>
      </c>
      <c r="U618" s="5">
        <f>IF(diabetesoriginal[[#This Row],[Diabetes]]=$U$1,diabetesoriginal[[#This Row],[Insulin]],NA())</f>
        <v>125</v>
      </c>
      <c r="V618" s="5" t="e">
        <f>IF(diabetesoriginal[[#This Row],[Diabetes]]=$S$1,diabetesoriginal[[#This Row],[Insulin]],NA())</f>
        <v>#N/A</v>
      </c>
    </row>
    <row r="619" spans="1:22" x14ac:dyDescent="0.25">
      <c r="A619" s="5">
        <v>2</v>
      </c>
      <c r="B619" s="5">
        <v>68</v>
      </c>
      <c r="C619" s="5">
        <v>62</v>
      </c>
      <c r="D619" s="5" t="s">
        <v>23</v>
      </c>
      <c r="E619" s="5">
        <v>13</v>
      </c>
      <c r="F619" s="5">
        <v>15</v>
      </c>
      <c r="G619" s="5">
        <v>20.100000000000001</v>
      </c>
      <c r="H619" s="5" t="s">
        <v>31</v>
      </c>
      <c r="I619" s="5">
        <v>0.25700000000000001</v>
      </c>
      <c r="J619" s="5">
        <v>23</v>
      </c>
      <c r="K619" s="5" t="s">
        <v>35</v>
      </c>
      <c r="L619" s="15">
        <v>0</v>
      </c>
      <c r="M619" s="5" t="s">
        <v>57</v>
      </c>
      <c r="N619" s="5" t="s">
        <v>58</v>
      </c>
      <c r="O619" s="5" t="s">
        <v>31</v>
      </c>
      <c r="R619" s="5">
        <f>IF(diabetesoriginal[[#This Row],[Diabetes]]=$R$1,diabetesoriginal[[#This Row],[Skin Thickness]],NA())</f>
        <v>13</v>
      </c>
      <c r="S619" s="5" t="e">
        <f>IF(diabetesoriginal[[#This Row],[Diabetes]]=$S$1,diabetesoriginal[[#This Row],[Skin Thickness]],NA())</f>
        <v>#N/A</v>
      </c>
      <c r="U619" s="5">
        <f>IF(diabetesoriginal[[#This Row],[Diabetes]]=$U$1,diabetesoriginal[[#This Row],[Insulin]],NA())</f>
        <v>15</v>
      </c>
      <c r="V619" s="5" t="e">
        <f>IF(diabetesoriginal[[#This Row],[Diabetes]]=$S$1,diabetesoriginal[[#This Row],[Insulin]],NA())</f>
        <v>#N/A</v>
      </c>
    </row>
    <row r="620" spans="1:22" x14ac:dyDescent="0.25">
      <c r="A620" s="5">
        <v>9</v>
      </c>
      <c r="B620" s="5">
        <v>112</v>
      </c>
      <c r="C620" s="5">
        <v>82</v>
      </c>
      <c r="D620" s="5" t="s">
        <v>25</v>
      </c>
      <c r="E620" s="5">
        <v>24</v>
      </c>
      <c r="F620" s="5">
        <v>125</v>
      </c>
      <c r="G620" s="5">
        <v>28.2</v>
      </c>
      <c r="H620" s="5" t="s">
        <v>30</v>
      </c>
      <c r="I620" s="5">
        <v>1.282</v>
      </c>
      <c r="J620" s="5">
        <v>50</v>
      </c>
      <c r="K620" s="5" t="s">
        <v>38</v>
      </c>
      <c r="L620" s="15">
        <v>1</v>
      </c>
      <c r="M620" s="5" t="s">
        <v>57</v>
      </c>
      <c r="N620" s="5" t="s">
        <v>56</v>
      </c>
      <c r="O620" s="5" t="s">
        <v>31</v>
      </c>
      <c r="R620" s="5" t="e">
        <f>IF(diabetesoriginal[[#This Row],[Diabetes]]=$R$1,diabetesoriginal[[#This Row],[Skin Thickness]],NA())</f>
        <v>#N/A</v>
      </c>
      <c r="S620" s="5">
        <f>IF(diabetesoriginal[[#This Row],[Diabetes]]=$S$1,diabetesoriginal[[#This Row],[Skin Thickness]],NA())</f>
        <v>24</v>
      </c>
      <c r="U620" s="5" t="e">
        <f>IF(diabetesoriginal[[#This Row],[Diabetes]]=$U$1,diabetesoriginal[[#This Row],[Insulin]],NA())</f>
        <v>#N/A</v>
      </c>
      <c r="V620" s="5">
        <f>IF(diabetesoriginal[[#This Row],[Diabetes]]=$S$1,diabetesoriginal[[#This Row],[Insulin]],NA())</f>
        <v>125</v>
      </c>
    </row>
    <row r="621" spans="1:22" x14ac:dyDescent="0.25">
      <c r="A621" s="5">
        <v>0</v>
      </c>
      <c r="B621" s="5">
        <v>119</v>
      </c>
      <c r="C621" s="5">
        <v>72</v>
      </c>
      <c r="D621" s="5" t="s">
        <v>23</v>
      </c>
      <c r="E621" s="5">
        <v>29</v>
      </c>
      <c r="F621" s="5">
        <v>125</v>
      </c>
      <c r="G621" s="5">
        <v>32.4</v>
      </c>
      <c r="H621" s="5" t="s">
        <v>29</v>
      </c>
      <c r="I621" s="5">
        <v>0.14099999999999999</v>
      </c>
      <c r="J621" s="5">
        <v>24</v>
      </c>
      <c r="K621" s="5" t="s">
        <v>35</v>
      </c>
      <c r="L621" s="15">
        <v>1</v>
      </c>
      <c r="M621" s="5" t="s">
        <v>57</v>
      </c>
      <c r="N621" s="5" t="s">
        <v>56</v>
      </c>
      <c r="O621" s="5" t="s">
        <v>31</v>
      </c>
      <c r="R621" s="5" t="e">
        <f>IF(diabetesoriginal[[#This Row],[Diabetes]]=$R$1,diabetesoriginal[[#This Row],[Skin Thickness]],NA())</f>
        <v>#N/A</v>
      </c>
      <c r="S621" s="5">
        <f>IF(diabetesoriginal[[#This Row],[Diabetes]]=$S$1,diabetesoriginal[[#This Row],[Skin Thickness]],NA())</f>
        <v>29</v>
      </c>
      <c r="U621" s="5" t="e">
        <f>IF(diabetesoriginal[[#This Row],[Diabetes]]=$U$1,diabetesoriginal[[#This Row],[Insulin]],NA())</f>
        <v>#N/A</v>
      </c>
      <c r="V621" s="5">
        <f>IF(diabetesoriginal[[#This Row],[Diabetes]]=$S$1,diabetesoriginal[[#This Row],[Insulin]],NA())</f>
        <v>125</v>
      </c>
    </row>
    <row r="622" spans="1:22" x14ac:dyDescent="0.25">
      <c r="A622" s="5">
        <v>2</v>
      </c>
      <c r="B622" s="5">
        <v>112</v>
      </c>
      <c r="C622" s="5">
        <v>86</v>
      </c>
      <c r="D622" s="5" t="s">
        <v>25</v>
      </c>
      <c r="E622" s="5">
        <v>42</v>
      </c>
      <c r="F622" s="5">
        <v>160</v>
      </c>
      <c r="G622" s="5">
        <v>38.4</v>
      </c>
      <c r="H622" s="5" t="s">
        <v>29</v>
      </c>
      <c r="I622" s="5">
        <v>0.246</v>
      </c>
      <c r="J622" s="5">
        <v>28</v>
      </c>
      <c r="K622" s="5" t="s">
        <v>35</v>
      </c>
      <c r="L622" s="15">
        <v>0</v>
      </c>
      <c r="M622" s="5" t="s">
        <v>57</v>
      </c>
      <c r="N622" s="5" t="s">
        <v>56</v>
      </c>
      <c r="O622" s="5" t="s">
        <v>31</v>
      </c>
      <c r="R622" s="5">
        <f>IF(diabetesoriginal[[#This Row],[Diabetes]]=$R$1,diabetesoriginal[[#This Row],[Skin Thickness]],NA())</f>
        <v>42</v>
      </c>
      <c r="S622" s="5" t="e">
        <f>IF(diabetesoriginal[[#This Row],[Diabetes]]=$S$1,diabetesoriginal[[#This Row],[Skin Thickness]],NA())</f>
        <v>#N/A</v>
      </c>
      <c r="U622" s="5">
        <f>IF(diabetesoriginal[[#This Row],[Diabetes]]=$U$1,diabetesoriginal[[#This Row],[Insulin]],NA())</f>
        <v>160</v>
      </c>
      <c r="V622" s="5" t="e">
        <f>IF(diabetesoriginal[[#This Row],[Diabetes]]=$S$1,diabetesoriginal[[#This Row],[Insulin]],NA())</f>
        <v>#N/A</v>
      </c>
    </row>
    <row r="623" spans="1:22" x14ac:dyDescent="0.25">
      <c r="A623" s="5">
        <v>2</v>
      </c>
      <c r="B623" s="5">
        <v>92</v>
      </c>
      <c r="C623" s="5">
        <v>76</v>
      </c>
      <c r="D623" s="5" t="s">
        <v>23</v>
      </c>
      <c r="E623" s="5">
        <v>20</v>
      </c>
      <c r="F623" s="5">
        <v>125</v>
      </c>
      <c r="G623" s="5">
        <v>24.2</v>
      </c>
      <c r="H623" s="5" t="s">
        <v>31</v>
      </c>
      <c r="I623" s="5">
        <v>1.698</v>
      </c>
      <c r="J623" s="5">
        <v>28</v>
      </c>
      <c r="K623" s="5" t="s">
        <v>35</v>
      </c>
      <c r="L623" s="15">
        <v>0</v>
      </c>
      <c r="M623" s="5" t="s">
        <v>57</v>
      </c>
      <c r="N623" s="5" t="s">
        <v>58</v>
      </c>
      <c r="O623" s="5" t="s">
        <v>31</v>
      </c>
      <c r="R623" s="5">
        <f>IF(diabetesoriginal[[#This Row],[Diabetes]]=$R$1,diabetesoriginal[[#This Row],[Skin Thickness]],NA())</f>
        <v>20</v>
      </c>
      <c r="S623" s="5" t="e">
        <f>IF(diabetesoriginal[[#This Row],[Diabetes]]=$S$1,diabetesoriginal[[#This Row],[Skin Thickness]],NA())</f>
        <v>#N/A</v>
      </c>
      <c r="U623" s="5">
        <f>IF(diabetesoriginal[[#This Row],[Diabetes]]=$U$1,diabetesoriginal[[#This Row],[Insulin]],NA())</f>
        <v>125</v>
      </c>
      <c r="V623" s="5" t="e">
        <f>IF(diabetesoriginal[[#This Row],[Diabetes]]=$S$1,diabetesoriginal[[#This Row],[Insulin]],NA())</f>
        <v>#N/A</v>
      </c>
    </row>
    <row r="624" spans="1:22" x14ac:dyDescent="0.25">
      <c r="A624" s="5">
        <v>6</v>
      </c>
      <c r="B624" s="5">
        <v>183</v>
      </c>
      <c r="C624" s="5">
        <v>94</v>
      </c>
      <c r="D624" s="5" t="s">
        <v>24</v>
      </c>
      <c r="E624" s="5">
        <v>29</v>
      </c>
      <c r="F624" s="5">
        <v>125</v>
      </c>
      <c r="G624" s="5">
        <v>40.799999999999997</v>
      </c>
      <c r="H624" s="5" t="s">
        <v>32</v>
      </c>
      <c r="I624" s="5">
        <v>1.4610000000000001</v>
      </c>
      <c r="J624" s="5">
        <v>45</v>
      </c>
      <c r="K624" s="5" t="s">
        <v>37</v>
      </c>
      <c r="L624" s="15">
        <v>0</v>
      </c>
      <c r="M624" s="5" t="s">
        <v>22</v>
      </c>
      <c r="N624" s="5" t="s">
        <v>56</v>
      </c>
      <c r="O624" s="5" t="s">
        <v>31</v>
      </c>
      <c r="R624" s="5">
        <f>IF(diabetesoriginal[[#This Row],[Diabetes]]=$R$1,diabetesoriginal[[#This Row],[Skin Thickness]],NA())</f>
        <v>29</v>
      </c>
      <c r="S624" s="5" t="e">
        <f>IF(diabetesoriginal[[#This Row],[Diabetes]]=$S$1,diabetesoriginal[[#This Row],[Skin Thickness]],NA())</f>
        <v>#N/A</v>
      </c>
      <c r="U624" s="5">
        <f>IF(diabetesoriginal[[#This Row],[Diabetes]]=$U$1,diabetesoriginal[[#This Row],[Insulin]],NA())</f>
        <v>125</v>
      </c>
      <c r="V624" s="5" t="e">
        <f>IF(diabetesoriginal[[#This Row],[Diabetes]]=$S$1,diabetesoriginal[[#This Row],[Insulin]],NA())</f>
        <v>#N/A</v>
      </c>
    </row>
    <row r="625" spans="1:22" x14ac:dyDescent="0.25">
      <c r="A625" s="5">
        <v>0</v>
      </c>
      <c r="B625" s="5">
        <v>94</v>
      </c>
      <c r="C625" s="5">
        <v>70</v>
      </c>
      <c r="D625" s="5" t="s">
        <v>23</v>
      </c>
      <c r="E625" s="5">
        <v>27</v>
      </c>
      <c r="F625" s="5">
        <v>115</v>
      </c>
      <c r="G625" s="5">
        <v>43.5</v>
      </c>
      <c r="H625" s="5" t="s">
        <v>32</v>
      </c>
      <c r="I625" s="5">
        <v>0.34699999999999998</v>
      </c>
      <c r="J625" s="5">
        <v>21</v>
      </c>
      <c r="K625" s="5" t="s">
        <v>35</v>
      </c>
      <c r="L625" s="15">
        <v>0</v>
      </c>
      <c r="M625" s="5" t="s">
        <v>57</v>
      </c>
      <c r="N625" s="5" t="s">
        <v>56</v>
      </c>
      <c r="O625" s="5" t="s">
        <v>31</v>
      </c>
      <c r="R625" s="5">
        <f>IF(diabetesoriginal[[#This Row],[Diabetes]]=$R$1,diabetesoriginal[[#This Row],[Skin Thickness]],NA())</f>
        <v>27</v>
      </c>
      <c r="S625" s="5" t="e">
        <f>IF(diabetesoriginal[[#This Row],[Diabetes]]=$S$1,diabetesoriginal[[#This Row],[Skin Thickness]],NA())</f>
        <v>#N/A</v>
      </c>
      <c r="U625" s="5">
        <f>IF(diabetesoriginal[[#This Row],[Diabetes]]=$U$1,diabetesoriginal[[#This Row],[Insulin]],NA())</f>
        <v>115</v>
      </c>
      <c r="V625" s="5" t="e">
        <f>IF(diabetesoriginal[[#This Row],[Diabetes]]=$S$1,diabetesoriginal[[#This Row],[Insulin]],NA())</f>
        <v>#N/A</v>
      </c>
    </row>
    <row r="626" spans="1:22" x14ac:dyDescent="0.25">
      <c r="A626" s="5">
        <v>2</v>
      </c>
      <c r="B626" s="5">
        <v>108</v>
      </c>
      <c r="C626" s="5">
        <v>64</v>
      </c>
      <c r="D626" s="5" t="s">
        <v>23</v>
      </c>
      <c r="E626" s="5">
        <v>29</v>
      </c>
      <c r="F626" s="5">
        <v>125</v>
      </c>
      <c r="G626" s="5">
        <v>30.8</v>
      </c>
      <c r="H626" s="5" t="s">
        <v>29</v>
      </c>
      <c r="I626" s="5">
        <v>0.158</v>
      </c>
      <c r="J626" s="5">
        <v>21</v>
      </c>
      <c r="K626" s="5" t="s">
        <v>35</v>
      </c>
      <c r="L626" s="15">
        <v>0</v>
      </c>
      <c r="M626" s="5" t="s">
        <v>57</v>
      </c>
      <c r="N626" s="5" t="s">
        <v>56</v>
      </c>
      <c r="O626" s="5" t="s">
        <v>31</v>
      </c>
      <c r="R626" s="5">
        <f>IF(diabetesoriginal[[#This Row],[Diabetes]]=$R$1,diabetesoriginal[[#This Row],[Skin Thickness]],NA())</f>
        <v>29</v>
      </c>
      <c r="S626" s="5" t="e">
        <f>IF(diabetesoriginal[[#This Row],[Diabetes]]=$S$1,diabetesoriginal[[#This Row],[Skin Thickness]],NA())</f>
        <v>#N/A</v>
      </c>
      <c r="U626" s="5">
        <f>IF(diabetesoriginal[[#This Row],[Diabetes]]=$U$1,diabetesoriginal[[#This Row],[Insulin]],NA())</f>
        <v>125</v>
      </c>
      <c r="V626" s="5" t="e">
        <f>IF(diabetesoriginal[[#This Row],[Diabetes]]=$S$1,diabetesoriginal[[#This Row],[Insulin]],NA())</f>
        <v>#N/A</v>
      </c>
    </row>
    <row r="627" spans="1:22" x14ac:dyDescent="0.25">
      <c r="A627" s="5">
        <v>4</v>
      </c>
      <c r="B627" s="5">
        <v>90</v>
      </c>
      <c r="C627" s="5">
        <v>88</v>
      </c>
      <c r="D627" s="5" t="s">
        <v>25</v>
      </c>
      <c r="E627" s="5">
        <v>47</v>
      </c>
      <c r="F627" s="5">
        <v>54</v>
      </c>
      <c r="G627" s="5">
        <v>37.700000000000003</v>
      </c>
      <c r="H627" s="5" t="s">
        <v>29</v>
      </c>
      <c r="I627" s="5">
        <v>0.36199999999999999</v>
      </c>
      <c r="J627" s="5">
        <v>29</v>
      </c>
      <c r="K627" s="5" t="s">
        <v>35</v>
      </c>
      <c r="L627" s="15">
        <v>0</v>
      </c>
      <c r="M627" s="5" t="s">
        <v>57</v>
      </c>
      <c r="N627" s="5" t="s">
        <v>56</v>
      </c>
      <c r="O627" s="5" t="s">
        <v>31</v>
      </c>
      <c r="R627" s="5">
        <f>IF(diabetesoriginal[[#This Row],[Diabetes]]=$R$1,diabetesoriginal[[#This Row],[Skin Thickness]],NA())</f>
        <v>47</v>
      </c>
      <c r="S627" s="5" t="e">
        <f>IF(diabetesoriginal[[#This Row],[Diabetes]]=$S$1,diabetesoriginal[[#This Row],[Skin Thickness]],NA())</f>
        <v>#N/A</v>
      </c>
      <c r="U627" s="5">
        <f>IF(diabetesoriginal[[#This Row],[Diabetes]]=$U$1,diabetesoriginal[[#This Row],[Insulin]],NA())</f>
        <v>54</v>
      </c>
      <c r="V627" s="5" t="e">
        <f>IF(diabetesoriginal[[#This Row],[Diabetes]]=$S$1,diabetesoriginal[[#This Row],[Insulin]],NA())</f>
        <v>#N/A</v>
      </c>
    </row>
    <row r="628" spans="1:22" x14ac:dyDescent="0.25">
      <c r="A628" s="5">
        <v>0</v>
      </c>
      <c r="B628" s="5">
        <v>125</v>
      </c>
      <c r="C628" s="5">
        <v>68</v>
      </c>
      <c r="D628" s="5" t="s">
        <v>23</v>
      </c>
      <c r="E628" s="5">
        <v>29</v>
      </c>
      <c r="F628" s="5">
        <v>125</v>
      </c>
      <c r="G628" s="5">
        <v>24.7</v>
      </c>
      <c r="H628" s="5" t="s">
        <v>31</v>
      </c>
      <c r="I628" s="5">
        <v>0.20599999999999999</v>
      </c>
      <c r="J628" s="5">
        <v>21</v>
      </c>
      <c r="K628" s="5" t="s">
        <v>35</v>
      </c>
      <c r="L628" s="15">
        <v>0</v>
      </c>
      <c r="M628" s="5" t="s">
        <v>57</v>
      </c>
      <c r="N628" s="5" t="s">
        <v>56</v>
      </c>
      <c r="O628" s="5" t="s">
        <v>31</v>
      </c>
      <c r="R628" s="5">
        <f>IF(diabetesoriginal[[#This Row],[Diabetes]]=$R$1,diabetesoriginal[[#This Row],[Skin Thickness]],NA())</f>
        <v>29</v>
      </c>
      <c r="S628" s="5" t="e">
        <f>IF(diabetesoriginal[[#This Row],[Diabetes]]=$S$1,diabetesoriginal[[#This Row],[Skin Thickness]],NA())</f>
        <v>#N/A</v>
      </c>
      <c r="U628" s="5">
        <f>IF(diabetesoriginal[[#This Row],[Diabetes]]=$U$1,diabetesoriginal[[#This Row],[Insulin]],NA())</f>
        <v>125</v>
      </c>
      <c r="V628" s="5" t="e">
        <f>IF(diabetesoriginal[[#This Row],[Diabetes]]=$S$1,diabetesoriginal[[#This Row],[Insulin]],NA())</f>
        <v>#N/A</v>
      </c>
    </row>
    <row r="629" spans="1:22" x14ac:dyDescent="0.25">
      <c r="A629" s="5">
        <v>0</v>
      </c>
      <c r="B629" s="5">
        <v>132</v>
      </c>
      <c r="C629" s="5">
        <v>78</v>
      </c>
      <c r="D629" s="5" t="s">
        <v>23</v>
      </c>
      <c r="E629" s="5">
        <v>29</v>
      </c>
      <c r="F629" s="5">
        <v>125</v>
      </c>
      <c r="G629" s="5">
        <v>32.4</v>
      </c>
      <c r="H629" s="5" t="s">
        <v>29</v>
      </c>
      <c r="I629" s="5">
        <v>0.39300000000000002</v>
      </c>
      <c r="J629" s="5">
        <v>21</v>
      </c>
      <c r="K629" s="5" t="s">
        <v>35</v>
      </c>
      <c r="L629" s="15">
        <v>0</v>
      </c>
      <c r="M629" s="5" t="s">
        <v>57</v>
      </c>
      <c r="N629" s="5" t="s">
        <v>56</v>
      </c>
      <c r="O629" s="5" t="s">
        <v>31</v>
      </c>
      <c r="R629" s="5">
        <f>IF(diabetesoriginal[[#This Row],[Diabetes]]=$R$1,diabetesoriginal[[#This Row],[Skin Thickness]],NA())</f>
        <v>29</v>
      </c>
      <c r="S629" s="5" t="e">
        <f>IF(diabetesoriginal[[#This Row],[Diabetes]]=$S$1,diabetesoriginal[[#This Row],[Skin Thickness]],NA())</f>
        <v>#N/A</v>
      </c>
      <c r="U629" s="5">
        <f>IF(diabetesoriginal[[#This Row],[Diabetes]]=$U$1,diabetesoriginal[[#This Row],[Insulin]],NA())</f>
        <v>125</v>
      </c>
      <c r="V629" s="5" t="e">
        <f>IF(diabetesoriginal[[#This Row],[Diabetes]]=$S$1,diabetesoriginal[[#This Row],[Insulin]],NA())</f>
        <v>#N/A</v>
      </c>
    </row>
    <row r="630" spans="1:22" x14ac:dyDescent="0.25">
      <c r="A630" s="5">
        <v>5</v>
      </c>
      <c r="B630" s="5">
        <v>128</v>
      </c>
      <c r="C630" s="5">
        <v>80</v>
      </c>
      <c r="D630" s="5" t="s">
        <v>25</v>
      </c>
      <c r="E630" s="5">
        <v>29</v>
      </c>
      <c r="F630" s="5">
        <v>125</v>
      </c>
      <c r="G630" s="5">
        <v>34.6</v>
      </c>
      <c r="H630" s="5" t="s">
        <v>29</v>
      </c>
      <c r="I630" s="5">
        <v>0.14399999999999999</v>
      </c>
      <c r="J630" s="5">
        <v>45</v>
      </c>
      <c r="K630" s="5" t="s">
        <v>37</v>
      </c>
      <c r="L630" s="15">
        <v>0</v>
      </c>
      <c r="M630" s="5" t="s">
        <v>57</v>
      </c>
      <c r="N630" s="5" t="s">
        <v>56</v>
      </c>
      <c r="O630" s="5" t="s">
        <v>31</v>
      </c>
      <c r="R630" s="5">
        <f>IF(diabetesoriginal[[#This Row],[Diabetes]]=$R$1,diabetesoriginal[[#This Row],[Skin Thickness]],NA())</f>
        <v>29</v>
      </c>
      <c r="S630" s="5" t="e">
        <f>IF(diabetesoriginal[[#This Row],[Diabetes]]=$S$1,diabetesoriginal[[#This Row],[Skin Thickness]],NA())</f>
        <v>#N/A</v>
      </c>
      <c r="U630" s="5">
        <f>IF(diabetesoriginal[[#This Row],[Diabetes]]=$U$1,diabetesoriginal[[#This Row],[Insulin]],NA())</f>
        <v>125</v>
      </c>
      <c r="V630" s="5" t="e">
        <f>IF(diabetesoriginal[[#This Row],[Diabetes]]=$S$1,diabetesoriginal[[#This Row],[Insulin]],NA())</f>
        <v>#N/A</v>
      </c>
    </row>
    <row r="631" spans="1:22" x14ac:dyDescent="0.25">
      <c r="A631" s="5">
        <v>4</v>
      </c>
      <c r="B631" s="5">
        <v>94</v>
      </c>
      <c r="C631" s="5">
        <v>65</v>
      </c>
      <c r="D631" s="5" t="s">
        <v>23</v>
      </c>
      <c r="E631" s="5">
        <v>22</v>
      </c>
      <c r="F631" s="5">
        <v>125</v>
      </c>
      <c r="G631" s="5">
        <v>24.7</v>
      </c>
      <c r="H631" s="5" t="s">
        <v>31</v>
      </c>
      <c r="I631" s="5">
        <v>0.14799999999999999</v>
      </c>
      <c r="J631" s="5">
        <v>21</v>
      </c>
      <c r="K631" s="5" t="s">
        <v>35</v>
      </c>
      <c r="L631" s="15">
        <v>0</v>
      </c>
      <c r="M631" s="5" t="s">
        <v>57</v>
      </c>
      <c r="N631" s="5" t="s">
        <v>58</v>
      </c>
      <c r="O631" s="5" t="s">
        <v>31</v>
      </c>
      <c r="R631" s="5">
        <f>IF(diabetesoriginal[[#This Row],[Diabetes]]=$R$1,diabetesoriginal[[#This Row],[Skin Thickness]],NA())</f>
        <v>22</v>
      </c>
      <c r="S631" s="5" t="e">
        <f>IF(diabetesoriginal[[#This Row],[Diabetes]]=$S$1,diabetesoriginal[[#This Row],[Skin Thickness]],NA())</f>
        <v>#N/A</v>
      </c>
      <c r="U631" s="5">
        <f>IF(diabetesoriginal[[#This Row],[Diabetes]]=$U$1,diabetesoriginal[[#This Row],[Insulin]],NA())</f>
        <v>125</v>
      </c>
      <c r="V631" s="5" t="e">
        <f>IF(diabetesoriginal[[#This Row],[Diabetes]]=$S$1,diabetesoriginal[[#This Row],[Insulin]],NA())</f>
        <v>#N/A</v>
      </c>
    </row>
    <row r="632" spans="1:22" x14ac:dyDescent="0.25">
      <c r="A632" s="5">
        <v>7</v>
      </c>
      <c r="B632" s="5">
        <v>114</v>
      </c>
      <c r="C632" s="5">
        <v>64</v>
      </c>
      <c r="D632" s="5" t="s">
        <v>23</v>
      </c>
      <c r="E632" s="5">
        <v>29</v>
      </c>
      <c r="F632" s="5">
        <v>125</v>
      </c>
      <c r="G632" s="5">
        <v>27.4</v>
      </c>
      <c r="H632" s="5" t="s">
        <v>30</v>
      </c>
      <c r="I632" s="5">
        <v>0.73199999999999998</v>
      </c>
      <c r="J632" s="5">
        <v>34</v>
      </c>
      <c r="K632" s="5" t="s">
        <v>36</v>
      </c>
      <c r="L632" s="15">
        <v>1</v>
      </c>
      <c r="M632" s="5" t="s">
        <v>57</v>
      </c>
      <c r="N632" s="5" t="s">
        <v>56</v>
      </c>
      <c r="O632" s="5" t="s">
        <v>31</v>
      </c>
      <c r="R632" s="5" t="e">
        <f>IF(diabetesoriginal[[#This Row],[Diabetes]]=$R$1,diabetesoriginal[[#This Row],[Skin Thickness]],NA())</f>
        <v>#N/A</v>
      </c>
      <c r="S632" s="5">
        <f>IF(diabetesoriginal[[#This Row],[Diabetes]]=$S$1,diabetesoriginal[[#This Row],[Skin Thickness]],NA())</f>
        <v>29</v>
      </c>
      <c r="U632" s="5" t="e">
        <f>IF(diabetesoriginal[[#This Row],[Diabetes]]=$U$1,diabetesoriginal[[#This Row],[Insulin]],NA())</f>
        <v>#N/A</v>
      </c>
      <c r="V632" s="5">
        <f>IF(diabetesoriginal[[#This Row],[Diabetes]]=$S$1,diabetesoriginal[[#This Row],[Insulin]],NA())</f>
        <v>125</v>
      </c>
    </row>
    <row r="633" spans="1:22" x14ac:dyDescent="0.25">
      <c r="A633" s="5">
        <v>0</v>
      </c>
      <c r="B633" s="5">
        <v>102</v>
      </c>
      <c r="C633" s="5">
        <v>78</v>
      </c>
      <c r="D633" s="5" t="s">
        <v>23</v>
      </c>
      <c r="E633" s="5">
        <v>40</v>
      </c>
      <c r="F633" s="5">
        <v>90</v>
      </c>
      <c r="G633" s="5">
        <v>34.5</v>
      </c>
      <c r="H633" s="5" t="s">
        <v>29</v>
      </c>
      <c r="I633" s="5">
        <v>0.23799999999999999</v>
      </c>
      <c r="J633" s="5">
        <v>24</v>
      </c>
      <c r="K633" s="5" t="s">
        <v>35</v>
      </c>
      <c r="L633" s="15">
        <v>0</v>
      </c>
      <c r="M633" s="5" t="s">
        <v>57</v>
      </c>
      <c r="N633" s="5" t="s">
        <v>56</v>
      </c>
      <c r="O633" s="5" t="s">
        <v>31</v>
      </c>
      <c r="R633" s="5">
        <f>IF(diabetesoriginal[[#This Row],[Diabetes]]=$R$1,diabetesoriginal[[#This Row],[Skin Thickness]],NA())</f>
        <v>40</v>
      </c>
      <c r="S633" s="5" t="e">
        <f>IF(diabetesoriginal[[#This Row],[Diabetes]]=$S$1,diabetesoriginal[[#This Row],[Skin Thickness]],NA())</f>
        <v>#N/A</v>
      </c>
      <c r="U633" s="5">
        <f>IF(diabetesoriginal[[#This Row],[Diabetes]]=$U$1,diabetesoriginal[[#This Row],[Insulin]],NA())</f>
        <v>90</v>
      </c>
      <c r="V633" s="5" t="e">
        <f>IF(diabetesoriginal[[#This Row],[Diabetes]]=$S$1,diabetesoriginal[[#This Row],[Insulin]],NA())</f>
        <v>#N/A</v>
      </c>
    </row>
    <row r="634" spans="1:22" x14ac:dyDescent="0.25">
      <c r="A634" s="5">
        <v>2</v>
      </c>
      <c r="B634" s="5">
        <v>111</v>
      </c>
      <c r="C634" s="5">
        <v>60</v>
      </c>
      <c r="D634" s="5" t="s">
        <v>23</v>
      </c>
      <c r="E634" s="5">
        <v>29</v>
      </c>
      <c r="F634" s="5">
        <v>125</v>
      </c>
      <c r="G634" s="5">
        <v>26.2</v>
      </c>
      <c r="H634" s="5" t="s">
        <v>30</v>
      </c>
      <c r="I634" s="5">
        <v>0.34300000000000003</v>
      </c>
      <c r="J634" s="5">
        <v>23</v>
      </c>
      <c r="K634" s="5" t="s">
        <v>35</v>
      </c>
      <c r="L634" s="15">
        <v>0</v>
      </c>
      <c r="M634" s="5" t="s">
        <v>57</v>
      </c>
      <c r="N634" s="5" t="s">
        <v>56</v>
      </c>
      <c r="O634" s="5" t="s">
        <v>31</v>
      </c>
      <c r="R634" s="5">
        <f>IF(diabetesoriginal[[#This Row],[Diabetes]]=$R$1,diabetesoriginal[[#This Row],[Skin Thickness]],NA())</f>
        <v>29</v>
      </c>
      <c r="S634" s="5" t="e">
        <f>IF(diabetesoriginal[[#This Row],[Diabetes]]=$S$1,diabetesoriginal[[#This Row],[Skin Thickness]],NA())</f>
        <v>#N/A</v>
      </c>
      <c r="U634" s="5">
        <f>IF(diabetesoriginal[[#This Row],[Diabetes]]=$U$1,diabetesoriginal[[#This Row],[Insulin]],NA())</f>
        <v>125</v>
      </c>
      <c r="V634" s="5" t="e">
        <f>IF(diabetesoriginal[[#This Row],[Diabetes]]=$S$1,diabetesoriginal[[#This Row],[Insulin]],NA())</f>
        <v>#N/A</v>
      </c>
    </row>
    <row r="635" spans="1:22" x14ac:dyDescent="0.25">
      <c r="A635" s="5">
        <v>1</v>
      </c>
      <c r="B635" s="5">
        <v>128</v>
      </c>
      <c r="C635" s="5">
        <v>82</v>
      </c>
      <c r="D635" s="5" t="s">
        <v>25</v>
      </c>
      <c r="E635" s="5">
        <v>17</v>
      </c>
      <c r="F635" s="5">
        <v>183</v>
      </c>
      <c r="G635" s="5">
        <v>27.5</v>
      </c>
      <c r="H635" s="5" t="s">
        <v>30</v>
      </c>
      <c r="I635" s="5">
        <v>0.115</v>
      </c>
      <c r="J635" s="5">
        <v>22</v>
      </c>
      <c r="K635" s="5" t="s">
        <v>35</v>
      </c>
      <c r="L635" s="15">
        <v>0</v>
      </c>
      <c r="M635" s="5" t="s">
        <v>57</v>
      </c>
      <c r="N635" s="5" t="s">
        <v>58</v>
      </c>
      <c r="O635" s="5" t="s">
        <v>59</v>
      </c>
      <c r="R635" s="5">
        <f>IF(diabetesoriginal[[#This Row],[Diabetes]]=$R$1,diabetesoriginal[[#This Row],[Skin Thickness]],NA())</f>
        <v>17</v>
      </c>
      <c r="S635" s="5" t="e">
        <f>IF(diabetesoriginal[[#This Row],[Diabetes]]=$S$1,diabetesoriginal[[#This Row],[Skin Thickness]],NA())</f>
        <v>#N/A</v>
      </c>
      <c r="U635" s="5">
        <f>IF(diabetesoriginal[[#This Row],[Diabetes]]=$U$1,diabetesoriginal[[#This Row],[Insulin]],NA())</f>
        <v>183</v>
      </c>
      <c r="V635" s="5" t="e">
        <f>IF(diabetesoriginal[[#This Row],[Diabetes]]=$S$1,diabetesoriginal[[#This Row],[Insulin]],NA())</f>
        <v>#N/A</v>
      </c>
    </row>
    <row r="636" spans="1:22" x14ac:dyDescent="0.25">
      <c r="A636" s="5">
        <v>10</v>
      </c>
      <c r="B636" s="5">
        <v>92</v>
      </c>
      <c r="C636" s="5">
        <v>62</v>
      </c>
      <c r="D636" s="5" t="s">
        <v>23</v>
      </c>
      <c r="E636" s="5">
        <v>29</v>
      </c>
      <c r="F636" s="5">
        <v>125</v>
      </c>
      <c r="G636" s="5">
        <v>25.9</v>
      </c>
      <c r="H636" s="5" t="s">
        <v>30</v>
      </c>
      <c r="I636" s="5">
        <v>0.16700000000000001</v>
      </c>
      <c r="J636" s="5">
        <v>31</v>
      </c>
      <c r="K636" s="5" t="s">
        <v>36</v>
      </c>
      <c r="L636" s="15">
        <v>0</v>
      </c>
      <c r="M636" s="5" t="s">
        <v>57</v>
      </c>
      <c r="N636" s="5" t="s">
        <v>56</v>
      </c>
      <c r="O636" s="5" t="s">
        <v>31</v>
      </c>
      <c r="R636" s="5">
        <f>IF(diabetesoriginal[[#This Row],[Diabetes]]=$R$1,diabetesoriginal[[#This Row],[Skin Thickness]],NA())</f>
        <v>29</v>
      </c>
      <c r="S636" s="5" t="e">
        <f>IF(diabetesoriginal[[#This Row],[Diabetes]]=$S$1,diabetesoriginal[[#This Row],[Skin Thickness]],NA())</f>
        <v>#N/A</v>
      </c>
      <c r="U636" s="5">
        <f>IF(diabetesoriginal[[#This Row],[Diabetes]]=$U$1,diabetesoriginal[[#This Row],[Insulin]],NA())</f>
        <v>125</v>
      </c>
      <c r="V636" s="5" t="e">
        <f>IF(diabetesoriginal[[#This Row],[Diabetes]]=$S$1,diabetesoriginal[[#This Row],[Insulin]],NA())</f>
        <v>#N/A</v>
      </c>
    </row>
    <row r="637" spans="1:22" x14ac:dyDescent="0.25">
      <c r="A637" s="5">
        <v>13</v>
      </c>
      <c r="B637" s="5">
        <v>104</v>
      </c>
      <c r="C637" s="5">
        <v>72</v>
      </c>
      <c r="D637" s="5" t="s">
        <v>23</v>
      </c>
      <c r="E637" s="5">
        <v>29</v>
      </c>
      <c r="F637" s="5">
        <v>125</v>
      </c>
      <c r="G637" s="5">
        <v>31.2</v>
      </c>
      <c r="H637" s="5" t="s">
        <v>29</v>
      </c>
      <c r="I637" s="5">
        <v>0.46500000000000002</v>
      </c>
      <c r="J637" s="5">
        <v>38</v>
      </c>
      <c r="K637" s="5" t="s">
        <v>36</v>
      </c>
      <c r="L637" s="15">
        <v>1</v>
      </c>
      <c r="M637" s="5" t="s">
        <v>57</v>
      </c>
      <c r="N637" s="5" t="s">
        <v>56</v>
      </c>
      <c r="O637" s="5" t="s">
        <v>31</v>
      </c>
      <c r="R637" s="5" t="e">
        <f>IF(diabetesoriginal[[#This Row],[Diabetes]]=$R$1,diabetesoriginal[[#This Row],[Skin Thickness]],NA())</f>
        <v>#N/A</v>
      </c>
      <c r="S637" s="5">
        <f>IF(diabetesoriginal[[#This Row],[Diabetes]]=$S$1,diabetesoriginal[[#This Row],[Skin Thickness]],NA())</f>
        <v>29</v>
      </c>
      <c r="U637" s="5" t="e">
        <f>IF(diabetesoriginal[[#This Row],[Diabetes]]=$U$1,diabetesoriginal[[#This Row],[Insulin]],NA())</f>
        <v>#N/A</v>
      </c>
      <c r="V637" s="5">
        <f>IF(diabetesoriginal[[#This Row],[Diabetes]]=$S$1,diabetesoriginal[[#This Row],[Insulin]],NA())</f>
        <v>125</v>
      </c>
    </row>
    <row r="638" spans="1:22" x14ac:dyDescent="0.25">
      <c r="A638" s="5">
        <v>5</v>
      </c>
      <c r="B638" s="5">
        <v>104</v>
      </c>
      <c r="C638" s="5">
        <v>74</v>
      </c>
      <c r="D638" s="5" t="s">
        <v>23</v>
      </c>
      <c r="E638" s="5">
        <v>29</v>
      </c>
      <c r="F638" s="5">
        <v>125</v>
      </c>
      <c r="G638" s="5">
        <v>28.8</v>
      </c>
      <c r="H638" s="5" t="s">
        <v>30</v>
      </c>
      <c r="I638" s="5">
        <v>0.153</v>
      </c>
      <c r="J638" s="5">
        <v>48</v>
      </c>
      <c r="K638" s="5" t="s">
        <v>37</v>
      </c>
      <c r="L638" s="15">
        <v>0</v>
      </c>
      <c r="M638" s="5" t="s">
        <v>57</v>
      </c>
      <c r="N638" s="5" t="s">
        <v>56</v>
      </c>
      <c r="O638" s="5" t="s">
        <v>31</v>
      </c>
      <c r="R638" s="5">
        <f>IF(diabetesoriginal[[#This Row],[Diabetes]]=$R$1,diabetesoriginal[[#This Row],[Skin Thickness]],NA())</f>
        <v>29</v>
      </c>
      <c r="S638" s="5" t="e">
        <f>IF(diabetesoriginal[[#This Row],[Diabetes]]=$S$1,diabetesoriginal[[#This Row],[Skin Thickness]],NA())</f>
        <v>#N/A</v>
      </c>
      <c r="U638" s="5">
        <f>IF(diabetesoriginal[[#This Row],[Diabetes]]=$U$1,diabetesoriginal[[#This Row],[Insulin]],NA())</f>
        <v>125</v>
      </c>
      <c r="V638" s="5" t="e">
        <f>IF(diabetesoriginal[[#This Row],[Diabetes]]=$S$1,diabetesoriginal[[#This Row],[Insulin]],NA())</f>
        <v>#N/A</v>
      </c>
    </row>
    <row r="639" spans="1:22" x14ac:dyDescent="0.25">
      <c r="A639" s="5">
        <v>2</v>
      </c>
      <c r="B639" s="5">
        <v>94</v>
      </c>
      <c r="C639" s="5">
        <v>76</v>
      </c>
      <c r="D639" s="5" t="s">
        <v>23</v>
      </c>
      <c r="E639" s="5">
        <v>18</v>
      </c>
      <c r="F639" s="5">
        <v>66</v>
      </c>
      <c r="G639" s="5">
        <v>31.6</v>
      </c>
      <c r="H639" s="5" t="s">
        <v>29</v>
      </c>
      <c r="I639" s="5">
        <v>0.64900000000000002</v>
      </c>
      <c r="J639" s="5">
        <v>23</v>
      </c>
      <c r="K639" s="5" t="s">
        <v>35</v>
      </c>
      <c r="L639" s="15">
        <v>0</v>
      </c>
      <c r="M639" s="5" t="s">
        <v>57</v>
      </c>
      <c r="N639" s="5" t="s">
        <v>58</v>
      </c>
      <c r="O639" s="5" t="s">
        <v>31</v>
      </c>
      <c r="R639" s="5">
        <f>IF(diabetesoriginal[[#This Row],[Diabetes]]=$R$1,diabetesoriginal[[#This Row],[Skin Thickness]],NA())</f>
        <v>18</v>
      </c>
      <c r="S639" s="5" t="e">
        <f>IF(diabetesoriginal[[#This Row],[Diabetes]]=$S$1,diabetesoriginal[[#This Row],[Skin Thickness]],NA())</f>
        <v>#N/A</v>
      </c>
      <c r="U639" s="5">
        <f>IF(diabetesoriginal[[#This Row],[Diabetes]]=$U$1,diabetesoriginal[[#This Row],[Insulin]],NA())</f>
        <v>66</v>
      </c>
      <c r="V639" s="5" t="e">
        <f>IF(diabetesoriginal[[#This Row],[Diabetes]]=$S$1,diabetesoriginal[[#This Row],[Insulin]],NA())</f>
        <v>#N/A</v>
      </c>
    </row>
    <row r="640" spans="1:22" x14ac:dyDescent="0.25">
      <c r="A640" s="5">
        <v>7</v>
      </c>
      <c r="B640" s="5">
        <v>97</v>
      </c>
      <c r="C640" s="5">
        <v>76</v>
      </c>
      <c r="D640" s="5" t="s">
        <v>23</v>
      </c>
      <c r="E640" s="5">
        <v>32</v>
      </c>
      <c r="F640" s="5">
        <v>91</v>
      </c>
      <c r="G640" s="5">
        <v>40.9</v>
      </c>
      <c r="H640" s="5" t="s">
        <v>32</v>
      </c>
      <c r="I640" s="5">
        <v>0.871</v>
      </c>
      <c r="J640" s="5">
        <v>32</v>
      </c>
      <c r="K640" s="5" t="s">
        <v>36</v>
      </c>
      <c r="L640" s="15">
        <v>1</v>
      </c>
      <c r="M640" s="5" t="s">
        <v>57</v>
      </c>
      <c r="N640" s="5" t="s">
        <v>56</v>
      </c>
      <c r="O640" s="5" t="s">
        <v>31</v>
      </c>
      <c r="R640" s="5" t="e">
        <f>IF(diabetesoriginal[[#This Row],[Diabetes]]=$R$1,diabetesoriginal[[#This Row],[Skin Thickness]],NA())</f>
        <v>#N/A</v>
      </c>
      <c r="S640" s="5">
        <f>IF(diabetesoriginal[[#This Row],[Diabetes]]=$S$1,diabetesoriginal[[#This Row],[Skin Thickness]],NA())</f>
        <v>32</v>
      </c>
      <c r="U640" s="5" t="e">
        <f>IF(diabetesoriginal[[#This Row],[Diabetes]]=$U$1,diabetesoriginal[[#This Row],[Insulin]],NA())</f>
        <v>#N/A</v>
      </c>
      <c r="V640" s="5">
        <f>IF(diabetesoriginal[[#This Row],[Diabetes]]=$S$1,diabetesoriginal[[#This Row],[Insulin]],NA())</f>
        <v>91</v>
      </c>
    </row>
    <row r="641" spans="1:22" x14ac:dyDescent="0.25">
      <c r="A641" s="5">
        <v>1</v>
      </c>
      <c r="B641" s="5">
        <v>100</v>
      </c>
      <c r="C641" s="5">
        <v>74</v>
      </c>
      <c r="D641" s="5" t="s">
        <v>23</v>
      </c>
      <c r="E641" s="5">
        <v>12</v>
      </c>
      <c r="F641" s="5">
        <v>46</v>
      </c>
      <c r="G641" s="5">
        <v>19.5</v>
      </c>
      <c r="H641" s="5" t="s">
        <v>31</v>
      </c>
      <c r="I641" s="5">
        <v>0.14899999999999999</v>
      </c>
      <c r="J641" s="5">
        <v>28</v>
      </c>
      <c r="K641" s="5" t="s">
        <v>35</v>
      </c>
      <c r="L641" s="15">
        <v>0</v>
      </c>
      <c r="M641" s="5" t="s">
        <v>57</v>
      </c>
      <c r="N641" s="5" t="s">
        <v>58</v>
      </c>
      <c r="O641" s="5" t="s">
        <v>31</v>
      </c>
      <c r="R641" s="5">
        <f>IF(diabetesoriginal[[#This Row],[Diabetes]]=$R$1,diabetesoriginal[[#This Row],[Skin Thickness]],NA())</f>
        <v>12</v>
      </c>
      <c r="S641" s="5" t="e">
        <f>IF(diabetesoriginal[[#This Row],[Diabetes]]=$S$1,diabetesoriginal[[#This Row],[Skin Thickness]],NA())</f>
        <v>#N/A</v>
      </c>
      <c r="U641" s="5">
        <f>IF(diabetesoriginal[[#This Row],[Diabetes]]=$U$1,diabetesoriginal[[#This Row],[Insulin]],NA())</f>
        <v>46</v>
      </c>
      <c r="V641" s="5" t="e">
        <f>IF(diabetesoriginal[[#This Row],[Diabetes]]=$S$1,diabetesoriginal[[#This Row],[Insulin]],NA())</f>
        <v>#N/A</v>
      </c>
    </row>
    <row r="642" spans="1:22" x14ac:dyDescent="0.25">
      <c r="A642" s="5">
        <v>0</v>
      </c>
      <c r="B642" s="5">
        <v>102</v>
      </c>
      <c r="C642" s="5">
        <v>86</v>
      </c>
      <c r="D642" s="5" t="s">
        <v>25</v>
      </c>
      <c r="E642" s="5">
        <v>17</v>
      </c>
      <c r="F642" s="5">
        <v>105</v>
      </c>
      <c r="G642" s="5">
        <v>29.3</v>
      </c>
      <c r="H642" s="5" t="s">
        <v>30</v>
      </c>
      <c r="I642" s="5">
        <v>0.69499999999999995</v>
      </c>
      <c r="J642" s="5">
        <v>27</v>
      </c>
      <c r="K642" s="5" t="s">
        <v>35</v>
      </c>
      <c r="L642" s="15">
        <v>0</v>
      </c>
      <c r="M642" s="5" t="s">
        <v>57</v>
      </c>
      <c r="N642" s="5" t="s">
        <v>58</v>
      </c>
      <c r="O642" s="5" t="s">
        <v>31</v>
      </c>
      <c r="R642" s="5">
        <f>IF(diabetesoriginal[[#This Row],[Diabetes]]=$R$1,diabetesoriginal[[#This Row],[Skin Thickness]],NA())</f>
        <v>17</v>
      </c>
      <c r="S642" s="5" t="e">
        <f>IF(diabetesoriginal[[#This Row],[Diabetes]]=$S$1,diabetesoriginal[[#This Row],[Skin Thickness]],NA())</f>
        <v>#N/A</v>
      </c>
      <c r="U642" s="5">
        <f>IF(diabetesoriginal[[#This Row],[Diabetes]]=$U$1,diabetesoriginal[[#This Row],[Insulin]],NA())</f>
        <v>105</v>
      </c>
      <c r="V642" s="5" t="e">
        <f>IF(diabetesoriginal[[#This Row],[Diabetes]]=$S$1,diabetesoriginal[[#This Row],[Insulin]],NA())</f>
        <v>#N/A</v>
      </c>
    </row>
    <row r="643" spans="1:22" x14ac:dyDescent="0.25">
      <c r="A643" s="5">
        <v>4</v>
      </c>
      <c r="B643" s="5">
        <v>128</v>
      </c>
      <c r="C643" s="5">
        <v>70</v>
      </c>
      <c r="D643" s="5" t="s">
        <v>23</v>
      </c>
      <c r="E643" s="5">
        <v>29</v>
      </c>
      <c r="F643" s="5">
        <v>125</v>
      </c>
      <c r="G643" s="5">
        <v>34.299999999999997</v>
      </c>
      <c r="H643" s="5" t="s">
        <v>29</v>
      </c>
      <c r="I643" s="5">
        <v>0.30299999999999999</v>
      </c>
      <c r="J643" s="5">
        <v>24</v>
      </c>
      <c r="K643" s="5" t="s">
        <v>35</v>
      </c>
      <c r="L643" s="15">
        <v>0</v>
      </c>
      <c r="M643" s="5" t="s">
        <v>57</v>
      </c>
      <c r="N643" s="5" t="s">
        <v>56</v>
      </c>
      <c r="O643" s="5" t="s">
        <v>31</v>
      </c>
      <c r="R643" s="5">
        <f>IF(diabetesoriginal[[#This Row],[Diabetes]]=$R$1,diabetesoriginal[[#This Row],[Skin Thickness]],NA())</f>
        <v>29</v>
      </c>
      <c r="S643" s="5" t="e">
        <f>IF(diabetesoriginal[[#This Row],[Diabetes]]=$S$1,diabetesoriginal[[#This Row],[Skin Thickness]],NA())</f>
        <v>#N/A</v>
      </c>
      <c r="U643" s="5">
        <f>IF(diabetesoriginal[[#This Row],[Diabetes]]=$U$1,diabetesoriginal[[#This Row],[Insulin]],NA())</f>
        <v>125</v>
      </c>
      <c r="V643" s="5" t="e">
        <f>IF(diabetesoriginal[[#This Row],[Diabetes]]=$S$1,diabetesoriginal[[#This Row],[Insulin]],NA())</f>
        <v>#N/A</v>
      </c>
    </row>
    <row r="644" spans="1:22" x14ac:dyDescent="0.25">
      <c r="A644" s="5">
        <v>6</v>
      </c>
      <c r="B644" s="5">
        <v>147</v>
      </c>
      <c r="C644" s="5">
        <v>80</v>
      </c>
      <c r="D644" s="5" t="s">
        <v>25</v>
      </c>
      <c r="E644" s="5">
        <v>29</v>
      </c>
      <c r="F644" s="5">
        <v>125</v>
      </c>
      <c r="G644" s="5">
        <v>29.5</v>
      </c>
      <c r="H644" s="5" t="s">
        <v>30</v>
      </c>
      <c r="I644" s="5">
        <v>0.17799999999999999</v>
      </c>
      <c r="J644" s="5">
        <v>50</v>
      </c>
      <c r="K644" s="5" t="s">
        <v>38</v>
      </c>
      <c r="L644" s="15">
        <v>1</v>
      </c>
      <c r="M644" s="5" t="s">
        <v>22</v>
      </c>
      <c r="N644" s="5" t="s">
        <v>56</v>
      </c>
      <c r="O644" s="5" t="s">
        <v>31</v>
      </c>
      <c r="R644" s="5" t="e">
        <f>IF(diabetesoriginal[[#This Row],[Diabetes]]=$R$1,diabetesoriginal[[#This Row],[Skin Thickness]],NA())</f>
        <v>#N/A</v>
      </c>
      <c r="S644" s="5">
        <f>IF(diabetesoriginal[[#This Row],[Diabetes]]=$S$1,diabetesoriginal[[#This Row],[Skin Thickness]],NA())</f>
        <v>29</v>
      </c>
      <c r="U644" s="5" t="e">
        <f>IF(diabetesoriginal[[#This Row],[Diabetes]]=$U$1,diabetesoriginal[[#This Row],[Insulin]],NA())</f>
        <v>#N/A</v>
      </c>
      <c r="V644" s="5">
        <f>IF(diabetesoriginal[[#This Row],[Diabetes]]=$S$1,diabetesoriginal[[#This Row],[Insulin]],NA())</f>
        <v>125</v>
      </c>
    </row>
    <row r="645" spans="1:22" x14ac:dyDescent="0.25">
      <c r="A645" s="5">
        <v>4</v>
      </c>
      <c r="B645" s="5">
        <v>90</v>
      </c>
      <c r="C645" s="5">
        <v>72</v>
      </c>
      <c r="D645" s="5" t="s">
        <v>23</v>
      </c>
      <c r="E645" s="5">
        <v>29</v>
      </c>
      <c r="F645" s="5">
        <v>125</v>
      </c>
      <c r="G645" s="5">
        <v>28</v>
      </c>
      <c r="H645" s="5" t="s">
        <v>30</v>
      </c>
      <c r="I645" s="5">
        <v>0.61</v>
      </c>
      <c r="J645" s="5">
        <v>31</v>
      </c>
      <c r="K645" s="5" t="s">
        <v>36</v>
      </c>
      <c r="L645" s="15">
        <v>0</v>
      </c>
      <c r="M645" s="5" t="s">
        <v>57</v>
      </c>
      <c r="N645" s="5" t="s">
        <v>56</v>
      </c>
      <c r="O645" s="5" t="s">
        <v>31</v>
      </c>
      <c r="R645" s="5">
        <f>IF(diabetesoriginal[[#This Row],[Diabetes]]=$R$1,diabetesoriginal[[#This Row],[Skin Thickness]],NA())</f>
        <v>29</v>
      </c>
      <c r="S645" s="5" t="e">
        <f>IF(diabetesoriginal[[#This Row],[Diabetes]]=$S$1,diabetesoriginal[[#This Row],[Skin Thickness]],NA())</f>
        <v>#N/A</v>
      </c>
      <c r="U645" s="5">
        <f>IF(diabetesoriginal[[#This Row],[Diabetes]]=$U$1,diabetesoriginal[[#This Row],[Insulin]],NA())</f>
        <v>125</v>
      </c>
      <c r="V645" s="5" t="e">
        <f>IF(diabetesoriginal[[#This Row],[Diabetes]]=$S$1,diabetesoriginal[[#This Row],[Insulin]],NA())</f>
        <v>#N/A</v>
      </c>
    </row>
    <row r="646" spans="1:22" x14ac:dyDescent="0.25">
      <c r="A646" s="5">
        <v>3</v>
      </c>
      <c r="B646" s="5">
        <v>103</v>
      </c>
      <c r="C646" s="5">
        <v>72</v>
      </c>
      <c r="D646" s="5" t="s">
        <v>23</v>
      </c>
      <c r="E646" s="5">
        <v>30</v>
      </c>
      <c r="F646" s="5">
        <v>152</v>
      </c>
      <c r="G646" s="5">
        <v>27.6</v>
      </c>
      <c r="H646" s="5" t="s">
        <v>30</v>
      </c>
      <c r="I646" s="5">
        <v>0.73</v>
      </c>
      <c r="J646" s="5">
        <v>27</v>
      </c>
      <c r="K646" s="5" t="s">
        <v>35</v>
      </c>
      <c r="L646" s="15">
        <v>0</v>
      </c>
      <c r="M646" s="5" t="s">
        <v>57</v>
      </c>
      <c r="N646" s="5" t="s">
        <v>56</v>
      </c>
      <c r="O646" s="5" t="s">
        <v>31</v>
      </c>
      <c r="R646" s="5">
        <f>IF(diabetesoriginal[[#This Row],[Diabetes]]=$R$1,diabetesoriginal[[#This Row],[Skin Thickness]],NA())</f>
        <v>30</v>
      </c>
      <c r="S646" s="5" t="e">
        <f>IF(diabetesoriginal[[#This Row],[Diabetes]]=$S$1,diabetesoriginal[[#This Row],[Skin Thickness]],NA())</f>
        <v>#N/A</v>
      </c>
      <c r="U646" s="5">
        <f>IF(diabetesoriginal[[#This Row],[Diabetes]]=$U$1,diabetesoriginal[[#This Row],[Insulin]],NA())</f>
        <v>152</v>
      </c>
      <c r="V646" s="5" t="e">
        <f>IF(diabetesoriginal[[#This Row],[Diabetes]]=$S$1,diabetesoriginal[[#This Row],[Insulin]],NA())</f>
        <v>#N/A</v>
      </c>
    </row>
    <row r="647" spans="1:22" x14ac:dyDescent="0.25">
      <c r="A647" s="5">
        <v>2</v>
      </c>
      <c r="B647" s="5">
        <v>157</v>
      </c>
      <c r="C647" s="5">
        <v>74</v>
      </c>
      <c r="D647" s="5" t="s">
        <v>23</v>
      </c>
      <c r="E647" s="5">
        <v>35</v>
      </c>
      <c r="F647" s="5">
        <v>440</v>
      </c>
      <c r="G647" s="5">
        <v>39.4</v>
      </c>
      <c r="H647" s="5" t="s">
        <v>29</v>
      </c>
      <c r="I647" s="5">
        <v>0.13400000000000001</v>
      </c>
      <c r="J647" s="5">
        <v>30</v>
      </c>
      <c r="K647" s="5" t="s">
        <v>36</v>
      </c>
      <c r="L647" s="15">
        <v>0</v>
      </c>
      <c r="M647" s="5" t="s">
        <v>22</v>
      </c>
      <c r="N647" s="5" t="s">
        <v>56</v>
      </c>
      <c r="O647" s="5" t="s">
        <v>59</v>
      </c>
      <c r="R647" s="5">
        <f>IF(diabetesoriginal[[#This Row],[Diabetes]]=$R$1,diabetesoriginal[[#This Row],[Skin Thickness]],NA())</f>
        <v>35</v>
      </c>
      <c r="S647" s="5" t="e">
        <f>IF(diabetesoriginal[[#This Row],[Diabetes]]=$S$1,diabetesoriginal[[#This Row],[Skin Thickness]],NA())</f>
        <v>#N/A</v>
      </c>
      <c r="U647" s="5">
        <f>IF(diabetesoriginal[[#This Row],[Diabetes]]=$U$1,diabetesoriginal[[#This Row],[Insulin]],NA())</f>
        <v>440</v>
      </c>
      <c r="V647" s="5" t="e">
        <f>IF(diabetesoriginal[[#This Row],[Diabetes]]=$S$1,diabetesoriginal[[#This Row],[Insulin]],NA())</f>
        <v>#N/A</v>
      </c>
    </row>
    <row r="648" spans="1:22" x14ac:dyDescent="0.25">
      <c r="A648" s="5">
        <v>1</v>
      </c>
      <c r="B648" s="5">
        <v>167</v>
      </c>
      <c r="C648" s="5">
        <v>74</v>
      </c>
      <c r="D648" s="5" t="s">
        <v>23</v>
      </c>
      <c r="E648" s="5">
        <v>17</v>
      </c>
      <c r="F648" s="5">
        <v>144</v>
      </c>
      <c r="G648" s="5">
        <v>23.4</v>
      </c>
      <c r="H648" s="5" t="s">
        <v>31</v>
      </c>
      <c r="I648" s="5">
        <v>0.44700000000000001</v>
      </c>
      <c r="J648" s="5">
        <v>33</v>
      </c>
      <c r="K648" s="5" t="s">
        <v>36</v>
      </c>
      <c r="L648" s="15">
        <v>1</v>
      </c>
      <c r="M648" s="5" t="s">
        <v>22</v>
      </c>
      <c r="N648" s="5" t="s">
        <v>58</v>
      </c>
      <c r="O648" s="5" t="s">
        <v>31</v>
      </c>
      <c r="R648" s="5" t="e">
        <f>IF(diabetesoriginal[[#This Row],[Diabetes]]=$R$1,diabetesoriginal[[#This Row],[Skin Thickness]],NA())</f>
        <v>#N/A</v>
      </c>
      <c r="S648" s="5">
        <f>IF(diabetesoriginal[[#This Row],[Diabetes]]=$S$1,diabetesoriginal[[#This Row],[Skin Thickness]],NA())</f>
        <v>17</v>
      </c>
      <c r="U648" s="5" t="e">
        <f>IF(diabetesoriginal[[#This Row],[Diabetes]]=$U$1,diabetesoriginal[[#This Row],[Insulin]],NA())</f>
        <v>#N/A</v>
      </c>
      <c r="V648" s="5">
        <f>IF(diabetesoriginal[[#This Row],[Diabetes]]=$S$1,diabetesoriginal[[#This Row],[Insulin]],NA())</f>
        <v>144</v>
      </c>
    </row>
    <row r="649" spans="1:22" x14ac:dyDescent="0.25">
      <c r="A649" s="5">
        <v>0</v>
      </c>
      <c r="B649" s="5">
        <v>179</v>
      </c>
      <c r="C649" s="5">
        <v>50</v>
      </c>
      <c r="D649" s="5" t="s">
        <v>23</v>
      </c>
      <c r="E649" s="5">
        <v>36</v>
      </c>
      <c r="F649" s="5">
        <v>159</v>
      </c>
      <c r="G649" s="5">
        <v>37.799999999999997</v>
      </c>
      <c r="H649" s="5" t="s">
        <v>29</v>
      </c>
      <c r="I649" s="5">
        <v>0.45500000000000002</v>
      </c>
      <c r="J649" s="5">
        <v>22</v>
      </c>
      <c r="K649" s="5" t="s">
        <v>35</v>
      </c>
      <c r="L649" s="15">
        <v>1</v>
      </c>
      <c r="M649" s="5" t="s">
        <v>22</v>
      </c>
      <c r="N649" s="5" t="s">
        <v>56</v>
      </c>
      <c r="O649" s="5" t="s">
        <v>31</v>
      </c>
      <c r="R649" s="5" t="e">
        <f>IF(diabetesoriginal[[#This Row],[Diabetes]]=$R$1,diabetesoriginal[[#This Row],[Skin Thickness]],NA())</f>
        <v>#N/A</v>
      </c>
      <c r="S649" s="5">
        <f>IF(diabetesoriginal[[#This Row],[Diabetes]]=$S$1,diabetesoriginal[[#This Row],[Skin Thickness]],NA())</f>
        <v>36</v>
      </c>
      <c r="U649" s="5" t="e">
        <f>IF(diabetesoriginal[[#This Row],[Diabetes]]=$U$1,diabetesoriginal[[#This Row],[Insulin]],NA())</f>
        <v>#N/A</v>
      </c>
      <c r="V649" s="5">
        <f>IF(diabetesoriginal[[#This Row],[Diabetes]]=$S$1,diabetesoriginal[[#This Row],[Insulin]],NA())</f>
        <v>159</v>
      </c>
    </row>
    <row r="650" spans="1:22" x14ac:dyDescent="0.25">
      <c r="A650" s="5">
        <v>11</v>
      </c>
      <c r="B650" s="5">
        <v>136</v>
      </c>
      <c r="C650" s="5">
        <v>84</v>
      </c>
      <c r="D650" s="5" t="s">
        <v>25</v>
      </c>
      <c r="E650" s="5">
        <v>35</v>
      </c>
      <c r="F650" s="5">
        <v>130</v>
      </c>
      <c r="G650" s="5">
        <v>28.3</v>
      </c>
      <c r="H650" s="5" t="s">
        <v>30</v>
      </c>
      <c r="I650" s="5">
        <v>0.26</v>
      </c>
      <c r="J650" s="5">
        <v>42</v>
      </c>
      <c r="K650" s="5" t="s">
        <v>37</v>
      </c>
      <c r="L650" s="15">
        <v>1</v>
      </c>
      <c r="M650" s="5" t="s">
        <v>57</v>
      </c>
      <c r="N650" s="5" t="s">
        <v>56</v>
      </c>
      <c r="O650" s="5" t="s">
        <v>31</v>
      </c>
      <c r="R650" s="5" t="e">
        <f>IF(diabetesoriginal[[#This Row],[Diabetes]]=$R$1,diabetesoriginal[[#This Row],[Skin Thickness]],NA())</f>
        <v>#N/A</v>
      </c>
      <c r="S650" s="5">
        <f>IF(diabetesoriginal[[#This Row],[Diabetes]]=$S$1,diabetesoriginal[[#This Row],[Skin Thickness]],NA())</f>
        <v>35</v>
      </c>
      <c r="U650" s="5" t="e">
        <f>IF(diabetesoriginal[[#This Row],[Diabetes]]=$U$1,diabetesoriginal[[#This Row],[Insulin]],NA())</f>
        <v>#N/A</v>
      </c>
      <c r="V650" s="5">
        <f>IF(diabetesoriginal[[#This Row],[Diabetes]]=$S$1,diabetesoriginal[[#This Row],[Insulin]],NA())</f>
        <v>130</v>
      </c>
    </row>
    <row r="651" spans="1:22" x14ac:dyDescent="0.25">
      <c r="A651" s="5">
        <v>0</v>
      </c>
      <c r="B651" s="5">
        <v>107</v>
      </c>
      <c r="C651" s="5">
        <v>60</v>
      </c>
      <c r="D651" s="5" t="s">
        <v>23</v>
      </c>
      <c r="E651" s="5">
        <v>25</v>
      </c>
      <c r="F651" s="5">
        <v>125</v>
      </c>
      <c r="G651" s="5">
        <v>26.4</v>
      </c>
      <c r="H651" s="5" t="s">
        <v>30</v>
      </c>
      <c r="I651" s="5">
        <v>0.13300000000000001</v>
      </c>
      <c r="J651" s="5">
        <v>23</v>
      </c>
      <c r="K651" s="5" t="s">
        <v>35</v>
      </c>
      <c r="L651" s="15">
        <v>0</v>
      </c>
      <c r="M651" s="5" t="s">
        <v>57</v>
      </c>
      <c r="N651" s="5" t="s">
        <v>56</v>
      </c>
      <c r="O651" s="5" t="s">
        <v>31</v>
      </c>
      <c r="R651" s="5">
        <f>IF(diabetesoriginal[[#This Row],[Diabetes]]=$R$1,diabetesoriginal[[#This Row],[Skin Thickness]],NA())</f>
        <v>25</v>
      </c>
      <c r="S651" s="5" t="e">
        <f>IF(diabetesoriginal[[#This Row],[Diabetes]]=$S$1,diabetesoriginal[[#This Row],[Skin Thickness]],NA())</f>
        <v>#N/A</v>
      </c>
      <c r="U651" s="5">
        <f>IF(diabetesoriginal[[#This Row],[Diabetes]]=$U$1,diabetesoriginal[[#This Row],[Insulin]],NA())</f>
        <v>125</v>
      </c>
      <c r="V651" s="5" t="e">
        <f>IF(diabetesoriginal[[#This Row],[Diabetes]]=$S$1,diabetesoriginal[[#This Row],[Insulin]],NA())</f>
        <v>#N/A</v>
      </c>
    </row>
    <row r="652" spans="1:22" x14ac:dyDescent="0.25">
      <c r="A652" s="5">
        <v>1</v>
      </c>
      <c r="B652" s="5">
        <v>91</v>
      </c>
      <c r="C652" s="5">
        <v>54</v>
      </c>
      <c r="D652" s="5" t="s">
        <v>23</v>
      </c>
      <c r="E652" s="5">
        <v>25</v>
      </c>
      <c r="F652" s="5">
        <v>100</v>
      </c>
      <c r="G652" s="5">
        <v>25.2</v>
      </c>
      <c r="H652" s="5" t="s">
        <v>30</v>
      </c>
      <c r="I652" s="5">
        <v>0.23400000000000001</v>
      </c>
      <c r="J652" s="5">
        <v>23</v>
      </c>
      <c r="K652" s="5" t="s">
        <v>35</v>
      </c>
      <c r="L652" s="15">
        <v>0</v>
      </c>
      <c r="M652" s="5" t="s">
        <v>57</v>
      </c>
      <c r="N652" s="5" t="s">
        <v>56</v>
      </c>
      <c r="O652" s="5" t="s">
        <v>31</v>
      </c>
      <c r="R652" s="5">
        <f>IF(diabetesoriginal[[#This Row],[Diabetes]]=$R$1,diabetesoriginal[[#This Row],[Skin Thickness]],NA())</f>
        <v>25</v>
      </c>
      <c r="S652" s="5" t="e">
        <f>IF(diabetesoriginal[[#This Row],[Diabetes]]=$S$1,diabetesoriginal[[#This Row],[Skin Thickness]],NA())</f>
        <v>#N/A</v>
      </c>
      <c r="U652" s="5">
        <f>IF(diabetesoriginal[[#This Row],[Diabetes]]=$U$1,diabetesoriginal[[#This Row],[Insulin]],NA())</f>
        <v>100</v>
      </c>
      <c r="V652" s="5" t="e">
        <f>IF(diabetesoriginal[[#This Row],[Diabetes]]=$S$1,diabetesoriginal[[#This Row],[Insulin]],NA())</f>
        <v>#N/A</v>
      </c>
    </row>
    <row r="653" spans="1:22" x14ac:dyDescent="0.25">
      <c r="A653" s="5">
        <v>1</v>
      </c>
      <c r="B653" s="5">
        <v>117</v>
      </c>
      <c r="C653" s="5">
        <v>60</v>
      </c>
      <c r="D653" s="5" t="s">
        <v>23</v>
      </c>
      <c r="E653" s="5">
        <v>23</v>
      </c>
      <c r="F653" s="5">
        <v>106</v>
      </c>
      <c r="G653" s="5">
        <v>33.799999999999997</v>
      </c>
      <c r="H653" s="5" t="s">
        <v>29</v>
      </c>
      <c r="I653" s="5">
        <v>0.46600000000000003</v>
      </c>
      <c r="J653" s="5">
        <v>27</v>
      </c>
      <c r="K653" s="5" t="s">
        <v>35</v>
      </c>
      <c r="L653" s="15">
        <v>0</v>
      </c>
      <c r="M653" s="5" t="s">
        <v>57</v>
      </c>
      <c r="N653" s="5" t="s">
        <v>58</v>
      </c>
      <c r="O653" s="5" t="s">
        <v>31</v>
      </c>
      <c r="R653" s="5">
        <f>IF(diabetesoriginal[[#This Row],[Diabetes]]=$R$1,diabetesoriginal[[#This Row],[Skin Thickness]],NA())</f>
        <v>23</v>
      </c>
      <c r="S653" s="5" t="e">
        <f>IF(diabetesoriginal[[#This Row],[Diabetes]]=$S$1,diabetesoriginal[[#This Row],[Skin Thickness]],NA())</f>
        <v>#N/A</v>
      </c>
      <c r="U653" s="5">
        <f>IF(diabetesoriginal[[#This Row],[Diabetes]]=$U$1,diabetesoriginal[[#This Row],[Insulin]],NA())</f>
        <v>106</v>
      </c>
      <c r="V653" s="5" t="e">
        <f>IF(diabetesoriginal[[#This Row],[Diabetes]]=$S$1,diabetesoriginal[[#This Row],[Insulin]],NA())</f>
        <v>#N/A</v>
      </c>
    </row>
    <row r="654" spans="1:22" x14ac:dyDescent="0.25">
      <c r="A654" s="5">
        <v>5</v>
      </c>
      <c r="B654" s="5">
        <v>123</v>
      </c>
      <c r="C654" s="5">
        <v>74</v>
      </c>
      <c r="D654" s="5" t="s">
        <v>23</v>
      </c>
      <c r="E654" s="5">
        <v>40</v>
      </c>
      <c r="F654" s="5">
        <v>77</v>
      </c>
      <c r="G654" s="5">
        <v>34.1</v>
      </c>
      <c r="H654" s="5" t="s">
        <v>29</v>
      </c>
      <c r="I654" s="5">
        <v>0.26900000000000002</v>
      </c>
      <c r="J654" s="5">
        <v>28</v>
      </c>
      <c r="K654" s="5" t="s">
        <v>35</v>
      </c>
      <c r="L654" s="15">
        <v>0</v>
      </c>
      <c r="M654" s="5" t="s">
        <v>57</v>
      </c>
      <c r="N654" s="5" t="s">
        <v>56</v>
      </c>
      <c r="O654" s="5" t="s">
        <v>31</v>
      </c>
      <c r="R654" s="5">
        <f>IF(diabetesoriginal[[#This Row],[Diabetes]]=$R$1,diabetesoriginal[[#This Row],[Skin Thickness]],NA())</f>
        <v>40</v>
      </c>
      <c r="S654" s="5" t="e">
        <f>IF(diabetesoriginal[[#This Row],[Diabetes]]=$S$1,diabetesoriginal[[#This Row],[Skin Thickness]],NA())</f>
        <v>#N/A</v>
      </c>
      <c r="U654" s="5">
        <f>IF(diabetesoriginal[[#This Row],[Diabetes]]=$U$1,diabetesoriginal[[#This Row],[Insulin]],NA())</f>
        <v>77</v>
      </c>
      <c r="V654" s="5" t="e">
        <f>IF(diabetesoriginal[[#This Row],[Diabetes]]=$S$1,diabetesoriginal[[#This Row],[Insulin]],NA())</f>
        <v>#N/A</v>
      </c>
    </row>
    <row r="655" spans="1:22" x14ac:dyDescent="0.25">
      <c r="A655" s="5">
        <v>2</v>
      </c>
      <c r="B655" s="5">
        <v>120</v>
      </c>
      <c r="C655" s="5">
        <v>54</v>
      </c>
      <c r="D655" s="5" t="s">
        <v>23</v>
      </c>
      <c r="E655" s="5">
        <v>29</v>
      </c>
      <c r="F655" s="5">
        <v>125</v>
      </c>
      <c r="G655" s="5">
        <v>26.8</v>
      </c>
      <c r="H655" s="5" t="s">
        <v>30</v>
      </c>
      <c r="I655" s="5">
        <v>0.45500000000000002</v>
      </c>
      <c r="J655" s="5">
        <v>27</v>
      </c>
      <c r="K655" s="5" t="s">
        <v>35</v>
      </c>
      <c r="L655" s="15">
        <v>0</v>
      </c>
      <c r="M655" s="5" t="s">
        <v>57</v>
      </c>
      <c r="N655" s="5" t="s">
        <v>56</v>
      </c>
      <c r="O655" s="5" t="s">
        <v>31</v>
      </c>
      <c r="R655" s="5">
        <f>IF(diabetesoriginal[[#This Row],[Diabetes]]=$R$1,diabetesoriginal[[#This Row],[Skin Thickness]],NA())</f>
        <v>29</v>
      </c>
      <c r="S655" s="5" t="e">
        <f>IF(diabetesoriginal[[#This Row],[Diabetes]]=$S$1,diabetesoriginal[[#This Row],[Skin Thickness]],NA())</f>
        <v>#N/A</v>
      </c>
      <c r="U655" s="5">
        <f>IF(diabetesoriginal[[#This Row],[Diabetes]]=$U$1,diabetesoriginal[[#This Row],[Insulin]],NA())</f>
        <v>125</v>
      </c>
      <c r="V655" s="5" t="e">
        <f>IF(diabetesoriginal[[#This Row],[Diabetes]]=$S$1,diabetesoriginal[[#This Row],[Insulin]],NA())</f>
        <v>#N/A</v>
      </c>
    </row>
    <row r="656" spans="1:22" x14ac:dyDescent="0.25">
      <c r="A656" s="5">
        <v>1</v>
      </c>
      <c r="B656" s="5">
        <v>106</v>
      </c>
      <c r="C656" s="5">
        <v>70</v>
      </c>
      <c r="D656" s="5" t="s">
        <v>23</v>
      </c>
      <c r="E656" s="5">
        <v>28</v>
      </c>
      <c r="F656" s="5">
        <v>135</v>
      </c>
      <c r="G656" s="5">
        <v>34.200000000000003</v>
      </c>
      <c r="H656" s="5" t="s">
        <v>29</v>
      </c>
      <c r="I656" s="5">
        <v>0.14199999999999999</v>
      </c>
      <c r="J656" s="5">
        <v>22</v>
      </c>
      <c r="K656" s="5" t="s">
        <v>35</v>
      </c>
      <c r="L656" s="15">
        <v>0</v>
      </c>
      <c r="M656" s="5" t="s">
        <v>57</v>
      </c>
      <c r="N656" s="5" t="s">
        <v>56</v>
      </c>
      <c r="O656" s="5" t="s">
        <v>31</v>
      </c>
      <c r="R656" s="5">
        <f>IF(diabetesoriginal[[#This Row],[Diabetes]]=$R$1,diabetesoriginal[[#This Row],[Skin Thickness]],NA())</f>
        <v>28</v>
      </c>
      <c r="S656" s="5" t="e">
        <f>IF(diabetesoriginal[[#This Row],[Diabetes]]=$S$1,diabetesoriginal[[#This Row],[Skin Thickness]],NA())</f>
        <v>#N/A</v>
      </c>
      <c r="U656" s="5">
        <f>IF(diabetesoriginal[[#This Row],[Diabetes]]=$U$1,diabetesoriginal[[#This Row],[Insulin]],NA())</f>
        <v>135</v>
      </c>
      <c r="V656" s="5" t="e">
        <f>IF(diabetesoriginal[[#This Row],[Diabetes]]=$S$1,diabetesoriginal[[#This Row],[Insulin]],NA())</f>
        <v>#N/A</v>
      </c>
    </row>
    <row r="657" spans="1:22" x14ac:dyDescent="0.25">
      <c r="A657" s="5">
        <v>2</v>
      </c>
      <c r="B657" s="5">
        <v>155</v>
      </c>
      <c r="C657" s="5">
        <v>52</v>
      </c>
      <c r="D657" s="5" t="s">
        <v>23</v>
      </c>
      <c r="E657" s="5">
        <v>27</v>
      </c>
      <c r="F657" s="5">
        <v>540</v>
      </c>
      <c r="G657" s="5">
        <v>38.700000000000003</v>
      </c>
      <c r="H657" s="5" t="s">
        <v>29</v>
      </c>
      <c r="I657" s="5">
        <v>0.24</v>
      </c>
      <c r="J657" s="5">
        <v>25</v>
      </c>
      <c r="K657" s="5" t="s">
        <v>35</v>
      </c>
      <c r="L657" s="15">
        <v>1</v>
      </c>
      <c r="M657" s="5" t="s">
        <v>22</v>
      </c>
      <c r="N657" s="5" t="s">
        <v>56</v>
      </c>
      <c r="O657" s="5" t="s">
        <v>59</v>
      </c>
      <c r="R657" s="5" t="e">
        <f>IF(diabetesoriginal[[#This Row],[Diabetes]]=$R$1,diabetesoriginal[[#This Row],[Skin Thickness]],NA())</f>
        <v>#N/A</v>
      </c>
      <c r="S657" s="5">
        <f>IF(diabetesoriginal[[#This Row],[Diabetes]]=$S$1,diabetesoriginal[[#This Row],[Skin Thickness]],NA())</f>
        <v>27</v>
      </c>
      <c r="U657" s="5" t="e">
        <f>IF(diabetesoriginal[[#This Row],[Diabetes]]=$U$1,diabetesoriginal[[#This Row],[Insulin]],NA())</f>
        <v>#N/A</v>
      </c>
      <c r="V657" s="5">
        <f>IF(diabetesoriginal[[#This Row],[Diabetes]]=$S$1,diabetesoriginal[[#This Row],[Insulin]],NA())</f>
        <v>540</v>
      </c>
    </row>
    <row r="658" spans="1:22" x14ac:dyDescent="0.25">
      <c r="A658" s="5">
        <v>2</v>
      </c>
      <c r="B658" s="5">
        <v>101</v>
      </c>
      <c r="C658" s="5">
        <v>58</v>
      </c>
      <c r="D658" s="5" t="s">
        <v>23</v>
      </c>
      <c r="E658" s="5">
        <v>35</v>
      </c>
      <c r="F658" s="5">
        <v>90</v>
      </c>
      <c r="G658" s="5">
        <v>21.8</v>
      </c>
      <c r="H658" s="5" t="s">
        <v>31</v>
      </c>
      <c r="I658" s="5">
        <v>0.155</v>
      </c>
      <c r="J658" s="5">
        <v>22</v>
      </c>
      <c r="K658" s="5" t="s">
        <v>35</v>
      </c>
      <c r="L658" s="15">
        <v>0</v>
      </c>
      <c r="M658" s="5" t="s">
        <v>57</v>
      </c>
      <c r="N658" s="5" t="s">
        <v>56</v>
      </c>
      <c r="O658" s="5" t="s">
        <v>31</v>
      </c>
      <c r="R658" s="5">
        <f>IF(diabetesoriginal[[#This Row],[Diabetes]]=$R$1,diabetesoriginal[[#This Row],[Skin Thickness]],NA())</f>
        <v>35</v>
      </c>
      <c r="S658" s="5" t="e">
        <f>IF(diabetesoriginal[[#This Row],[Diabetes]]=$S$1,diabetesoriginal[[#This Row],[Skin Thickness]],NA())</f>
        <v>#N/A</v>
      </c>
      <c r="U658" s="5">
        <f>IF(diabetesoriginal[[#This Row],[Diabetes]]=$U$1,diabetesoriginal[[#This Row],[Insulin]],NA())</f>
        <v>90</v>
      </c>
      <c r="V658" s="5" t="e">
        <f>IF(diabetesoriginal[[#This Row],[Diabetes]]=$S$1,diabetesoriginal[[#This Row],[Insulin]],NA())</f>
        <v>#N/A</v>
      </c>
    </row>
    <row r="659" spans="1:22" x14ac:dyDescent="0.25">
      <c r="A659" s="5">
        <v>1</v>
      </c>
      <c r="B659" s="5">
        <v>120</v>
      </c>
      <c r="C659" s="5">
        <v>80</v>
      </c>
      <c r="D659" s="5" t="s">
        <v>25</v>
      </c>
      <c r="E659" s="5">
        <v>48</v>
      </c>
      <c r="F659" s="5">
        <v>200</v>
      </c>
      <c r="G659" s="5">
        <v>38.9</v>
      </c>
      <c r="H659" s="5" t="s">
        <v>29</v>
      </c>
      <c r="I659" s="5">
        <v>1.1619999999999999</v>
      </c>
      <c r="J659" s="5">
        <v>41</v>
      </c>
      <c r="K659" s="5" t="s">
        <v>37</v>
      </c>
      <c r="L659" s="15">
        <v>0</v>
      </c>
      <c r="M659" s="5" t="s">
        <v>57</v>
      </c>
      <c r="N659" s="5" t="s">
        <v>56</v>
      </c>
      <c r="O659" s="5" t="s">
        <v>59</v>
      </c>
      <c r="R659" s="5">
        <f>IF(diabetesoriginal[[#This Row],[Diabetes]]=$R$1,diabetesoriginal[[#This Row],[Skin Thickness]],NA())</f>
        <v>48</v>
      </c>
      <c r="S659" s="5" t="e">
        <f>IF(diabetesoriginal[[#This Row],[Diabetes]]=$S$1,diabetesoriginal[[#This Row],[Skin Thickness]],NA())</f>
        <v>#N/A</v>
      </c>
      <c r="U659" s="5">
        <f>IF(diabetesoriginal[[#This Row],[Diabetes]]=$U$1,diabetesoriginal[[#This Row],[Insulin]],NA())</f>
        <v>200</v>
      </c>
      <c r="V659" s="5" t="e">
        <f>IF(diabetesoriginal[[#This Row],[Diabetes]]=$S$1,diabetesoriginal[[#This Row],[Insulin]],NA())</f>
        <v>#N/A</v>
      </c>
    </row>
    <row r="660" spans="1:22" x14ac:dyDescent="0.25">
      <c r="A660" s="5">
        <v>11</v>
      </c>
      <c r="B660" s="5">
        <v>127</v>
      </c>
      <c r="C660" s="5">
        <v>106</v>
      </c>
      <c r="D660" s="5" t="s">
        <v>26</v>
      </c>
      <c r="E660" s="5">
        <v>29</v>
      </c>
      <c r="F660" s="5">
        <v>125</v>
      </c>
      <c r="G660" s="5">
        <v>39</v>
      </c>
      <c r="H660" s="5" t="s">
        <v>29</v>
      </c>
      <c r="I660" s="5">
        <v>0.19</v>
      </c>
      <c r="J660" s="5">
        <v>51</v>
      </c>
      <c r="K660" s="5" t="s">
        <v>38</v>
      </c>
      <c r="L660" s="15">
        <v>0</v>
      </c>
      <c r="M660" s="5" t="s">
        <v>57</v>
      </c>
      <c r="N660" s="5" t="s">
        <v>56</v>
      </c>
      <c r="O660" s="5" t="s">
        <v>31</v>
      </c>
      <c r="R660" s="5">
        <f>IF(diabetesoriginal[[#This Row],[Diabetes]]=$R$1,diabetesoriginal[[#This Row],[Skin Thickness]],NA())</f>
        <v>29</v>
      </c>
      <c r="S660" s="5" t="e">
        <f>IF(diabetesoriginal[[#This Row],[Diabetes]]=$S$1,diabetesoriginal[[#This Row],[Skin Thickness]],NA())</f>
        <v>#N/A</v>
      </c>
      <c r="U660" s="5">
        <f>IF(diabetesoriginal[[#This Row],[Diabetes]]=$U$1,diabetesoriginal[[#This Row],[Insulin]],NA())</f>
        <v>125</v>
      </c>
      <c r="V660" s="5" t="e">
        <f>IF(diabetesoriginal[[#This Row],[Diabetes]]=$S$1,diabetesoriginal[[#This Row],[Insulin]],NA())</f>
        <v>#N/A</v>
      </c>
    </row>
    <row r="661" spans="1:22" x14ac:dyDescent="0.25">
      <c r="A661" s="5">
        <v>3</v>
      </c>
      <c r="B661" s="5">
        <v>80</v>
      </c>
      <c r="C661" s="5">
        <v>82</v>
      </c>
      <c r="D661" s="5" t="s">
        <v>25</v>
      </c>
      <c r="E661" s="5">
        <v>31</v>
      </c>
      <c r="F661" s="5">
        <v>70</v>
      </c>
      <c r="G661" s="5">
        <v>34.200000000000003</v>
      </c>
      <c r="H661" s="5" t="s">
        <v>29</v>
      </c>
      <c r="I661" s="5">
        <v>1.292</v>
      </c>
      <c r="J661" s="5">
        <v>27</v>
      </c>
      <c r="K661" s="5" t="s">
        <v>35</v>
      </c>
      <c r="L661" s="15">
        <v>1</v>
      </c>
      <c r="M661" s="5" t="s">
        <v>57</v>
      </c>
      <c r="N661" s="5" t="s">
        <v>56</v>
      </c>
      <c r="O661" s="5" t="s">
        <v>31</v>
      </c>
      <c r="R661" s="5" t="e">
        <f>IF(diabetesoriginal[[#This Row],[Diabetes]]=$R$1,diabetesoriginal[[#This Row],[Skin Thickness]],NA())</f>
        <v>#N/A</v>
      </c>
      <c r="S661" s="5">
        <f>IF(diabetesoriginal[[#This Row],[Diabetes]]=$S$1,diabetesoriginal[[#This Row],[Skin Thickness]],NA())</f>
        <v>31</v>
      </c>
      <c r="U661" s="5" t="e">
        <f>IF(diabetesoriginal[[#This Row],[Diabetes]]=$U$1,diabetesoriginal[[#This Row],[Insulin]],NA())</f>
        <v>#N/A</v>
      </c>
      <c r="V661" s="5">
        <f>IF(diabetesoriginal[[#This Row],[Diabetes]]=$S$1,diabetesoriginal[[#This Row],[Insulin]],NA())</f>
        <v>70</v>
      </c>
    </row>
    <row r="662" spans="1:22" x14ac:dyDescent="0.25">
      <c r="A662" s="5">
        <v>10</v>
      </c>
      <c r="B662" s="5">
        <v>162</v>
      </c>
      <c r="C662" s="5">
        <v>84</v>
      </c>
      <c r="D662" s="5" t="s">
        <v>25</v>
      </c>
      <c r="E662" s="5">
        <v>29</v>
      </c>
      <c r="F662" s="5">
        <v>125</v>
      </c>
      <c r="G662" s="5">
        <v>27.7</v>
      </c>
      <c r="H662" s="5" t="s">
        <v>30</v>
      </c>
      <c r="I662" s="5">
        <v>0.182</v>
      </c>
      <c r="J662" s="5">
        <v>54</v>
      </c>
      <c r="K662" s="5" t="s">
        <v>38</v>
      </c>
      <c r="L662" s="15">
        <v>0</v>
      </c>
      <c r="M662" s="5" t="s">
        <v>22</v>
      </c>
      <c r="N662" s="5" t="s">
        <v>56</v>
      </c>
      <c r="O662" s="5" t="s">
        <v>31</v>
      </c>
      <c r="R662" s="5">
        <f>IF(diabetesoriginal[[#This Row],[Diabetes]]=$R$1,diabetesoriginal[[#This Row],[Skin Thickness]],NA())</f>
        <v>29</v>
      </c>
      <c r="S662" s="5" t="e">
        <f>IF(diabetesoriginal[[#This Row],[Diabetes]]=$S$1,diabetesoriginal[[#This Row],[Skin Thickness]],NA())</f>
        <v>#N/A</v>
      </c>
      <c r="U662" s="5">
        <f>IF(diabetesoriginal[[#This Row],[Diabetes]]=$U$1,diabetesoriginal[[#This Row],[Insulin]],NA())</f>
        <v>125</v>
      </c>
      <c r="V662" s="5" t="e">
        <f>IF(diabetesoriginal[[#This Row],[Diabetes]]=$S$1,diabetesoriginal[[#This Row],[Insulin]],NA())</f>
        <v>#N/A</v>
      </c>
    </row>
    <row r="663" spans="1:22" x14ac:dyDescent="0.25">
      <c r="A663" s="5">
        <v>1</v>
      </c>
      <c r="B663" s="5">
        <v>199</v>
      </c>
      <c r="C663" s="5">
        <v>76</v>
      </c>
      <c r="D663" s="5" t="s">
        <v>23</v>
      </c>
      <c r="E663" s="5">
        <v>43</v>
      </c>
      <c r="F663" s="5">
        <v>125</v>
      </c>
      <c r="G663" s="5">
        <v>42.9</v>
      </c>
      <c r="H663" s="5" t="s">
        <v>32</v>
      </c>
      <c r="I663" s="5">
        <v>1.3939999999999999</v>
      </c>
      <c r="J663" s="5">
        <v>22</v>
      </c>
      <c r="K663" s="5" t="s">
        <v>35</v>
      </c>
      <c r="L663" s="15">
        <v>1</v>
      </c>
      <c r="M663" s="5" t="s">
        <v>22</v>
      </c>
      <c r="N663" s="5" t="s">
        <v>56</v>
      </c>
      <c r="O663" s="5" t="s">
        <v>31</v>
      </c>
      <c r="R663" s="5" t="e">
        <f>IF(diabetesoriginal[[#This Row],[Diabetes]]=$R$1,diabetesoriginal[[#This Row],[Skin Thickness]],NA())</f>
        <v>#N/A</v>
      </c>
      <c r="S663" s="5">
        <f>IF(diabetesoriginal[[#This Row],[Diabetes]]=$S$1,diabetesoriginal[[#This Row],[Skin Thickness]],NA())</f>
        <v>43</v>
      </c>
      <c r="U663" s="5" t="e">
        <f>IF(diabetesoriginal[[#This Row],[Diabetes]]=$U$1,diabetesoriginal[[#This Row],[Insulin]],NA())</f>
        <v>#N/A</v>
      </c>
      <c r="V663" s="5">
        <f>IF(diabetesoriginal[[#This Row],[Diabetes]]=$S$1,diabetesoriginal[[#This Row],[Insulin]],NA())</f>
        <v>125</v>
      </c>
    </row>
    <row r="664" spans="1:22" x14ac:dyDescent="0.25">
      <c r="A664" s="5">
        <v>8</v>
      </c>
      <c r="B664" s="5">
        <v>167</v>
      </c>
      <c r="C664" s="5">
        <v>106</v>
      </c>
      <c r="D664" s="5" t="s">
        <v>26</v>
      </c>
      <c r="E664" s="5">
        <v>46</v>
      </c>
      <c r="F664" s="5">
        <v>231</v>
      </c>
      <c r="G664" s="5">
        <v>37.6</v>
      </c>
      <c r="H664" s="5" t="s">
        <v>29</v>
      </c>
      <c r="I664" s="5">
        <v>0.16500000000000001</v>
      </c>
      <c r="J664" s="5">
        <v>43</v>
      </c>
      <c r="K664" s="5" t="s">
        <v>37</v>
      </c>
      <c r="L664" s="15">
        <v>1</v>
      </c>
      <c r="M664" s="5" t="s">
        <v>22</v>
      </c>
      <c r="N664" s="5" t="s">
        <v>56</v>
      </c>
      <c r="O664" s="5" t="s">
        <v>59</v>
      </c>
      <c r="R664" s="5" t="e">
        <f>IF(diabetesoriginal[[#This Row],[Diabetes]]=$R$1,diabetesoriginal[[#This Row],[Skin Thickness]],NA())</f>
        <v>#N/A</v>
      </c>
      <c r="S664" s="5">
        <f>IF(diabetesoriginal[[#This Row],[Diabetes]]=$S$1,diabetesoriginal[[#This Row],[Skin Thickness]],NA())</f>
        <v>46</v>
      </c>
      <c r="U664" s="5" t="e">
        <f>IF(diabetesoriginal[[#This Row],[Diabetes]]=$U$1,diabetesoriginal[[#This Row],[Insulin]],NA())</f>
        <v>#N/A</v>
      </c>
      <c r="V664" s="5">
        <f>IF(diabetesoriginal[[#This Row],[Diabetes]]=$S$1,diabetesoriginal[[#This Row],[Insulin]],NA())</f>
        <v>231</v>
      </c>
    </row>
    <row r="665" spans="1:22" x14ac:dyDescent="0.25">
      <c r="A665" s="5">
        <v>9</v>
      </c>
      <c r="B665" s="5">
        <v>145</v>
      </c>
      <c r="C665" s="5">
        <v>80</v>
      </c>
      <c r="D665" s="5" t="s">
        <v>25</v>
      </c>
      <c r="E665" s="5">
        <v>46</v>
      </c>
      <c r="F665" s="5">
        <v>130</v>
      </c>
      <c r="G665" s="5">
        <v>37.9</v>
      </c>
      <c r="H665" s="5" t="s">
        <v>29</v>
      </c>
      <c r="I665" s="5">
        <v>0.63700000000000001</v>
      </c>
      <c r="J665" s="5">
        <v>40</v>
      </c>
      <c r="K665" s="5" t="s">
        <v>37</v>
      </c>
      <c r="L665" s="15">
        <v>1</v>
      </c>
      <c r="M665" s="5" t="s">
        <v>22</v>
      </c>
      <c r="N665" s="5" t="s">
        <v>56</v>
      </c>
      <c r="O665" s="5" t="s">
        <v>31</v>
      </c>
      <c r="R665" s="5" t="e">
        <f>IF(diabetesoriginal[[#This Row],[Diabetes]]=$R$1,diabetesoriginal[[#This Row],[Skin Thickness]],NA())</f>
        <v>#N/A</v>
      </c>
      <c r="S665" s="5">
        <f>IF(diabetesoriginal[[#This Row],[Diabetes]]=$S$1,diabetesoriginal[[#This Row],[Skin Thickness]],NA())</f>
        <v>46</v>
      </c>
      <c r="U665" s="5" t="e">
        <f>IF(diabetesoriginal[[#This Row],[Diabetes]]=$U$1,diabetesoriginal[[#This Row],[Insulin]],NA())</f>
        <v>#N/A</v>
      </c>
      <c r="V665" s="5">
        <f>IF(diabetesoriginal[[#This Row],[Diabetes]]=$S$1,diabetesoriginal[[#This Row],[Insulin]],NA())</f>
        <v>130</v>
      </c>
    </row>
    <row r="666" spans="1:22" x14ac:dyDescent="0.25">
      <c r="A666" s="5">
        <v>6</v>
      </c>
      <c r="B666" s="5">
        <v>115</v>
      </c>
      <c r="C666" s="5">
        <v>60</v>
      </c>
      <c r="D666" s="5" t="s">
        <v>23</v>
      </c>
      <c r="E666" s="5">
        <v>39</v>
      </c>
      <c r="F666" s="5">
        <v>125</v>
      </c>
      <c r="G666" s="5">
        <v>33.700000000000003</v>
      </c>
      <c r="H666" s="5" t="s">
        <v>29</v>
      </c>
      <c r="I666" s="5">
        <v>0.245</v>
      </c>
      <c r="J666" s="5">
        <v>40</v>
      </c>
      <c r="K666" s="5" t="s">
        <v>37</v>
      </c>
      <c r="L666" s="15">
        <v>1</v>
      </c>
      <c r="M666" s="5" t="s">
        <v>57</v>
      </c>
      <c r="N666" s="5" t="s">
        <v>56</v>
      </c>
      <c r="O666" s="5" t="s">
        <v>31</v>
      </c>
      <c r="R666" s="5" t="e">
        <f>IF(diabetesoriginal[[#This Row],[Diabetes]]=$R$1,diabetesoriginal[[#This Row],[Skin Thickness]],NA())</f>
        <v>#N/A</v>
      </c>
      <c r="S666" s="5">
        <f>IF(diabetesoriginal[[#This Row],[Diabetes]]=$S$1,diabetesoriginal[[#This Row],[Skin Thickness]],NA())</f>
        <v>39</v>
      </c>
      <c r="U666" s="5" t="e">
        <f>IF(diabetesoriginal[[#This Row],[Diabetes]]=$U$1,diabetesoriginal[[#This Row],[Insulin]],NA())</f>
        <v>#N/A</v>
      </c>
      <c r="V666" s="5">
        <f>IF(diabetesoriginal[[#This Row],[Diabetes]]=$S$1,diabetesoriginal[[#This Row],[Insulin]],NA())</f>
        <v>125</v>
      </c>
    </row>
    <row r="667" spans="1:22" x14ac:dyDescent="0.25">
      <c r="A667" s="5">
        <v>1</v>
      </c>
      <c r="B667" s="5">
        <v>112</v>
      </c>
      <c r="C667" s="5">
        <v>80</v>
      </c>
      <c r="D667" s="5" t="s">
        <v>25</v>
      </c>
      <c r="E667" s="5">
        <v>45</v>
      </c>
      <c r="F667" s="5">
        <v>132</v>
      </c>
      <c r="G667" s="5">
        <v>34.799999999999997</v>
      </c>
      <c r="H667" s="5" t="s">
        <v>29</v>
      </c>
      <c r="I667" s="5">
        <v>0.217</v>
      </c>
      <c r="J667" s="5">
        <v>24</v>
      </c>
      <c r="K667" s="5" t="s">
        <v>35</v>
      </c>
      <c r="L667" s="15">
        <v>0</v>
      </c>
      <c r="M667" s="5" t="s">
        <v>57</v>
      </c>
      <c r="N667" s="5" t="s">
        <v>56</v>
      </c>
      <c r="O667" s="5" t="s">
        <v>31</v>
      </c>
      <c r="R667" s="5">
        <f>IF(diabetesoriginal[[#This Row],[Diabetes]]=$R$1,diabetesoriginal[[#This Row],[Skin Thickness]],NA())</f>
        <v>45</v>
      </c>
      <c r="S667" s="5" t="e">
        <f>IF(diabetesoriginal[[#This Row],[Diabetes]]=$S$1,diabetesoriginal[[#This Row],[Skin Thickness]],NA())</f>
        <v>#N/A</v>
      </c>
      <c r="U667" s="5">
        <f>IF(diabetesoriginal[[#This Row],[Diabetes]]=$U$1,diabetesoriginal[[#This Row],[Insulin]],NA())</f>
        <v>132</v>
      </c>
      <c r="V667" s="5" t="e">
        <f>IF(diabetesoriginal[[#This Row],[Diabetes]]=$S$1,diabetesoriginal[[#This Row],[Insulin]],NA())</f>
        <v>#N/A</v>
      </c>
    </row>
    <row r="668" spans="1:22" x14ac:dyDescent="0.25">
      <c r="A668" s="5">
        <v>4</v>
      </c>
      <c r="B668" s="5">
        <v>145</v>
      </c>
      <c r="C668" s="5">
        <v>82</v>
      </c>
      <c r="D668" s="5" t="s">
        <v>25</v>
      </c>
      <c r="E668" s="5">
        <v>18</v>
      </c>
      <c r="F668" s="5">
        <v>125</v>
      </c>
      <c r="G668" s="5">
        <v>32.5</v>
      </c>
      <c r="H668" s="5" t="s">
        <v>29</v>
      </c>
      <c r="I668" s="5">
        <v>0.23499999999999999</v>
      </c>
      <c r="J668" s="5">
        <v>70</v>
      </c>
      <c r="K668" s="5" t="s">
        <v>47</v>
      </c>
      <c r="L668" s="15">
        <v>1</v>
      </c>
      <c r="M668" s="5" t="s">
        <v>22</v>
      </c>
      <c r="N668" s="5" t="s">
        <v>58</v>
      </c>
      <c r="O668" s="5" t="s">
        <v>31</v>
      </c>
      <c r="R668" s="5" t="e">
        <f>IF(diabetesoriginal[[#This Row],[Diabetes]]=$R$1,diabetesoriginal[[#This Row],[Skin Thickness]],NA())</f>
        <v>#N/A</v>
      </c>
      <c r="S668" s="5">
        <f>IF(diabetesoriginal[[#This Row],[Diabetes]]=$S$1,diabetesoriginal[[#This Row],[Skin Thickness]],NA())</f>
        <v>18</v>
      </c>
      <c r="U668" s="5" t="e">
        <f>IF(diabetesoriginal[[#This Row],[Diabetes]]=$U$1,diabetesoriginal[[#This Row],[Insulin]],NA())</f>
        <v>#N/A</v>
      </c>
      <c r="V668" s="5">
        <f>IF(diabetesoriginal[[#This Row],[Diabetes]]=$S$1,diabetesoriginal[[#This Row],[Insulin]],NA())</f>
        <v>125</v>
      </c>
    </row>
    <row r="669" spans="1:22" x14ac:dyDescent="0.25">
      <c r="A669" s="5">
        <v>10</v>
      </c>
      <c r="B669" s="5">
        <v>111</v>
      </c>
      <c r="C669" s="5">
        <v>70</v>
      </c>
      <c r="D669" s="5" t="s">
        <v>23</v>
      </c>
      <c r="E669" s="5">
        <v>27</v>
      </c>
      <c r="F669" s="5">
        <v>125</v>
      </c>
      <c r="G669" s="5">
        <v>27.5</v>
      </c>
      <c r="H669" s="5" t="s">
        <v>30</v>
      </c>
      <c r="I669" s="5">
        <v>0.14099999999999999</v>
      </c>
      <c r="J669" s="5">
        <v>40</v>
      </c>
      <c r="K669" s="5" t="s">
        <v>37</v>
      </c>
      <c r="L669" s="15">
        <v>1</v>
      </c>
      <c r="M669" s="5" t="s">
        <v>57</v>
      </c>
      <c r="N669" s="5" t="s">
        <v>56</v>
      </c>
      <c r="O669" s="5" t="s">
        <v>31</v>
      </c>
      <c r="R669" s="5" t="e">
        <f>IF(diabetesoriginal[[#This Row],[Diabetes]]=$R$1,diabetesoriginal[[#This Row],[Skin Thickness]],NA())</f>
        <v>#N/A</v>
      </c>
      <c r="S669" s="5">
        <f>IF(diabetesoriginal[[#This Row],[Diabetes]]=$S$1,diabetesoriginal[[#This Row],[Skin Thickness]],NA())</f>
        <v>27</v>
      </c>
      <c r="U669" s="5" t="e">
        <f>IF(diabetesoriginal[[#This Row],[Diabetes]]=$U$1,diabetesoriginal[[#This Row],[Insulin]],NA())</f>
        <v>#N/A</v>
      </c>
      <c r="V669" s="5">
        <f>IF(diabetesoriginal[[#This Row],[Diabetes]]=$S$1,diabetesoriginal[[#This Row],[Insulin]],NA())</f>
        <v>125</v>
      </c>
    </row>
    <row r="670" spans="1:22" x14ac:dyDescent="0.25">
      <c r="A670" s="5">
        <v>6</v>
      </c>
      <c r="B670" s="5">
        <v>98</v>
      </c>
      <c r="C670" s="5">
        <v>58</v>
      </c>
      <c r="D670" s="5" t="s">
        <v>23</v>
      </c>
      <c r="E670" s="5">
        <v>33</v>
      </c>
      <c r="F670" s="5">
        <v>190</v>
      </c>
      <c r="G670" s="5">
        <v>34</v>
      </c>
      <c r="H670" s="5" t="s">
        <v>29</v>
      </c>
      <c r="I670" s="5">
        <v>0.43</v>
      </c>
      <c r="J670" s="5">
        <v>43</v>
      </c>
      <c r="K670" s="5" t="s">
        <v>37</v>
      </c>
      <c r="L670" s="15">
        <v>0</v>
      </c>
      <c r="M670" s="5" t="s">
        <v>57</v>
      </c>
      <c r="N670" s="5" t="s">
        <v>56</v>
      </c>
      <c r="O670" s="5" t="s">
        <v>59</v>
      </c>
      <c r="R670" s="5">
        <f>IF(diabetesoriginal[[#This Row],[Diabetes]]=$R$1,diabetesoriginal[[#This Row],[Skin Thickness]],NA())</f>
        <v>33</v>
      </c>
      <c r="S670" s="5" t="e">
        <f>IF(diabetesoriginal[[#This Row],[Diabetes]]=$S$1,diabetesoriginal[[#This Row],[Skin Thickness]],NA())</f>
        <v>#N/A</v>
      </c>
      <c r="U670" s="5">
        <f>IF(diabetesoriginal[[#This Row],[Diabetes]]=$U$1,diabetesoriginal[[#This Row],[Insulin]],NA())</f>
        <v>190</v>
      </c>
      <c r="V670" s="5" t="e">
        <f>IF(diabetesoriginal[[#This Row],[Diabetes]]=$S$1,diabetesoriginal[[#This Row],[Insulin]],NA())</f>
        <v>#N/A</v>
      </c>
    </row>
    <row r="671" spans="1:22" x14ac:dyDescent="0.25">
      <c r="A671" s="5">
        <v>9</v>
      </c>
      <c r="B671" s="5">
        <v>154</v>
      </c>
      <c r="C671" s="5">
        <v>78</v>
      </c>
      <c r="D671" s="5" t="s">
        <v>23</v>
      </c>
      <c r="E671" s="5">
        <v>30</v>
      </c>
      <c r="F671" s="5">
        <v>100</v>
      </c>
      <c r="G671" s="5">
        <v>30.9</v>
      </c>
      <c r="H671" s="5" t="s">
        <v>29</v>
      </c>
      <c r="I671" s="5">
        <v>0.16400000000000001</v>
      </c>
      <c r="J671" s="5">
        <v>45</v>
      </c>
      <c r="K671" s="5" t="s">
        <v>37</v>
      </c>
      <c r="L671" s="15">
        <v>0</v>
      </c>
      <c r="M671" s="5" t="s">
        <v>22</v>
      </c>
      <c r="N671" s="5" t="s">
        <v>56</v>
      </c>
      <c r="O671" s="5" t="s">
        <v>31</v>
      </c>
      <c r="R671" s="5">
        <f>IF(diabetesoriginal[[#This Row],[Diabetes]]=$R$1,diabetesoriginal[[#This Row],[Skin Thickness]],NA())</f>
        <v>30</v>
      </c>
      <c r="S671" s="5" t="e">
        <f>IF(diabetesoriginal[[#This Row],[Diabetes]]=$S$1,diabetesoriginal[[#This Row],[Skin Thickness]],NA())</f>
        <v>#N/A</v>
      </c>
      <c r="U671" s="5">
        <f>IF(diabetesoriginal[[#This Row],[Diabetes]]=$U$1,diabetesoriginal[[#This Row],[Insulin]],NA())</f>
        <v>100</v>
      </c>
      <c r="V671" s="5" t="e">
        <f>IF(diabetesoriginal[[#This Row],[Diabetes]]=$S$1,diabetesoriginal[[#This Row],[Insulin]],NA())</f>
        <v>#N/A</v>
      </c>
    </row>
    <row r="672" spans="1:22" x14ac:dyDescent="0.25">
      <c r="A672" s="5">
        <v>6</v>
      </c>
      <c r="B672" s="5">
        <v>165</v>
      </c>
      <c r="C672" s="5">
        <v>68</v>
      </c>
      <c r="D672" s="5" t="s">
        <v>23</v>
      </c>
      <c r="E672" s="5">
        <v>26</v>
      </c>
      <c r="F672" s="5">
        <v>168</v>
      </c>
      <c r="G672" s="5">
        <v>33.6</v>
      </c>
      <c r="H672" s="5" t="s">
        <v>29</v>
      </c>
      <c r="I672" s="5">
        <v>0.63100000000000001</v>
      </c>
      <c r="J672" s="5">
        <v>49</v>
      </c>
      <c r="K672" s="5" t="s">
        <v>37</v>
      </c>
      <c r="L672" s="15">
        <v>0</v>
      </c>
      <c r="M672" s="5" t="s">
        <v>22</v>
      </c>
      <c r="N672" s="5" t="s">
        <v>56</v>
      </c>
      <c r="O672" s="5" t="s">
        <v>59</v>
      </c>
      <c r="R672" s="5">
        <f>IF(diabetesoriginal[[#This Row],[Diabetes]]=$R$1,diabetesoriginal[[#This Row],[Skin Thickness]],NA())</f>
        <v>26</v>
      </c>
      <c r="S672" s="5" t="e">
        <f>IF(diabetesoriginal[[#This Row],[Diabetes]]=$S$1,diabetesoriginal[[#This Row],[Skin Thickness]],NA())</f>
        <v>#N/A</v>
      </c>
      <c r="U672" s="5">
        <f>IF(diabetesoriginal[[#This Row],[Diabetes]]=$U$1,diabetesoriginal[[#This Row],[Insulin]],NA())</f>
        <v>168</v>
      </c>
      <c r="V672" s="5" t="e">
        <f>IF(diabetesoriginal[[#This Row],[Diabetes]]=$S$1,diabetesoriginal[[#This Row],[Insulin]],NA())</f>
        <v>#N/A</v>
      </c>
    </row>
    <row r="673" spans="1:22" x14ac:dyDescent="0.25">
      <c r="A673" s="5">
        <v>1</v>
      </c>
      <c r="B673" s="5">
        <v>99</v>
      </c>
      <c r="C673" s="5">
        <v>58</v>
      </c>
      <c r="D673" s="5" t="s">
        <v>23</v>
      </c>
      <c r="E673" s="5">
        <v>10</v>
      </c>
      <c r="F673" s="5">
        <v>125</v>
      </c>
      <c r="G673" s="5">
        <v>25.4</v>
      </c>
      <c r="H673" s="5" t="s">
        <v>30</v>
      </c>
      <c r="I673" s="5">
        <v>0.55100000000000005</v>
      </c>
      <c r="J673" s="5">
        <v>21</v>
      </c>
      <c r="K673" s="5" t="s">
        <v>35</v>
      </c>
      <c r="L673" s="15">
        <v>0</v>
      </c>
      <c r="M673" s="5" t="s">
        <v>57</v>
      </c>
      <c r="N673" s="5" t="s">
        <v>58</v>
      </c>
      <c r="O673" s="5" t="s">
        <v>31</v>
      </c>
      <c r="R673" s="5">
        <f>IF(diabetesoriginal[[#This Row],[Diabetes]]=$R$1,diabetesoriginal[[#This Row],[Skin Thickness]],NA())</f>
        <v>10</v>
      </c>
      <c r="S673" s="5" t="e">
        <f>IF(diabetesoriginal[[#This Row],[Diabetes]]=$S$1,diabetesoriginal[[#This Row],[Skin Thickness]],NA())</f>
        <v>#N/A</v>
      </c>
      <c r="U673" s="5">
        <f>IF(diabetesoriginal[[#This Row],[Diabetes]]=$U$1,diabetesoriginal[[#This Row],[Insulin]],NA())</f>
        <v>125</v>
      </c>
      <c r="V673" s="5" t="e">
        <f>IF(diabetesoriginal[[#This Row],[Diabetes]]=$S$1,diabetesoriginal[[#This Row],[Insulin]],NA())</f>
        <v>#N/A</v>
      </c>
    </row>
    <row r="674" spans="1:22" x14ac:dyDescent="0.25">
      <c r="A674" s="5">
        <v>10</v>
      </c>
      <c r="B674" s="5">
        <v>68</v>
      </c>
      <c r="C674" s="5">
        <v>106</v>
      </c>
      <c r="D674" s="5" t="s">
        <v>26</v>
      </c>
      <c r="E674" s="5">
        <v>23</v>
      </c>
      <c r="F674" s="5">
        <v>49</v>
      </c>
      <c r="G674" s="5">
        <v>35.5</v>
      </c>
      <c r="H674" s="5" t="s">
        <v>29</v>
      </c>
      <c r="I674" s="5">
        <v>0.28499999999999998</v>
      </c>
      <c r="J674" s="5">
        <v>47</v>
      </c>
      <c r="K674" s="5" t="s">
        <v>37</v>
      </c>
      <c r="L674" s="15">
        <v>0</v>
      </c>
      <c r="M674" s="5" t="s">
        <v>57</v>
      </c>
      <c r="N674" s="5" t="s">
        <v>58</v>
      </c>
      <c r="O674" s="5" t="s">
        <v>31</v>
      </c>
      <c r="R674" s="5">
        <f>IF(diabetesoriginal[[#This Row],[Diabetes]]=$R$1,diabetesoriginal[[#This Row],[Skin Thickness]],NA())</f>
        <v>23</v>
      </c>
      <c r="S674" s="5" t="e">
        <f>IF(diabetesoriginal[[#This Row],[Diabetes]]=$S$1,diabetesoriginal[[#This Row],[Skin Thickness]],NA())</f>
        <v>#N/A</v>
      </c>
      <c r="U674" s="5">
        <f>IF(diabetesoriginal[[#This Row],[Diabetes]]=$U$1,diabetesoriginal[[#This Row],[Insulin]],NA())</f>
        <v>49</v>
      </c>
      <c r="V674" s="5" t="e">
        <f>IF(diabetesoriginal[[#This Row],[Diabetes]]=$S$1,diabetesoriginal[[#This Row],[Insulin]],NA())</f>
        <v>#N/A</v>
      </c>
    </row>
    <row r="675" spans="1:22" x14ac:dyDescent="0.25">
      <c r="A675" s="5">
        <v>3</v>
      </c>
      <c r="B675" s="5">
        <v>123</v>
      </c>
      <c r="C675" s="5">
        <v>100</v>
      </c>
      <c r="D675" s="5" t="s">
        <v>26</v>
      </c>
      <c r="E675" s="5">
        <v>35</v>
      </c>
      <c r="F675" s="5">
        <v>240</v>
      </c>
      <c r="G675" s="5">
        <v>57.3</v>
      </c>
      <c r="H675" s="5" t="s">
        <v>32</v>
      </c>
      <c r="I675" s="5">
        <v>0.88</v>
      </c>
      <c r="J675" s="5">
        <v>22</v>
      </c>
      <c r="K675" s="5" t="s">
        <v>35</v>
      </c>
      <c r="L675" s="15">
        <v>0</v>
      </c>
      <c r="M675" s="5" t="s">
        <v>57</v>
      </c>
      <c r="N675" s="5" t="s">
        <v>56</v>
      </c>
      <c r="O675" s="5" t="s">
        <v>59</v>
      </c>
      <c r="R675" s="5">
        <f>IF(diabetesoriginal[[#This Row],[Diabetes]]=$R$1,diabetesoriginal[[#This Row],[Skin Thickness]],NA())</f>
        <v>35</v>
      </c>
      <c r="S675" s="5" t="e">
        <f>IF(diabetesoriginal[[#This Row],[Diabetes]]=$S$1,diabetesoriginal[[#This Row],[Skin Thickness]],NA())</f>
        <v>#N/A</v>
      </c>
      <c r="U675" s="5">
        <f>IF(diabetesoriginal[[#This Row],[Diabetes]]=$U$1,diabetesoriginal[[#This Row],[Insulin]],NA())</f>
        <v>240</v>
      </c>
      <c r="V675" s="5" t="e">
        <f>IF(diabetesoriginal[[#This Row],[Diabetes]]=$S$1,diabetesoriginal[[#This Row],[Insulin]],NA())</f>
        <v>#N/A</v>
      </c>
    </row>
    <row r="676" spans="1:22" x14ac:dyDescent="0.25">
      <c r="A676" s="5">
        <v>8</v>
      </c>
      <c r="B676" s="5">
        <v>91</v>
      </c>
      <c r="C676" s="5">
        <v>82</v>
      </c>
      <c r="D676" s="5" t="s">
        <v>25</v>
      </c>
      <c r="E676" s="5">
        <v>29</v>
      </c>
      <c r="F676" s="5">
        <v>125</v>
      </c>
      <c r="G676" s="5">
        <v>35.6</v>
      </c>
      <c r="H676" s="5" t="s">
        <v>29</v>
      </c>
      <c r="I676" s="5">
        <v>0.58699999999999997</v>
      </c>
      <c r="J676" s="5">
        <v>68</v>
      </c>
      <c r="K676" s="5" t="s">
        <v>39</v>
      </c>
      <c r="L676" s="15">
        <v>0</v>
      </c>
      <c r="M676" s="5" t="s">
        <v>57</v>
      </c>
      <c r="N676" s="5" t="s">
        <v>56</v>
      </c>
      <c r="O676" s="5" t="s">
        <v>31</v>
      </c>
      <c r="R676" s="5">
        <f>IF(diabetesoriginal[[#This Row],[Diabetes]]=$R$1,diabetesoriginal[[#This Row],[Skin Thickness]],NA())</f>
        <v>29</v>
      </c>
      <c r="S676" s="5" t="e">
        <f>IF(diabetesoriginal[[#This Row],[Diabetes]]=$S$1,diabetesoriginal[[#This Row],[Skin Thickness]],NA())</f>
        <v>#N/A</v>
      </c>
      <c r="U676" s="5">
        <f>IF(diabetesoriginal[[#This Row],[Diabetes]]=$U$1,diabetesoriginal[[#This Row],[Insulin]],NA())</f>
        <v>125</v>
      </c>
      <c r="V676" s="5" t="e">
        <f>IF(diabetesoriginal[[#This Row],[Diabetes]]=$S$1,diabetesoriginal[[#This Row],[Insulin]],NA())</f>
        <v>#N/A</v>
      </c>
    </row>
    <row r="677" spans="1:22" x14ac:dyDescent="0.25">
      <c r="A677" s="5">
        <v>6</v>
      </c>
      <c r="B677" s="5">
        <v>195</v>
      </c>
      <c r="C677" s="5">
        <v>70</v>
      </c>
      <c r="D677" s="5" t="s">
        <v>23</v>
      </c>
      <c r="E677" s="5">
        <v>29</v>
      </c>
      <c r="F677" s="5">
        <v>125</v>
      </c>
      <c r="G677" s="5">
        <v>30.9</v>
      </c>
      <c r="H677" s="5" t="s">
        <v>29</v>
      </c>
      <c r="I677" s="5">
        <v>0.32800000000000001</v>
      </c>
      <c r="J677" s="5">
        <v>31</v>
      </c>
      <c r="K677" s="5" t="s">
        <v>36</v>
      </c>
      <c r="L677" s="15">
        <v>1</v>
      </c>
      <c r="M677" s="5" t="s">
        <v>22</v>
      </c>
      <c r="N677" s="5" t="s">
        <v>56</v>
      </c>
      <c r="O677" s="5" t="s">
        <v>31</v>
      </c>
      <c r="R677" s="5" t="e">
        <f>IF(diabetesoriginal[[#This Row],[Diabetes]]=$R$1,diabetesoriginal[[#This Row],[Skin Thickness]],NA())</f>
        <v>#N/A</v>
      </c>
      <c r="S677" s="5">
        <f>IF(diabetesoriginal[[#This Row],[Diabetes]]=$S$1,diabetesoriginal[[#This Row],[Skin Thickness]],NA())</f>
        <v>29</v>
      </c>
      <c r="U677" s="5" t="e">
        <f>IF(diabetesoriginal[[#This Row],[Diabetes]]=$U$1,diabetesoriginal[[#This Row],[Insulin]],NA())</f>
        <v>#N/A</v>
      </c>
      <c r="V677" s="5">
        <f>IF(diabetesoriginal[[#This Row],[Diabetes]]=$S$1,diabetesoriginal[[#This Row],[Insulin]],NA())</f>
        <v>125</v>
      </c>
    </row>
    <row r="678" spans="1:22" x14ac:dyDescent="0.25">
      <c r="A678" s="5">
        <v>9</v>
      </c>
      <c r="B678" s="5">
        <v>156</v>
      </c>
      <c r="C678" s="5">
        <v>86</v>
      </c>
      <c r="D678" s="5" t="s">
        <v>25</v>
      </c>
      <c r="E678" s="5">
        <v>29</v>
      </c>
      <c r="F678" s="5">
        <v>125</v>
      </c>
      <c r="G678" s="5">
        <v>24.8</v>
      </c>
      <c r="H678" s="5" t="s">
        <v>31</v>
      </c>
      <c r="I678" s="5">
        <v>0.23</v>
      </c>
      <c r="J678" s="5">
        <v>53</v>
      </c>
      <c r="K678" s="5" t="s">
        <v>38</v>
      </c>
      <c r="L678" s="15">
        <v>1</v>
      </c>
      <c r="M678" s="5" t="s">
        <v>22</v>
      </c>
      <c r="N678" s="5" t="s">
        <v>56</v>
      </c>
      <c r="O678" s="5" t="s">
        <v>31</v>
      </c>
      <c r="R678" s="5" t="e">
        <f>IF(diabetesoriginal[[#This Row],[Diabetes]]=$R$1,diabetesoriginal[[#This Row],[Skin Thickness]],NA())</f>
        <v>#N/A</v>
      </c>
      <c r="S678" s="5">
        <f>IF(diabetesoriginal[[#This Row],[Diabetes]]=$S$1,diabetesoriginal[[#This Row],[Skin Thickness]],NA())</f>
        <v>29</v>
      </c>
      <c r="U678" s="5" t="e">
        <f>IF(diabetesoriginal[[#This Row],[Diabetes]]=$U$1,diabetesoriginal[[#This Row],[Insulin]],NA())</f>
        <v>#N/A</v>
      </c>
      <c r="V678" s="5">
        <f>IF(diabetesoriginal[[#This Row],[Diabetes]]=$S$1,diabetesoriginal[[#This Row],[Insulin]],NA())</f>
        <v>125</v>
      </c>
    </row>
    <row r="679" spans="1:22" x14ac:dyDescent="0.25">
      <c r="A679" s="5">
        <v>0</v>
      </c>
      <c r="B679" s="5">
        <v>93</v>
      </c>
      <c r="C679" s="5">
        <v>60</v>
      </c>
      <c r="D679" s="5" t="s">
        <v>23</v>
      </c>
      <c r="E679" s="5">
        <v>29</v>
      </c>
      <c r="F679" s="5">
        <v>125</v>
      </c>
      <c r="G679" s="5">
        <v>35.299999999999997</v>
      </c>
      <c r="H679" s="5" t="s">
        <v>29</v>
      </c>
      <c r="I679" s="5">
        <v>0.26300000000000001</v>
      </c>
      <c r="J679" s="5">
        <v>25</v>
      </c>
      <c r="K679" s="5" t="s">
        <v>35</v>
      </c>
      <c r="L679" s="15">
        <v>0</v>
      </c>
      <c r="M679" s="5" t="s">
        <v>57</v>
      </c>
      <c r="N679" s="5" t="s">
        <v>56</v>
      </c>
      <c r="O679" s="5" t="s">
        <v>31</v>
      </c>
      <c r="R679" s="5">
        <f>IF(diabetesoriginal[[#This Row],[Diabetes]]=$R$1,diabetesoriginal[[#This Row],[Skin Thickness]],NA())</f>
        <v>29</v>
      </c>
      <c r="S679" s="5" t="e">
        <f>IF(diabetesoriginal[[#This Row],[Diabetes]]=$S$1,diabetesoriginal[[#This Row],[Skin Thickness]],NA())</f>
        <v>#N/A</v>
      </c>
      <c r="U679" s="5">
        <f>IF(diabetesoriginal[[#This Row],[Diabetes]]=$U$1,diabetesoriginal[[#This Row],[Insulin]],NA())</f>
        <v>125</v>
      </c>
      <c r="V679" s="5" t="e">
        <f>IF(diabetesoriginal[[#This Row],[Diabetes]]=$S$1,diabetesoriginal[[#This Row],[Insulin]],NA())</f>
        <v>#N/A</v>
      </c>
    </row>
    <row r="680" spans="1:22" x14ac:dyDescent="0.25">
      <c r="A680" s="5">
        <v>3</v>
      </c>
      <c r="B680" s="5">
        <v>121</v>
      </c>
      <c r="C680" s="5">
        <v>52</v>
      </c>
      <c r="D680" s="5" t="s">
        <v>23</v>
      </c>
      <c r="E680" s="5">
        <v>29</v>
      </c>
      <c r="F680" s="5">
        <v>125</v>
      </c>
      <c r="G680" s="5">
        <v>36</v>
      </c>
      <c r="H680" s="5" t="s">
        <v>29</v>
      </c>
      <c r="I680" s="5">
        <v>0.127</v>
      </c>
      <c r="J680" s="5">
        <v>25</v>
      </c>
      <c r="K680" s="5" t="s">
        <v>35</v>
      </c>
      <c r="L680" s="15">
        <v>1</v>
      </c>
      <c r="M680" s="5" t="s">
        <v>57</v>
      </c>
      <c r="N680" s="5" t="s">
        <v>56</v>
      </c>
      <c r="O680" s="5" t="s">
        <v>31</v>
      </c>
      <c r="R680" s="5" t="e">
        <f>IF(diabetesoriginal[[#This Row],[Diabetes]]=$R$1,diabetesoriginal[[#This Row],[Skin Thickness]],NA())</f>
        <v>#N/A</v>
      </c>
      <c r="S680" s="5">
        <f>IF(diabetesoriginal[[#This Row],[Diabetes]]=$S$1,diabetesoriginal[[#This Row],[Skin Thickness]],NA())</f>
        <v>29</v>
      </c>
      <c r="U680" s="5" t="e">
        <f>IF(diabetesoriginal[[#This Row],[Diabetes]]=$U$1,diabetesoriginal[[#This Row],[Insulin]],NA())</f>
        <v>#N/A</v>
      </c>
      <c r="V680" s="5">
        <f>IF(diabetesoriginal[[#This Row],[Diabetes]]=$S$1,diabetesoriginal[[#This Row],[Insulin]],NA())</f>
        <v>125</v>
      </c>
    </row>
    <row r="681" spans="1:22" x14ac:dyDescent="0.25">
      <c r="A681" s="5">
        <v>2</v>
      </c>
      <c r="B681" s="5">
        <v>101</v>
      </c>
      <c r="C681" s="5">
        <v>58</v>
      </c>
      <c r="D681" s="5" t="s">
        <v>23</v>
      </c>
      <c r="E681" s="5">
        <v>17</v>
      </c>
      <c r="F681" s="5">
        <v>265</v>
      </c>
      <c r="G681" s="5">
        <v>24.2</v>
      </c>
      <c r="H681" s="5" t="s">
        <v>31</v>
      </c>
      <c r="I681" s="5">
        <v>0.61399999999999999</v>
      </c>
      <c r="J681" s="5">
        <v>23</v>
      </c>
      <c r="K681" s="5" t="s">
        <v>35</v>
      </c>
      <c r="L681" s="15">
        <v>0</v>
      </c>
      <c r="M681" s="5" t="s">
        <v>57</v>
      </c>
      <c r="N681" s="5" t="s">
        <v>58</v>
      </c>
      <c r="O681" s="5" t="s">
        <v>59</v>
      </c>
      <c r="R681" s="5">
        <f>IF(diabetesoriginal[[#This Row],[Diabetes]]=$R$1,diabetesoriginal[[#This Row],[Skin Thickness]],NA())</f>
        <v>17</v>
      </c>
      <c r="S681" s="5" t="e">
        <f>IF(diabetesoriginal[[#This Row],[Diabetes]]=$S$1,diabetesoriginal[[#This Row],[Skin Thickness]],NA())</f>
        <v>#N/A</v>
      </c>
      <c r="U681" s="5">
        <f>IF(diabetesoriginal[[#This Row],[Diabetes]]=$U$1,diabetesoriginal[[#This Row],[Insulin]],NA())</f>
        <v>265</v>
      </c>
      <c r="V681" s="5" t="e">
        <f>IF(diabetesoriginal[[#This Row],[Diabetes]]=$S$1,diabetesoriginal[[#This Row],[Insulin]],NA())</f>
        <v>#N/A</v>
      </c>
    </row>
    <row r="682" spans="1:22" x14ac:dyDescent="0.25">
      <c r="A682" s="5">
        <v>2</v>
      </c>
      <c r="B682" s="5">
        <v>56</v>
      </c>
      <c r="C682" s="5">
        <v>56</v>
      </c>
      <c r="D682" s="5" t="s">
        <v>23</v>
      </c>
      <c r="E682" s="5">
        <v>28</v>
      </c>
      <c r="F682" s="5">
        <v>45</v>
      </c>
      <c r="G682" s="5">
        <v>24.2</v>
      </c>
      <c r="H682" s="5" t="s">
        <v>31</v>
      </c>
      <c r="I682" s="5">
        <v>0.33200000000000002</v>
      </c>
      <c r="J682" s="5">
        <v>22</v>
      </c>
      <c r="K682" s="5" t="s">
        <v>35</v>
      </c>
      <c r="L682" s="15">
        <v>0</v>
      </c>
      <c r="M682" s="5" t="s">
        <v>57</v>
      </c>
      <c r="N682" s="5" t="s">
        <v>56</v>
      </c>
      <c r="O682" s="5" t="s">
        <v>31</v>
      </c>
      <c r="R682" s="5">
        <f>IF(diabetesoriginal[[#This Row],[Diabetes]]=$R$1,diabetesoriginal[[#This Row],[Skin Thickness]],NA())</f>
        <v>28</v>
      </c>
      <c r="S682" s="5" t="e">
        <f>IF(diabetesoriginal[[#This Row],[Diabetes]]=$S$1,diabetesoriginal[[#This Row],[Skin Thickness]],NA())</f>
        <v>#N/A</v>
      </c>
      <c r="U682" s="5">
        <f>IF(diabetesoriginal[[#This Row],[Diabetes]]=$U$1,diabetesoriginal[[#This Row],[Insulin]],NA())</f>
        <v>45</v>
      </c>
      <c r="V682" s="5" t="e">
        <f>IF(diabetesoriginal[[#This Row],[Diabetes]]=$S$1,diabetesoriginal[[#This Row],[Insulin]],NA())</f>
        <v>#N/A</v>
      </c>
    </row>
    <row r="683" spans="1:22" x14ac:dyDescent="0.25">
      <c r="A683" s="5">
        <v>0</v>
      </c>
      <c r="B683" s="5">
        <v>162</v>
      </c>
      <c r="C683" s="5">
        <v>76</v>
      </c>
      <c r="D683" s="5" t="s">
        <v>23</v>
      </c>
      <c r="E683" s="5">
        <v>36</v>
      </c>
      <c r="F683" s="5">
        <v>125</v>
      </c>
      <c r="G683" s="5">
        <v>49.6</v>
      </c>
      <c r="H683" s="5" t="s">
        <v>32</v>
      </c>
      <c r="I683" s="5">
        <v>0.36399999999999999</v>
      </c>
      <c r="J683" s="5">
        <v>26</v>
      </c>
      <c r="K683" s="5" t="s">
        <v>35</v>
      </c>
      <c r="L683" s="15">
        <v>1</v>
      </c>
      <c r="M683" s="5" t="s">
        <v>22</v>
      </c>
      <c r="N683" s="5" t="s">
        <v>56</v>
      </c>
      <c r="O683" s="5" t="s">
        <v>31</v>
      </c>
      <c r="R683" s="5" t="e">
        <f>IF(diabetesoriginal[[#This Row],[Diabetes]]=$R$1,diabetesoriginal[[#This Row],[Skin Thickness]],NA())</f>
        <v>#N/A</v>
      </c>
      <c r="S683" s="5">
        <f>IF(diabetesoriginal[[#This Row],[Diabetes]]=$S$1,diabetesoriginal[[#This Row],[Skin Thickness]],NA())</f>
        <v>36</v>
      </c>
      <c r="U683" s="5" t="e">
        <f>IF(diabetesoriginal[[#This Row],[Diabetes]]=$U$1,diabetesoriginal[[#This Row],[Insulin]],NA())</f>
        <v>#N/A</v>
      </c>
      <c r="V683" s="5">
        <f>IF(diabetesoriginal[[#This Row],[Diabetes]]=$S$1,diabetesoriginal[[#This Row],[Insulin]],NA())</f>
        <v>125</v>
      </c>
    </row>
    <row r="684" spans="1:22" x14ac:dyDescent="0.25">
      <c r="A684" s="5">
        <v>0</v>
      </c>
      <c r="B684" s="5">
        <v>95</v>
      </c>
      <c r="C684" s="5">
        <v>64</v>
      </c>
      <c r="D684" s="5" t="s">
        <v>23</v>
      </c>
      <c r="E684" s="5">
        <v>39</v>
      </c>
      <c r="F684" s="5">
        <v>105</v>
      </c>
      <c r="G684" s="5">
        <v>44.6</v>
      </c>
      <c r="H684" s="5" t="s">
        <v>32</v>
      </c>
      <c r="I684" s="5">
        <v>0.36599999999999999</v>
      </c>
      <c r="J684" s="5">
        <v>22</v>
      </c>
      <c r="K684" s="5" t="s">
        <v>35</v>
      </c>
      <c r="L684" s="15">
        <v>0</v>
      </c>
      <c r="M684" s="5" t="s">
        <v>57</v>
      </c>
      <c r="N684" s="5" t="s">
        <v>56</v>
      </c>
      <c r="O684" s="5" t="s">
        <v>31</v>
      </c>
      <c r="R684" s="5">
        <f>IF(diabetesoriginal[[#This Row],[Diabetes]]=$R$1,diabetesoriginal[[#This Row],[Skin Thickness]],NA())</f>
        <v>39</v>
      </c>
      <c r="S684" s="5" t="e">
        <f>IF(diabetesoriginal[[#This Row],[Diabetes]]=$S$1,diabetesoriginal[[#This Row],[Skin Thickness]],NA())</f>
        <v>#N/A</v>
      </c>
      <c r="U684" s="5">
        <f>IF(diabetesoriginal[[#This Row],[Diabetes]]=$U$1,diabetesoriginal[[#This Row],[Insulin]],NA())</f>
        <v>105</v>
      </c>
      <c r="V684" s="5" t="e">
        <f>IF(diabetesoriginal[[#This Row],[Diabetes]]=$S$1,diabetesoriginal[[#This Row],[Insulin]],NA())</f>
        <v>#N/A</v>
      </c>
    </row>
    <row r="685" spans="1:22" x14ac:dyDescent="0.25">
      <c r="A685" s="5">
        <v>4</v>
      </c>
      <c r="B685" s="5">
        <v>125</v>
      </c>
      <c r="C685" s="5">
        <v>80</v>
      </c>
      <c r="D685" s="5" t="s">
        <v>25</v>
      </c>
      <c r="E685" s="5">
        <v>29</v>
      </c>
      <c r="F685" s="5">
        <v>125</v>
      </c>
      <c r="G685" s="5">
        <v>32.299999999999997</v>
      </c>
      <c r="H685" s="5" t="s">
        <v>29</v>
      </c>
      <c r="I685" s="5">
        <v>0.53600000000000003</v>
      </c>
      <c r="J685" s="5">
        <v>27</v>
      </c>
      <c r="K685" s="5" t="s">
        <v>35</v>
      </c>
      <c r="L685" s="15">
        <v>1</v>
      </c>
      <c r="M685" s="5" t="s">
        <v>57</v>
      </c>
      <c r="N685" s="5" t="s">
        <v>56</v>
      </c>
      <c r="O685" s="5" t="s">
        <v>31</v>
      </c>
      <c r="R685" s="5" t="e">
        <f>IF(diabetesoriginal[[#This Row],[Diabetes]]=$R$1,diabetesoriginal[[#This Row],[Skin Thickness]],NA())</f>
        <v>#N/A</v>
      </c>
      <c r="S685" s="5">
        <f>IF(diabetesoriginal[[#This Row],[Diabetes]]=$S$1,diabetesoriginal[[#This Row],[Skin Thickness]],NA())</f>
        <v>29</v>
      </c>
      <c r="U685" s="5" t="e">
        <f>IF(diabetesoriginal[[#This Row],[Diabetes]]=$U$1,diabetesoriginal[[#This Row],[Insulin]],NA())</f>
        <v>#N/A</v>
      </c>
      <c r="V685" s="5">
        <f>IF(diabetesoriginal[[#This Row],[Diabetes]]=$S$1,diabetesoriginal[[#This Row],[Insulin]],NA())</f>
        <v>125</v>
      </c>
    </row>
    <row r="686" spans="1:22" x14ac:dyDescent="0.25">
      <c r="A686" s="5">
        <v>5</v>
      </c>
      <c r="B686" s="5">
        <v>136</v>
      </c>
      <c r="C686" s="5">
        <v>82</v>
      </c>
      <c r="D686" s="5" t="s">
        <v>25</v>
      </c>
      <c r="E686" s="5">
        <v>29</v>
      </c>
      <c r="F686" s="5">
        <v>125</v>
      </c>
      <c r="G686" s="5">
        <v>32.299999999999997</v>
      </c>
      <c r="H686" s="5" t="s">
        <v>29</v>
      </c>
      <c r="I686" s="5">
        <v>0.64</v>
      </c>
      <c r="J686" s="5">
        <v>69</v>
      </c>
      <c r="K686" s="5" t="s">
        <v>39</v>
      </c>
      <c r="L686" s="15">
        <v>0</v>
      </c>
      <c r="M686" s="5" t="s">
        <v>57</v>
      </c>
      <c r="N686" s="5" t="s">
        <v>56</v>
      </c>
      <c r="O686" s="5" t="s">
        <v>31</v>
      </c>
      <c r="R686" s="5">
        <f>IF(diabetesoriginal[[#This Row],[Diabetes]]=$R$1,diabetesoriginal[[#This Row],[Skin Thickness]],NA())</f>
        <v>29</v>
      </c>
      <c r="S686" s="5" t="e">
        <f>IF(diabetesoriginal[[#This Row],[Diabetes]]=$S$1,diabetesoriginal[[#This Row],[Skin Thickness]],NA())</f>
        <v>#N/A</v>
      </c>
      <c r="U686" s="5">
        <f>IF(diabetesoriginal[[#This Row],[Diabetes]]=$U$1,diabetesoriginal[[#This Row],[Insulin]],NA())</f>
        <v>125</v>
      </c>
      <c r="V686" s="5" t="e">
        <f>IF(diabetesoriginal[[#This Row],[Diabetes]]=$S$1,diabetesoriginal[[#This Row],[Insulin]],NA())</f>
        <v>#N/A</v>
      </c>
    </row>
    <row r="687" spans="1:22" x14ac:dyDescent="0.25">
      <c r="A687" s="5">
        <v>2</v>
      </c>
      <c r="B687" s="5">
        <v>129</v>
      </c>
      <c r="C687" s="5">
        <v>74</v>
      </c>
      <c r="D687" s="5" t="s">
        <v>23</v>
      </c>
      <c r="E687" s="5">
        <v>26</v>
      </c>
      <c r="F687" s="5">
        <v>205</v>
      </c>
      <c r="G687" s="5">
        <v>33.200000000000003</v>
      </c>
      <c r="H687" s="5" t="s">
        <v>29</v>
      </c>
      <c r="I687" s="5">
        <v>0.59099999999999997</v>
      </c>
      <c r="J687" s="5">
        <v>25</v>
      </c>
      <c r="K687" s="5" t="s">
        <v>35</v>
      </c>
      <c r="L687" s="15">
        <v>0</v>
      </c>
      <c r="M687" s="5" t="s">
        <v>57</v>
      </c>
      <c r="N687" s="5" t="s">
        <v>56</v>
      </c>
      <c r="O687" s="5" t="s">
        <v>59</v>
      </c>
      <c r="R687" s="5">
        <f>IF(diabetesoriginal[[#This Row],[Diabetes]]=$R$1,diabetesoriginal[[#This Row],[Skin Thickness]],NA())</f>
        <v>26</v>
      </c>
      <c r="S687" s="5" t="e">
        <f>IF(diabetesoriginal[[#This Row],[Diabetes]]=$S$1,diabetesoriginal[[#This Row],[Skin Thickness]],NA())</f>
        <v>#N/A</v>
      </c>
      <c r="U687" s="5">
        <f>IF(diabetesoriginal[[#This Row],[Diabetes]]=$U$1,diabetesoriginal[[#This Row],[Insulin]],NA())</f>
        <v>205</v>
      </c>
      <c r="V687" s="5" t="e">
        <f>IF(diabetesoriginal[[#This Row],[Diabetes]]=$S$1,diabetesoriginal[[#This Row],[Insulin]],NA())</f>
        <v>#N/A</v>
      </c>
    </row>
    <row r="688" spans="1:22" x14ac:dyDescent="0.25">
      <c r="A688" s="5">
        <v>3</v>
      </c>
      <c r="B688" s="5">
        <v>130</v>
      </c>
      <c r="C688" s="5">
        <v>64</v>
      </c>
      <c r="D688" s="5" t="s">
        <v>23</v>
      </c>
      <c r="E688" s="5">
        <v>29</v>
      </c>
      <c r="F688" s="5">
        <v>125</v>
      </c>
      <c r="G688" s="5">
        <v>23.1</v>
      </c>
      <c r="H688" s="5" t="s">
        <v>31</v>
      </c>
      <c r="I688" s="5">
        <v>0.314</v>
      </c>
      <c r="J688" s="5">
        <v>22</v>
      </c>
      <c r="K688" s="5" t="s">
        <v>35</v>
      </c>
      <c r="L688" s="15">
        <v>0</v>
      </c>
      <c r="M688" s="5" t="s">
        <v>57</v>
      </c>
      <c r="N688" s="5" t="s">
        <v>56</v>
      </c>
      <c r="O688" s="5" t="s">
        <v>31</v>
      </c>
      <c r="R688" s="5">
        <f>IF(diabetesoriginal[[#This Row],[Diabetes]]=$R$1,diabetesoriginal[[#This Row],[Skin Thickness]],NA())</f>
        <v>29</v>
      </c>
      <c r="S688" s="5" t="e">
        <f>IF(diabetesoriginal[[#This Row],[Diabetes]]=$S$1,diabetesoriginal[[#This Row],[Skin Thickness]],NA())</f>
        <v>#N/A</v>
      </c>
      <c r="U688" s="5">
        <f>IF(diabetesoriginal[[#This Row],[Diabetes]]=$U$1,diabetesoriginal[[#This Row],[Insulin]],NA())</f>
        <v>125</v>
      </c>
      <c r="V688" s="5" t="e">
        <f>IF(diabetesoriginal[[#This Row],[Diabetes]]=$S$1,diabetesoriginal[[#This Row],[Insulin]],NA())</f>
        <v>#N/A</v>
      </c>
    </row>
    <row r="689" spans="1:22" x14ac:dyDescent="0.25">
      <c r="A689" s="5">
        <v>1</v>
      </c>
      <c r="B689" s="5">
        <v>107</v>
      </c>
      <c r="C689" s="5">
        <v>50</v>
      </c>
      <c r="D689" s="5" t="s">
        <v>23</v>
      </c>
      <c r="E689" s="5">
        <v>19</v>
      </c>
      <c r="F689" s="5">
        <v>125</v>
      </c>
      <c r="G689" s="5">
        <v>28.3</v>
      </c>
      <c r="H689" s="5" t="s">
        <v>30</v>
      </c>
      <c r="I689" s="5">
        <v>0.18099999999999999</v>
      </c>
      <c r="J689" s="5">
        <v>29</v>
      </c>
      <c r="K689" s="5" t="s">
        <v>35</v>
      </c>
      <c r="L689" s="15">
        <v>0</v>
      </c>
      <c r="M689" s="5" t="s">
        <v>57</v>
      </c>
      <c r="N689" s="5" t="s">
        <v>58</v>
      </c>
      <c r="O689" s="5" t="s">
        <v>31</v>
      </c>
      <c r="R689" s="5">
        <f>IF(diabetesoriginal[[#This Row],[Diabetes]]=$R$1,diabetesoriginal[[#This Row],[Skin Thickness]],NA())</f>
        <v>19</v>
      </c>
      <c r="S689" s="5" t="e">
        <f>IF(diabetesoriginal[[#This Row],[Diabetes]]=$S$1,diabetesoriginal[[#This Row],[Skin Thickness]],NA())</f>
        <v>#N/A</v>
      </c>
      <c r="U689" s="5">
        <f>IF(diabetesoriginal[[#This Row],[Diabetes]]=$U$1,diabetesoriginal[[#This Row],[Insulin]],NA())</f>
        <v>125</v>
      </c>
      <c r="V689" s="5" t="e">
        <f>IF(diabetesoriginal[[#This Row],[Diabetes]]=$S$1,diabetesoriginal[[#This Row],[Insulin]],NA())</f>
        <v>#N/A</v>
      </c>
    </row>
    <row r="690" spans="1:22" x14ac:dyDescent="0.25">
      <c r="A690" s="5">
        <v>1</v>
      </c>
      <c r="B690" s="5">
        <v>140</v>
      </c>
      <c r="C690" s="5">
        <v>74</v>
      </c>
      <c r="D690" s="5" t="s">
        <v>23</v>
      </c>
      <c r="E690" s="5">
        <v>26</v>
      </c>
      <c r="F690" s="5">
        <v>180</v>
      </c>
      <c r="G690" s="5">
        <v>24.1</v>
      </c>
      <c r="H690" s="5" t="s">
        <v>31</v>
      </c>
      <c r="I690" s="5">
        <v>0.82799999999999996</v>
      </c>
      <c r="J690" s="5">
        <v>23</v>
      </c>
      <c r="K690" s="5" t="s">
        <v>35</v>
      </c>
      <c r="L690" s="15">
        <v>0</v>
      </c>
      <c r="M690" s="5" t="s">
        <v>22</v>
      </c>
      <c r="N690" s="5" t="s">
        <v>56</v>
      </c>
      <c r="O690" s="5" t="s">
        <v>59</v>
      </c>
      <c r="R690" s="5">
        <f>IF(diabetesoriginal[[#This Row],[Diabetes]]=$R$1,diabetesoriginal[[#This Row],[Skin Thickness]],NA())</f>
        <v>26</v>
      </c>
      <c r="S690" s="5" t="e">
        <f>IF(diabetesoriginal[[#This Row],[Diabetes]]=$S$1,diabetesoriginal[[#This Row],[Skin Thickness]],NA())</f>
        <v>#N/A</v>
      </c>
      <c r="U690" s="5">
        <f>IF(diabetesoriginal[[#This Row],[Diabetes]]=$U$1,diabetesoriginal[[#This Row],[Insulin]],NA())</f>
        <v>180</v>
      </c>
      <c r="V690" s="5" t="e">
        <f>IF(diabetesoriginal[[#This Row],[Diabetes]]=$S$1,diabetesoriginal[[#This Row],[Insulin]],NA())</f>
        <v>#N/A</v>
      </c>
    </row>
    <row r="691" spans="1:22" x14ac:dyDescent="0.25">
      <c r="A691" s="5">
        <v>1</v>
      </c>
      <c r="B691" s="5">
        <v>144</v>
      </c>
      <c r="C691" s="5">
        <v>82</v>
      </c>
      <c r="D691" s="5" t="s">
        <v>25</v>
      </c>
      <c r="E691" s="5">
        <v>46</v>
      </c>
      <c r="F691" s="5">
        <v>180</v>
      </c>
      <c r="G691" s="5">
        <v>46.1</v>
      </c>
      <c r="H691" s="5" t="s">
        <v>32</v>
      </c>
      <c r="I691" s="5">
        <v>0.33500000000000002</v>
      </c>
      <c r="J691" s="5">
        <v>46</v>
      </c>
      <c r="K691" s="5" t="s">
        <v>37</v>
      </c>
      <c r="L691" s="15">
        <v>1</v>
      </c>
      <c r="M691" s="5" t="s">
        <v>22</v>
      </c>
      <c r="N691" s="5" t="s">
        <v>56</v>
      </c>
      <c r="O691" s="5" t="s">
        <v>59</v>
      </c>
      <c r="R691" s="5" t="e">
        <f>IF(diabetesoriginal[[#This Row],[Diabetes]]=$R$1,diabetesoriginal[[#This Row],[Skin Thickness]],NA())</f>
        <v>#N/A</v>
      </c>
      <c r="S691" s="5">
        <f>IF(diabetesoriginal[[#This Row],[Diabetes]]=$S$1,diabetesoriginal[[#This Row],[Skin Thickness]],NA())</f>
        <v>46</v>
      </c>
      <c r="U691" s="5" t="e">
        <f>IF(diabetesoriginal[[#This Row],[Diabetes]]=$U$1,diabetesoriginal[[#This Row],[Insulin]],NA())</f>
        <v>#N/A</v>
      </c>
      <c r="V691" s="5">
        <f>IF(diabetesoriginal[[#This Row],[Diabetes]]=$S$1,diabetesoriginal[[#This Row],[Insulin]],NA())</f>
        <v>180</v>
      </c>
    </row>
    <row r="692" spans="1:22" x14ac:dyDescent="0.25">
      <c r="A692" s="5">
        <v>8</v>
      </c>
      <c r="B692" s="5">
        <v>107</v>
      </c>
      <c r="C692" s="5">
        <v>80</v>
      </c>
      <c r="D692" s="5" t="s">
        <v>25</v>
      </c>
      <c r="E692" s="5">
        <v>29</v>
      </c>
      <c r="F692" s="5">
        <v>125</v>
      </c>
      <c r="G692" s="5">
        <v>24.6</v>
      </c>
      <c r="H692" s="5" t="s">
        <v>31</v>
      </c>
      <c r="I692" s="5">
        <v>0.85599999999999998</v>
      </c>
      <c r="J692" s="5">
        <v>34</v>
      </c>
      <c r="K692" s="5" t="s">
        <v>36</v>
      </c>
      <c r="L692" s="15">
        <v>0</v>
      </c>
      <c r="M692" s="5" t="s">
        <v>57</v>
      </c>
      <c r="N692" s="5" t="s">
        <v>56</v>
      </c>
      <c r="O692" s="5" t="s">
        <v>31</v>
      </c>
      <c r="R692" s="5">
        <f>IF(diabetesoriginal[[#This Row],[Diabetes]]=$R$1,diabetesoriginal[[#This Row],[Skin Thickness]],NA())</f>
        <v>29</v>
      </c>
      <c r="S692" s="5" t="e">
        <f>IF(diabetesoriginal[[#This Row],[Diabetes]]=$S$1,diabetesoriginal[[#This Row],[Skin Thickness]],NA())</f>
        <v>#N/A</v>
      </c>
      <c r="U692" s="5">
        <f>IF(diabetesoriginal[[#This Row],[Diabetes]]=$U$1,diabetesoriginal[[#This Row],[Insulin]],NA())</f>
        <v>125</v>
      </c>
      <c r="V692" s="5" t="e">
        <f>IF(diabetesoriginal[[#This Row],[Diabetes]]=$S$1,diabetesoriginal[[#This Row],[Insulin]],NA())</f>
        <v>#N/A</v>
      </c>
    </row>
    <row r="693" spans="1:22" x14ac:dyDescent="0.25">
      <c r="A693" s="5">
        <v>13</v>
      </c>
      <c r="B693" s="5">
        <v>158</v>
      </c>
      <c r="C693" s="5">
        <v>114</v>
      </c>
      <c r="D693" s="5" t="s">
        <v>26</v>
      </c>
      <c r="E693" s="5">
        <v>29</v>
      </c>
      <c r="F693" s="5">
        <v>125</v>
      </c>
      <c r="G693" s="5">
        <v>42.3</v>
      </c>
      <c r="H693" s="5" t="s">
        <v>32</v>
      </c>
      <c r="I693" s="5">
        <v>0.25700000000000001</v>
      </c>
      <c r="J693" s="5">
        <v>44</v>
      </c>
      <c r="K693" s="5" t="s">
        <v>37</v>
      </c>
      <c r="L693" s="15">
        <v>1</v>
      </c>
      <c r="M693" s="5" t="s">
        <v>22</v>
      </c>
      <c r="N693" s="5" t="s">
        <v>56</v>
      </c>
      <c r="O693" s="5" t="s">
        <v>31</v>
      </c>
      <c r="R693" s="5" t="e">
        <f>IF(diabetesoriginal[[#This Row],[Diabetes]]=$R$1,diabetesoriginal[[#This Row],[Skin Thickness]],NA())</f>
        <v>#N/A</v>
      </c>
      <c r="S693" s="5">
        <f>IF(diabetesoriginal[[#This Row],[Diabetes]]=$S$1,diabetesoriginal[[#This Row],[Skin Thickness]],NA())</f>
        <v>29</v>
      </c>
      <c r="U693" s="5" t="e">
        <f>IF(diabetesoriginal[[#This Row],[Diabetes]]=$U$1,diabetesoriginal[[#This Row],[Insulin]],NA())</f>
        <v>#N/A</v>
      </c>
      <c r="V693" s="5">
        <f>IF(diabetesoriginal[[#This Row],[Diabetes]]=$S$1,diabetesoriginal[[#This Row],[Insulin]],NA())</f>
        <v>125</v>
      </c>
    </row>
    <row r="694" spans="1:22" x14ac:dyDescent="0.25">
      <c r="A694" s="5">
        <v>2</v>
      </c>
      <c r="B694" s="5">
        <v>121</v>
      </c>
      <c r="C694" s="5">
        <v>70</v>
      </c>
      <c r="D694" s="5" t="s">
        <v>23</v>
      </c>
      <c r="E694" s="5">
        <v>32</v>
      </c>
      <c r="F694" s="5">
        <v>95</v>
      </c>
      <c r="G694" s="5">
        <v>39.1</v>
      </c>
      <c r="H694" s="5" t="s">
        <v>29</v>
      </c>
      <c r="I694" s="5">
        <v>0.88600000000000001</v>
      </c>
      <c r="J694" s="5">
        <v>23</v>
      </c>
      <c r="K694" s="5" t="s">
        <v>35</v>
      </c>
      <c r="L694" s="15">
        <v>0</v>
      </c>
      <c r="M694" s="5" t="s">
        <v>57</v>
      </c>
      <c r="N694" s="5" t="s">
        <v>56</v>
      </c>
      <c r="O694" s="5" t="s">
        <v>31</v>
      </c>
      <c r="R694" s="5">
        <f>IF(diabetesoriginal[[#This Row],[Diabetes]]=$R$1,diabetesoriginal[[#This Row],[Skin Thickness]],NA())</f>
        <v>32</v>
      </c>
      <c r="S694" s="5" t="e">
        <f>IF(diabetesoriginal[[#This Row],[Diabetes]]=$S$1,diabetesoriginal[[#This Row],[Skin Thickness]],NA())</f>
        <v>#N/A</v>
      </c>
      <c r="U694" s="5">
        <f>IF(diabetesoriginal[[#This Row],[Diabetes]]=$U$1,diabetesoriginal[[#This Row],[Insulin]],NA())</f>
        <v>95</v>
      </c>
      <c r="V694" s="5" t="e">
        <f>IF(diabetesoriginal[[#This Row],[Diabetes]]=$S$1,diabetesoriginal[[#This Row],[Insulin]],NA())</f>
        <v>#N/A</v>
      </c>
    </row>
    <row r="695" spans="1:22" x14ac:dyDescent="0.25">
      <c r="A695" s="5">
        <v>7</v>
      </c>
      <c r="B695" s="5">
        <v>129</v>
      </c>
      <c r="C695" s="5">
        <v>68</v>
      </c>
      <c r="D695" s="5" t="s">
        <v>23</v>
      </c>
      <c r="E695" s="5">
        <v>49</v>
      </c>
      <c r="F695" s="5">
        <v>125</v>
      </c>
      <c r="G695" s="5">
        <v>38.5</v>
      </c>
      <c r="H695" s="5" t="s">
        <v>29</v>
      </c>
      <c r="I695" s="5">
        <v>0.439</v>
      </c>
      <c r="J695" s="5">
        <v>43</v>
      </c>
      <c r="K695" s="5" t="s">
        <v>37</v>
      </c>
      <c r="L695" s="15">
        <v>1</v>
      </c>
      <c r="M695" s="5" t="s">
        <v>57</v>
      </c>
      <c r="N695" s="5" t="s">
        <v>56</v>
      </c>
      <c r="O695" s="5" t="s">
        <v>31</v>
      </c>
      <c r="R695" s="5" t="e">
        <f>IF(diabetesoriginal[[#This Row],[Diabetes]]=$R$1,diabetesoriginal[[#This Row],[Skin Thickness]],NA())</f>
        <v>#N/A</v>
      </c>
      <c r="S695" s="5">
        <f>IF(diabetesoriginal[[#This Row],[Diabetes]]=$S$1,diabetesoriginal[[#This Row],[Skin Thickness]],NA())</f>
        <v>49</v>
      </c>
      <c r="U695" s="5" t="e">
        <f>IF(diabetesoriginal[[#This Row],[Diabetes]]=$U$1,diabetesoriginal[[#This Row],[Insulin]],NA())</f>
        <v>#N/A</v>
      </c>
      <c r="V695" s="5">
        <f>IF(diabetesoriginal[[#This Row],[Diabetes]]=$S$1,diabetesoriginal[[#This Row],[Insulin]],NA())</f>
        <v>125</v>
      </c>
    </row>
    <row r="696" spans="1:22" x14ac:dyDescent="0.25">
      <c r="A696" s="5">
        <v>2</v>
      </c>
      <c r="B696" s="5">
        <v>90</v>
      </c>
      <c r="C696" s="5">
        <v>60</v>
      </c>
      <c r="D696" s="5" t="s">
        <v>23</v>
      </c>
      <c r="E696" s="5">
        <v>29</v>
      </c>
      <c r="F696" s="5">
        <v>125</v>
      </c>
      <c r="G696" s="5">
        <v>23.5</v>
      </c>
      <c r="H696" s="5" t="s">
        <v>31</v>
      </c>
      <c r="I696" s="5">
        <v>0.191</v>
      </c>
      <c r="J696" s="5">
        <v>25</v>
      </c>
      <c r="K696" s="5" t="s">
        <v>35</v>
      </c>
      <c r="L696" s="15">
        <v>0</v>
      </c>
      <c r="M696" s="5" t="s">
        <v>57</v>
      </c>
      <c r="N696" s="5" t="s">
        <v>56</v>
      </c>
      <c r="O696" s="5" t="s">
        <v>31</v>
      </c>
      <c r="R696" s="5">
        <f>IF(diabetesoriginal[[#This Row],[Diabetes]]=$R$1,diabetesoriginal[[#This Row],[Skin Thickness]],NA())</f>
        <v>29</v>
      </c>
      <c r="S696" s="5" t="e">
        <f>IF(diabetesoriginal[[#This Row],[Diabetes]]=$S$1,diabetesoriginal[[#This Row],[Skin Thickness]],NA())</f>
        <v>#N/A</v>
      </c>
      <c r="U696" s="5">
        <f>IF(diabetesoriginal[[#This Row],[Diabetes]]=$U$1,diabetesoriginal[[#This Row],[Insulin]],NA())</f>
        <v>125</v>
      </c>
      <c r="V696" s="5" t="e">
        <f>IF(diabetesoriginal[[#This Row],[Diabetes]]=$S$1,diabetesoriginal[[#This Row],[Insulin]],NA())</f>
        <v>#N/A</v>
      </c>
    </row>
    <row r="697" spans="1:22" x14ac:dyDescent="0.25">
      <c r="A697" s="5">
        <v>7</v>
      </c>
      <c r="B697" s="5">
        <v>142</v>
      </c>
      <c r="C697" s="5">
        <v>90</v>
      </c>
      <c r="D697" s="5" t="s">
        <v>24</v>
      </c>
      <c r="E697" s="5">
        <v>24</v>
      </c>
      <c r="F697" s="5">
        <v>480</v>
      </c>
      <c r="G697" s="5">
        <v>30.4</v>
      </c>
      <c r="H697" s="5" t="s">
        <v>29</v>
      </c>
      <c r="I697" s="5">
        <v>0.128</v>
      </c>
      <c r="J697" s="5">
        <v>43</v>
      </c>
      <c r="K697" s="5" t="s">
        <v>37</v>
      </c>
      <c r="L697" s="15">
        <v>1</v>
      </c>
      <c r="M697" s="5" t="s">
        <v>22</v>
      </c>
      <c r="N697" s="5" t="s">
        <v>56</v>
      </c>
      <c r="O697" s="5" t="s">
        <v>59</v>
      </c>
      <c r="R697" s="5" t="e">
        <f>IF(diabetesoriginal[[#This Row],[Diabetes]]=$R$1,diabetesoriginal[[#This Row],[Skin Thickness]],NA())</f>
        <v>#N/A</v>
      </c>
      <c r="S697" s="5">
        <f>IF(diabetesoriginal[[#This Row],[Diabetes]]=$S$1,diabetesoriginal[[#This Row],[Skin Thickness]],NA())</f>
        <v>24</v>
      </c>
      <c r="U697" s="5" t="e">
        <f>IF(diabetesoriginal[[#This Row],[Diabetes]]=$U$1,diabetesoriginal[[#This Row],[Insulin]],NA())</f>
        <v>#N/A</v>
      </c>
      <c r="V697" s="5">
        <f>IF(diabetesoriginal[[#This Row],[Diabetes]]=$S$1,diabetesoriginal[[#This Row],[Insulin]],NA())</f>
        <v>480</v>
      </c>
    </row>
    <row r="698" spans="1:22" x14ac:dyDescent="0.25">
      <c r="A698" s="5">
        <v>3</v>
      </c>
      <c r="B698" s="5">
        <v>169</v>
      </c>
      <c r="C698" s="5">
        <v>74</v>
      </c>
      <c r="D698" s="5" t="s">
        <v>23</v>
      </c>
      <c r="E698" s="5">
        <v>19</v>
      </c>
      <c r="F698" s="5">
        <v>125</v>
      </c>
      <c r="G698" s="5">
        <v>29.9</v>
      </c>
      <c r="H698" s="5" t="s">
        <v>30</v>
      </c>
      <c r="I698" s="5">
        <v>0.26800000000000002</v>
      </c>
      <c r="J698" s="5">
        <v>31</v>
      </c>
      <c r="K698" s="5" t="s">
        <v>36</v>
      </c>
      <c r="L698" s="15">
        <v>1</v>
      </c>
      <c r="M698" s="5" t="s">
        <v>22</v>
      </c>
      <c r="N698" s="5" t="s">
        <v>58</v>
      </c>
      <c r="O698" s="5" t="s">
        <v>31</v>
      </c>
      <c r="R698" s="5" t="e">
        <f>IF(diabetesoriginal[[#This Row],[Diabetes]]=$R$1,diabetesoriginal[[#This Row],[Skin Thickness]],NA())</f>
        <v>#N/A</v>
      </c>
      <c r="S698" s="5">
        <f>IF(diabetesoriginal[[#This Row],[Diabetes]]=$S$1,diabetesoriginal[[#This Row],[Skin Thickness]],NA())</f>
        <v>19</v>
      </c>
      <c r="U698" s="5" t="e">
        <f>IF(diabetesoriginal[[#This Row],[Diabetes]]=$U$1,diabetesoriginal[[#This Row],[Insulin]],NA())</f>
        <v>#N/A</v>
      </c>
      <c r="V698" s="5">
        <f>IF(diabetesoriginal[[#This Row],[Diabetes]]=$S$1,diabetesoriginal[[#This Row],[Insulin]],NA())</f>
        <v>125</v>
      </c>
    </row>
    <row r="699" spans="1:22" x14ac:dyDescent="0.25">
      <c r="A699" s="5">
        <v>0</v>
      </c>
      <c r="B699" s="5">
        <v>99</v>
      </c>
      <c r="C699" s="5">
        <v>72</v>
      </c>
      <c r="D699" s="5" t="s">
        <v>23</v>
      </c>
      <c r="E699" s="5">
        <v>29</v>
      </c>
      <c r="F699" s="5">
        <v>125</v>
      </c>
      <c r="G699" s="5">
        <v>25</v>
      </c>
      <c r="H699" s="5" t="s">
        <v>30</v>
      </c>
      <c r="I699" s="5">
        <v>0.253</v>
      </c>
      <c r="J699" s="5">
        <v>22</v>
      </c>
      <c r="K699" s="5" t="s">
        <v>35</v>
      </c>
      <c r="L699" s="15">
        <v>0</v>
      </c>
      <c r="M699" s="5" t="s">
        <v>57</v>
      </c>
      <c r="N699" s="5" t="s">
        <v>56</v>
      </c>
      <c r="O699" s="5" t="s">
        <v>31</v>
      </c>
      <c r="R699" s="5">
        <f>IF(diabetesoriginal[[#This Row],[Diabetes]]=$R$1,diabetesoriginal[[#This Row],[Skin Thickness]],NA())</f>
        <v>29</v>
      </c>
      <c r="S699" s="5" t="e">
        <f>IF(diabetesoriginal[[#This Row],[Diabetes]]=$S$1,diabetesoriginal[[#This Row],[Skin Thickness]],NA())</f>
        <v>#N/A</v>
      </c>
      <c r="U699" s="5">
        <f>IF(diabetesoriginal[[#This Row],[Diabetes]]=$U$1,diabetesoriginal[[#This Row],[Insulin]],NA())</f>
        <v>125</v>
      </c>
      <c r="V699" s="5" t="e">
        <f>IF(diabetesoriginal[[#This Row],[Diabetes]]=$S$1,diabetesoriginal[[#This Row],[Insulin]],NA())</f>
        <v>#N/A</v>
      </c>
    </row>
    <row r="700" spans="1:22" x14ac:dyDescent="0.25">
      <c r="A700" s="5">
        <v>4</v>
      </c>
      <c r="B700" s="5">
        <v>127</v>
      </c>
      <c r="C700" s="5">
        <v>88</v>
      </c>
      <c r="D700" s="5" t="s">
        <v>25</v>
      </c>
      <c r="E700" s="5">
        <v>11</v>
      </c>
      <c r="F700" s="5">
        <v>155</v>
      </c>
      <c r="G700" s="5">
        <v>34.5</v>
      </c>
      <c r="H700" s="5" t="s">
        <v>29</v>
      </c>
      <c r="I700" s="5">
        <v>0.59799999999999998</v>
      </c>
      <c r="J700" s="5">
        <v>28</v>
      </c>
      <c r="K700" s="5" t="s">
        <v>35</v>
      </c>
      <c r="L700" s="15">
        <v>0</v>
      </c>
      <c r="M700" s="5" t="s">
        <v>57</v>
      </c>
      <c r="N700" s="5" t="s">
        <v>58</v>
      </c>
      <c r="O700" s="5" t="s">
        <v>31</v>
      </c>
      <c r="R700" s="5">
        <f>IF(diabetesoriginal[[#This Row],[Diabetes]]=$R$1,diabetesoriginal[[#This Row],[Skin Thickness]],NA())</f>
        <v>11</v>
      </c>
      <c r="S700" s="5" t="e">
        <f>IF(diabetesoriginal[[#This Row],[Diabetes]]=$S$1,diabetesoriginal[[#This Row],[Skin Thickness]],NA())</f>
        <v>#N/A</v>
      </c>
      <c r="U700" s="5">
        <f>IF(diabetesoriginal[[#This Row],[Diabetes]]=$U$1,diabetesoriginal[[#This Row],[Insulin]],NA())</f>
        <v>155</v>
      </c>
      <c r="V700" s="5" t="e">
        <f>IF(diabetesoriginal[[#This Row],[Diabetes]]=$S$1,diabetesoriginal[[#This Row],[Insulin]],NA())</f>
        <v>#N/A</v>
      </c>
    </row>
    <row r="701" spans="1:22" x14ac:dyDescent="0.25">
      <c r="A701" s="5">
        <v>4</v>
      </c>
      <c r="B701" s="5">
        <v>118</v>
      </c>
      <c r="C701" s="5">
        <v>70</v>
      </c>
      <c r="D701" s="5" t="s">
        <v>23</v>
      </c>
      <c r="E701" s="5">
        <v>29</v>
      </c>
      <c r="F701" s="5">
        <v>125</v>
      </c>
      <c r="G701" s="5">
        <v>44.5</v>
      </c>
      <c r="H701" s="5" t="s">
        <v>32</v>
      </c>
      <c r="I701" s="5">
        <v>0.90400000000000003</v>
      </c>
      <c r="J701" s="5">
        <v>26</v>
      </c>
      <c r="K701" s="5" t="s">
        <v>35</v>
      </c>
      <c r="L701" s="15">
        <v>0</v>
      </c>
      <c r="M701" s="5" t="s">
        <v>57</v>
      </c>
      <c r="N701" s="5" t="s">
        <v>56</v>
      </c>
      <c r="O701" s="5" t="s">
        <v>31</v>
      </c>
      <c r="R701" s="5">
        <f>IF(diabetesoriginal[[#This Row],[Diabetes]]=$R$1,diabetesoriginal[[#This Row],[Skin Thickness]],NA())</f>
        <v>29</v>
      </c>
      <c r="S701" s="5" t="e">
        <f>IF(diabetesoriginal[[#This Row],[Diabetes]]=$S$1,diabetesoriginal[[#This Row],[Skin Thickness]],NA())</f>
        <v>#N/A</v>
      </c>
      <c r="U701" s="5">
        <f>IF(diabetesoriginal[[#This Row],[Diabetes]]=$U$1,diabetesoriginal[[#This Row],[Insulin]],NA())</f>
        <v>125</v>
      </c>
      <c r="V701" s="5" t="e">
        <f>IF(diabetesoriginal[[#This Row],[Diabetes]]=$S$1,diabetesoriginal[[#This Row],[Insulin]],NA())</f>
        <v>#N/A</v>
      </c>
    </row>
    <row r="702" spans="1:22" x14ac:dyDescent="0.25">
      <c r="A702" s="5">
        <v>2</v>
      </c>
      <c r="B702" s="5">
        <v>122</v>
      </c>
      <c r="C702" s="5">
        <v>76</v>
      </c>
      <c r="D702" s="5" t="s">
        <v>23</v>
      </c>
      <c r="E702" s="5">
        <v>27</v>
      </c>
      <c r="F702" s="5">
        <v>200</v>
      </c>
      <c r="G702" s="5">
        <v>35.9</v>
      </c>
      <c r="H702" s="5" t="s">
        <v>29</v>
      </c>
      <c r="I702" s="5">
        <v>0.48299999999999998</v>
      </c>
      <c r="J702" s="5">
        <v>26</v>
      </c>
      <c r="K702" s="5" t="s">
        <v>35</v>
      </c>
      <c r="L702" s="15">
        <v>0</v>
      </c>
      <c r="M702" s="5" t="s">
        <v>57</v>
      </c>
      <c r="N702" s="5" t="s">
        <v>56</v>
      </c>
      <c r="O702" s="5" t="s">
        <v>59</v>
      </c>
      <c r="R702" s="5">
        <f>IF(diabetesoriginal[[#This Row],[Diabetes]]=$R$1,diabetesoriginal[[#This Row],[Skin Thickness]],NA())</f>
        <v>27</v>
      </c>
      <c r="S702" s="5" t="e">
        <f>IF(diabetesoriginal[[#This Row],[Diabetes]]=$S$1,diabetesoriginal[[#This Row],[Skin Thickness]],NA())</f>
        <v>#N/A</v>
      </c>
      <c r="U702" s="5">
        <f>IF(diabetesoriginal[[#This Row],[Diabetes]]=$U$1,diabetesoriginal[[#This Row],[Insulin]],NA())</f>
        <v>200</v>
      </c>
      <c r="V702" s="5" t="e">
        <f>IF(diabetesoriginal[[#This Row],[Diabetes]]=$S$1,diabetesoriginal[[#This Row],[Insulin]],NA())</f>
        <v>#N/A</v>
      </c>
    </row>
    <row r="703" spans="1:22" x14ac:dyDescent="0.25">
      <c r="A703" s="5">
        <v>6</v>
      </c>
      <c r="B703" s="5">
        <v>125</v>
      </c>
      <c r="C703" s="5">
        <v>78</v>
      </c>
      <c r="D703" s="5" t="s">
        <v>23</v>
      </c>
      <c r="E703" s="5">
        <v>31</v>
      </c>
      <c r="F703" s="5">
        <v>125</v>
      </c>
      <c r="G703" s="5">
        <v>27.6</v>
      </c>
      <c r="H703" s="5" t="s">
        <v>30</v>
      </c>
      <c r="I703" s="5">
        <v>0.56499999999999995</v>
      </c>
      <c r="J703" s="5">
        <v>49</v>
      </c>
      <c r="K703" s="5" t="s">
        <v>37</v>
      </c>
      <c r="L703" s="15">
        <v>1</v>
      </c>
      <c r="M703" s="5" t="s">
        <v>57</v>
      </c>
      <c r="N703" s="5" t="s">
        <v>56</v>
      </c>
      <c r="O703" s="5" t="s">
        <v>31</v>
      </c>
      <c r="R703" s="5" t="e">
        <f>IF(diabetesoriginal[[#This Row],[Diabetes]]=$R$1,diabetesoriginal[[#This Row],[Skin Thickness]],NA())</f>
        <v>#N/A</v>
      </c>
      <c r="S703" s="5">
        <f>IF(diabetesoriginal[[#This Row],[Diabetes]]=$S$1,diabetesoriginal[[#This Row],[Skin Thickness]],NA())</f>
        <v>31</v>
      </c>
      <c r="U703" s="5" t="e">
        <f>IF(diabetesoriginal[[#This Row],[Diabetes]]=$U$1,diabetesoriginal[[#This Row],[Insulin]],NA())</f>
        <v>#N/A</v>
      </c>
      <c r="V703" s="5">
        <f>IF(diabetesoriginal[[#This Row],[Diabetes]]=$S$1,diabetesoriginal[[#This Row],[Insulin]],NA())</f>
        <v>125</v>
      </c>
    </row>
    <row r="704" spans="1:22" x14ac:dyDescent="0.25">
      <c r="A704" s="5">
        <v>1</v>
      </c>
      <c r="B704" s="5">
        <v>168</v>
      </c>
      <c r="C704" s="5">
        <v>88</v>
      </c>
      <c r="D704" s="5" t="s">
        <v>25</v>
      </c>
      <c r="E704" s="5">
        <v>29</v>
      </c>
      <c r="F704" s="5">
        <v>125</v>
      </c>
      <c r="G704" s="5">
        <v>35</v>
      </c>
      <c r="H704" s="5" t="s">
        <v>29</v>
      </c>
      <c r="I704" s="5">
        <v>0.90500000000000003</v>
      </c>
      <c r="J704" s="5">
        <v>52</v>
      </c>
      <c r="K704" s="5" t="s">
        <v>38</v>
      </c>
      <c r="L704" s="15">
        <v>1</v>
      </c>
      <c r="M704" s="5" t="s">
        <v>22</v>
      </c>
      <c r="N704" s="5" t="s">
        <v>56</v>
      </c>
      <c r="O704" s="5" t="s">
        <v>31</v>
      </c>
      <c r="R704" s="5" t="e">
        <f>IF(diabetesoriginal[[#This Row],[Diabetes]]=$R$1,diabetesoriginal[[#This Row],[Skin Thickness]],NA())</f>
        <v>#N/A</v>
      </c>
      <c r="S704" s="5">
        <f>IF(diabetesoriginal[[#This Row],[Diabetes]]=$S$1,diabetesoriginal[[#This Row],[Skin Thickness]],NA())</f>
        <v>29</v>
      </c>
      <c r="U704" s="5" t="e">
        <f>IF(diabetesoriginal[[#This Row],[Diabetes]]=$U$1,diabetesoriginal[[#This Row],[Insulin]],NA())</f>
        <v>#N/A</v>
      </c>
      <c r="V704" s="5">
        <f>IF(diabetesoriginal[[#This Row],[Diabetes]]=$S$1,diabetesoriginal[[#This Row],[Insulin]],NA())</f>
        <v>125</v>
      </c>
    </row>
    <row r="705" spans="1:22" x14ac:dyDescent="0.25">
      <c r="A705" s="5">
        <v>2</v>
      </c>
      <c r="B705" s="5">
        <v>129</v>
      </c>
      <c r="C705" s="5">
        <v>72</v>
      </c>
      <c r="D705" s="5" t="s">
        <v>23</v>
      </c>
      <c r="E705" s="5">
        <v>29</v>
      </c>
      <c r="F705" s="5">
        <v>125</v>
      </c>
      <c r="G705" s="5">
        <v>38.5</v>
      </c>
      <c r="H705" s="5" t="s">
        <v>29</v>
      </c>
      <c r="I705" s="5">
        <v>0.30399999999999999</v>
      </c>
      <c r="J705" s="5">
        <v>41</v>
      </c>
      <c r="K705" s="5" t="s">
        <v>37</v>
      </c>
      <c r="L705" s="15">
        <v>0</v>
      </c>
      <c r="M705" s="5" t="s">
        <v>57</v>
      </c>
      <c r="N705" s="5" t="s">
        <v>56</v>
      </c>
      <c r="O705" s="5" t="s">
        <v>31</v>
      </c>
      <c r="R705" s="5">
        <f>IF(diabetesoriginal[[#This Row],[Diabetes]]=$R$1,diabetesoriginal[[#This Row],[Skin Thickness]],NA())</f>
        <v>29</v>
      </c>
      <c r="S705" s="5" t="e">
        <f>IF(diabetesoriginal[[#This Row],[Diabetes]]=$S$1,diabetesoriginal[[#This Row],[Skin Thickness]],NA())</f>
        <v>#N/A</v>
      </c>
      <c r="U705" s="5">
        <f>IF(diabetesoriginal[[#This Row],[Diabetes]]=$U$1,diabetesoriginal[[#This Row],[Insulin]],NA())</f>
        <v>125</v>
      </c>
      <c r="V705" s="5" t="e">
        <f>IF(diabetesoriginal[[#This Row],[Diabetes]]=$S$1,diabetesoriginal[[#This Row],[Insulin]],NA())</f>
        <v>#N/A</v>
      </c>
    </row>
    <row r="706" spans="1:22" x14ac:dyDescent="0.25">
      <c r="A706" s="5">
        <v>4</v>
      </c>
      <c r="B706" s="5">
        <v>110</v>
      </c>
      <c r="C706" s="5">
        <v>76</v>
      </c>
      <c r="D706" s="5" t="s">
        <v>23</v>
      </c>
      <c r="E706" s="5">
        <v>20</v>
      </c>
      <c r="F706" s="5">
        <v>100</v>
      </c>
      <c r="G706" s="5">
        <v>28.4</v>
      </c>
      <c r="H706" s="5" t="s">
        <v>30</v>
      </c>
      <c r="I706" s="5">
        <v>0.11799999999999999</v>
      </c>
      <c r="J706" s="5">
        <v>27</v>
      </c>
      <c r="K706" s="5" t="s">
        <v>35</v>
      </c>
      <c r="L706" s="15">
        <v>0</v>
      </c>
      <c r="M706" s="5" t="s">
        <v>57</v>
      </c>
      <c r="N706" s="5" t="s">
        <v>58</v>
      </c>
      <c r="O706" s="5" t="s">
        <v>31</v>
      </c>
      <c r="R706" s="5">
        <f>IF(diabetesoriginal[[#This Row],[Diabetes]]=$R$1,diabetesoriginal[[#This Row],[Skin Thickness]],NA())</f>
        <v>20</v>
      </c>
      <c r="S706" s="5" t="e">
        <f>IF(diabetesoriginal[[#This Row],[Diabetes]]=$S$1,diabetesoriginal[[#This Row],[Skin Thickness]],NA())</f>
        <v>#N/A</v>
      </c>
      <c r="U706" s="5">
        <f>IF(diabetesoriginal[[#This Row],[Diabetes]]=$U$1,diabetesoriginal[[#This Row],[Insulin]],NA())</f>
        <v>100</v>
      </c>
      <c r="V706" s="5" t="e">
        <f>IF(diabetesoriginal[[#This Row],[Diabetes]]=$S$1,diabetesoriginal[[#This Row],[Insulin]],NA())</f>
        <v>#N/A</v>
      </c>
    </row>
    <row r="707" spans="1:22" x14ac:dyDescent="0.25">
      <c r="A707" s="5">
        <v>6</v>
      </c>
      <c r="B707" s="5">
        <v>80</v>
      </c>
      <c r="C707" s="5">
        <v>80</v>
      </c>
      <c r="D707" s="5" t="s">
        <v>25</v>
      </c>
      <c r="E707" s="5">
        <v>36</v>
      </c>
      <c r="F707" s="5">
        <v>125</v>
      </c>
      <c r="G707" s="5">
        <v>39.799999999999997</v>
      </c>
      <c r="H707" s="5" t="s">
        <v>29</v>
      </c>
      <c r="I707" s="5">
        <v>0.17699999999999999</v>
      </c>
      <c r="J707" s="5">
        <v>28</v>
      </c>
      <c r="K707" s="5" t="s">
        <v>35</v>
      </c>
      <c r="L707" s="15">
        <v>0</v>
      </c>
      <c r="M707" s="5" t="s">
        <v>57</v>
      </c>
      <c r="N707" s="5" t="s">
        <v>56</v>
      </c>
      <c r="O707" s="5" t="s">
        <v>31</v>
      </c>
      <c r="R707" s="5">
        <f>IF(diabetesoriginal[[#This Row],[Diabetes]]=$R$1,diabetesoriginal[[#This Row],[Skin Thickness]],NA())</f>
        <v>36</v>
      </c>
      <c r="S707" s="5" t="e">
        <f>IF(diabetesoriginal[[#This Row],[Diabetes]]=$S$1,diabetesoriginal[[#This Row],[Skin Thickness]],NA())</f>
        <v>#N/A</v>
      </c>
      <c r="U707" s="5">
        <f>IF(diabetesoriginal[[#This Row],[Diabetes]]=$U$1,diabetesoriginal[[#This Row],[Insulin]],NA())</f>
        <v>125</v>
      </c>
      <c r="V707" s="5" t="e">
        <f>IF(diabetesoriginal[[#This Row],[Diabetes]]=$S$1,diabetesoriginal[[#This Row],[Insulin]],NA())</f>
        <v>#N/A</v>
      </c>
    </row>
    <row r="708" spans="1:22" x14ac:dyDescent="0.25">
      <c r="A708" s="5">
        <v>10</v>
      </c>
      <c r="B708" s="5">
        <v>115</v>
      </c>
      <c r="C708" s="5">
        <v>72</v>
      </c>
      <c r="D708" s="5" t="s">
        <v>23</v>
      </c>
      <c r="E708" s="5">
        <v>29</v>
      </c>
      <c r="F708" s="5">
        <v>125</v>
      </c>
      <c r="G708" s="5">
        <v>32.299999999999997</v>
      </c>
      <c r="H708" s="5" t="s">
        <v>29</v>
      </c>
      <c r="I708" s="5">
        <v>0.26100000000000001</v>
      </c>
      <c r="J708" s="5">
        <v>30</v>
      </c>
      <c r="K708" s="5" t="s">
        <v>36</v>
      </c>
      <c r="L708" s="15">
        <v>1</v>
      </c>
      <c r="M708" s="5" t="s">
        <v>57</v>
      </c>
      <c r="N708" s="5" t="s">
        <v>56</v>
      </c>
      <c r="O708" s="5" t="s">
        <v>31</v>
      </c>
      <c r="R708" s="5" t="e">
        <f>IF(diabetesoriginal[[#This Row],[Diabetes]]=$R$1,diabetesoriginal[[#This Row],[Skin Thickness]],NA())</f>
        <v>#N/A</v>
      </c>
      <c r="S708" s="5">
        <f>IF(diabetesoriginal[[#This Row],[Diabetes]]=$S$1,diabetesoriginal[[#This Row],[Skin Thickness]],NA())</f>
        <v>29</v>
      </c>
      <c r="U708" s="5" t="e">
        <f>IF(diabetesoriginal[[#This Row],[Diabetes]]=$U$1,diabetesoriginal[[#This Row],[Insulin]],NA())</f>
        <v>#N/A</v>
      </c>
      <c r="V708" s="5">
        <f>IF(diabetesoriginal[[#This Row],[Diabetes]]=$S$1,diabetesoriginal[[#This Row],[Insulin]],NA())</f>
        <v>125</v>
      </c>
    </row>
    <row r="709" spans="1:22" x14ac:dyDescent="0.25">
      <c r="A709" s="5">
        <v>2</v>
      </c>
      <c r="B709" s="5">
        <v>127</v>
      </c>
      <c r="C709" s="5">
        <v>46</v>
      </c>
      <c r="D709" s="5" t="s">
        <v>23</v>
      </c>
      <c r="E709" s="5">
        <v>21</v>
      </c>
      <c r="F709" s="5">
        <v>335</v>
      </c>
      <c r="G709" s="5">
        <v>34.4</v>
      </c>
      <c r="H709" s="5" t="s">
        <v>29</v>
      </c>
      <c r="I709" s="5">
        <v>0.17599999999999999</v>
      </c>
      <c r="J709" s="5">
        <v>22</v>
      </c>
      <c r="K709" s="5" t="s">
        <v>35</v>
      </c>
      <c r="L709" s="15">
        <v>0</v>
      </c>
      <c r="M709" s="5" t="s">
        <v>57</v>
      </c>
      <c r="N709" s="5" t="s">
        <v>58</v>
      </c>
      <c r="O709" s="5" t="s">
        <v>59</v>
      </c>
      <c r="R709" s="5">
        <f>IF(diabetesoriginal[[#This Row],[Diabetes]]=$R$1,diabetesoriginal[[#This Row],[Skin Thickness]],NA())</f>
        <v>21</v>
      </c>
      <c r="S709" s="5" t="e">
        <f>IF(diabetesoriginal[[#This Row],[Diabetes]]=$S$1,diabetesoriginal[[#This Row],[Skin Thickness]],NA())</f>
        <v>#N/A</v>
      </c>
      <c r="U709" s="5">
        <f>IF(diabetesoriginal[[#This Row],[Diabetes]]=$U$1,diabetesoriginal[[#This Row],[Insulin]],NA())</f>
        <v>335</v>
      </c>
      <c r="V709" s="5" t="e">
        <f>IF(diabetesoriginal[[#This Row],[Diabetes]]=$S$1,diabetesoriginal[[#This Row],[Insulin]],NA())</f>
        <v>#N/A</v>
      </c>
    </row>
    <row r="710" spans="1:22" x14ac:dyDescent="0.25">
      <c r="A710" s="5">
        <v>9</v>
      </c>
      <c r="B710" s="5">
        <v>164</v>
      </c>
      <c r="C710" s="5">
        <v>78</v>
      </c>
      <c r="D710" s="5" t="s">
        <v>23</v>
      </c>
      <c r="E710" s="5">
        <v>29</v>
      </c>
      <c r="F710" s="5">
        <v>125</v>
      </c>
      <c r="G710" s="5">
        <v>32.799999999999997</v>
      </c>
      <c r="H710" s="5" t="s">
        <v>29</v>
      </c>
      <c r="I710" s="5">
        <v>0.14799999999999999</v>
      </c>
      <c r="J710" s="5">
        <v>45</v>
      </c>
      <c r="K710" s="5" t="s">
        <v>37</v>
      </c>
      <c r="L710" s="15">
        <v>1</v>
      </c>
      <c r="M710" s="5" t="s">
        <v>22</v>
      </c>
      <c r="N710" s="5" t="s">
        <v>56</v>
      </c>
      <c r="O710" s="5" t="s">
        <v>31</v>
      </c>
      <c r="R710" s="5" t="e">
        <f>IF(diabetesoriginal[[#This Row],[Diabetes]]=$R$1,diabetesoriginal[[#This Row],[Skin Thickness]],NA())</f>
        <v>#N/A</v>
      </c>
      <c r="S710" s="5">
        <f>IF(diabetesoriginal[[#This Row],[Diabetes]]=$S$1,diabetesoriginal[[#This Row],[Skin Thickness]],NA())</f>
        <v>29</v>
      </c>
      <c r="U710" s="5" t="e">
        <f>IF(diabetesoriginal[[#This Row],[Diabetes]]=$U$1,diabetesoriginal[[#This Row],[Insulin]],NA())</f>
        <v>#N/A</v>
      </c>
      <c r="V710" s="5">
        <f>IF(diabetesoriginal[[#This Row],[Diabetes]]=$S$1,diabetesoriginal[[#This Row],[Insulin]],NA())</f>
        <v>125</v>
      </c>
    </row>
    <row r="711" spans="1:22" x14ac:dyDescent="0.25">
      <c r="A711" s="5">
        <v>2</v>
      </c>
      <c r="B711" s="5">
        <v>93</v>
      </c>
      <c r="C711" s="5">
        <v>64</v>
      </c>
      <c r="D711" s="5" t="s">
        <v>23</v>
      </c>
      <c r="E711" s="5">
        <v>32</v>
      </c>
      <c r="F711" s="5">
        <v>160</v>
      </c>
      <c r="G711" s="5">
        <v>38</v>
      </c>
      <c r="H711" s="5" t="s">
        <v>29</v>
      </c>
      <c r="I711" s="5">
        <v>0.67400000000000004</v>
      </c>
      <c r="J711" s="5">
        <v>23</v>
      </c>
      <c r="K711" s="5" t="s">
        <v>35</v>
      </c>
      <c r="L711" s="15">
        <v>1</v>
      </c>
      <c r="M711" s="5" t="s">
        <v>57</v>
      </c>
      <c r="N711" s="5" t="s">
        <v>56</v>
      </c>
      <c r="O711" s="5" t="s">
        <v>31</v>
      </c>
      <c r="R711" s="5" t="e">
        <f>IF(diabetesoriginal[[#This Row],[Diabetes]]=$R$1,diabetesoriginal[[#This Row],[Skin Thickness]],NA())</f>
        <v>#N/A</v>
      </c>
      <c r="S711" s="5">
        <f>IF(diabetesoriginal[[#This Row],[Diabetes]]=$S$1,diabetesoriginal[[#This Row],[Skin Thickness]],NA())</f>
        <v>32</v>
      </c>
      <c r="U711" s="5" t="e">
        <f>IF(diabetesoriginal[[#This Row],[Diabetes]]=$U$1,diabetesoriginal[[#This Row],[Insulin]],NA())</f>
        <v>#N/A</v>
      </c>
      <c r="V711" s="5">
        <f>IF(diabetesoriginal[[#This Row],[Diabetes]]=$S$1,diabetesoriginal[[#This Row],[Insulin]],NA())</f>
        <v>160</v>
      </c>
    </row>
    <row r="712" spans="1:22" x14ac:dyDescent="0.25">
      <c r="A712" s="5">
        <v>3</v>
      </c>
      <c r="B712" s="5">
        <v>158</v>
      </c>
      <c r="C712" s="5">
        <v>64</v>
      </c>
      <c r="D712" s="5" t="s">
        <v>23</v>
      </c>
      <c r="E712" s="5">
        <v>13</v>
      </c>
      <c r="F712" s="5">
        <v>387</v>
      </c>
      <c r="G712" s="5">
        <v>31.2</v>
      </c>
      <c r="H712" s="5" t="s">
        <v>29</v>
      </c>
      <c r="I712" s="5">
        <v>0.29499999999999998</v>
      </c>
      <c r="J712" s="5">
        <v>24</v>
      </c>
      <c r="K712" s="5" t="s">
        <v>35</v>
      </c>
      <c r="L712" s="15">
        <v>0</v>
      </c>
      <c r="M712" s="5" t="s">
        <v>22</v>
      </c>
      <c r="N712" s="5" t="s">
        <v>58</v>
      </c>
      <c r="O712" s="5" t="s">
        <v>59</v>
      </c>
      <c r="R712" s="5">
        <f>IF(diabetesoriginal[[#This Row],[Diabetes]]=$R$1,diabetesoriginal[[#This Row],[Skin Thickness]],NA())</f>
        <v>13</v>
      </c>
      <c r="S712" s="5" t="e">
        <f>IF(diabetesoriginal[[#This Row],[Diabetes]]=$S$1,diabetesoriginal[[#This Row],[Skin Thickness]],NA())</f>
        <v>#N/A</v>
      </c>
      <c r="U712" s="5">
        <f>IF(diabetesoriginal[[#This Row],[Diabetes]]=$U$1,diabetesoriginal[[#This Row],[Insulin]],NA())</f>
        <v>387</v>
      </c>
      <c r="V712" s="5" t="e">
        <f>IF(diabetesoriginal[[#This Row],[Diabetes]]=$S$1,diabetesoriginal[[#This Row],[Insulin]],NA())</f>
        <v>#N/A</v>
      </c>
    </row>
    <row r="713" spans="1:22" x14ac:dyDescent="0.25">
      <c r="A713" s="5">
        <v>5</v>
      </c>
      <c r="B713" s="5">
        <v>126</v>
      </c>
      <c r="C713" s="5">
        <v>78</v>
      </c>
      <c r="D713" s="5" t="s">
        <v>23</v>
      </c>
      <c r="E713" s="5">
        <v>27</v>
      </c>
      <c r="F713" s="5">
        <v>22</v>
      </c>
      <c r="G713" s="5">
        <v>29.6</v>
      </c>
      <c r="H713" s="5" t="s">
        <v>30</v>
      </c>
      <c r="I713" s="5">
        <v>0.439</v>
      </c>
      <c r="J713" s="5">
        <v>40</v>
      </c>
      <c r="K713" s="5" t="s">
        <v>37</v>
      </c>
      <c r="L713" s="15">
        <v>0</v>
      </c>
      <c r="M713" s="5" t="s">
        <v>57</v>
      </c>
      <c r="N713" s="5" t="s">
        <v>56</v>
      </c>
      <c r="O713" s="5" t="s">
        <v>31</v>
      </c>
      <c r="R713" s="5">
        <f>IF(diabetesoriginal[[#This Row],[Diabetes]]=$R$1,diabetesoriginal[[#This Row],[Skin Thickness]],NA())</f>
        <v>27</v>
      </c>
      <c r="S713" s="5" t="e">
        <f>IF(diabetesoriginal[[#This Row],[Diabetes]]=$S$1,diabetesoriginal[[#This Row],[Skin Thickness]],NA())</f>
        <v>#N/A</v>
      </c>
      <c r="U713" s="5">
        <f>IF(diabetesoriginal[[#This Row],[Diabetes]]=$U$1,diabetesoriginal[[#This Row],[Insulin]],NA())</f>
        <v>22</v>
      </c>
      <c r="V713" s="5" t="e">
        <f>IF(diabetesoriginal[[#This Row],[Diabetes]]=$S$1,diabetesoriginal[[#This Row],[Insulin]],NA())</f>
        <v>#N/A</v>
      </c>
    </row>
    <row r="714" spans="1:22" x14ac:dyDescent="0.25">
      <c r="A714" s="5">
        <v>10</v>
      </c>
      <c r="B714" s="5">
        <v>129</v>
      </c>
      <c r="C714" s="5">
        <v>62</v>
      </c>
      <c r="D714" s="5" t="s">
        <v>23</v>
      </c>
      <c r="E714" s="5">
        <v>36</v>
      </c>
      <c r="F714" s="5">
        <v>125</v>
      </c>
      <c r="G714" s="5">
        <v>41.2</v>
      </c>
      <c r="H714" s="5" t="s">
        <v>32</v>
      </c>
      <c r="I714" s="5">
        <v>0.441</v>
      </c>
      <c r="J714" s="5">
        <v>38</v>
      </c>
      <c r="K714" s="5" t="s">
        <v>36</v>
      </c>
      <c r="L714" s="15">
        <v>1</v>
      </c>
      <c r="M714" s="5" t="s">
        <v>57</v>
      </c>
      <c r="N714" s="5" t="s">
        <v>56</v>
      </c>
      <c r="O714" s="5" t="s">
        <v>31</v>
      </c>
      <c r="R714" s="5" t="e">
        <f>IF(diabetesoriginal[[#This Row],[Diabetes]]=$R$1,diabetesoriginal[[#This Row],[Skin Thickness]],NA())</f>
        <v>#N/A</v>
      </c>
      <c r="S714" s="5">
        <f>IF(diabetesoriginal[[#This Row],[Diabetes]]=$S$1,diabetesoriginal[[#This Row],[Skin Thickness]],NA())</f>
        <v>36</v>
      </c>
      <c r="U714" s="5" t="e">
        <f>IF(diabetesoriginal[[#This Row],[Diabetes]]=$U$1,diabetesoriginal[[#This Row],[Insulin]],NA())</f>
        <v>#N/A</v>
      </c>
      <c r="V714" s="5">
        <f>IF(diabetesoriginal[[#This Row],[Diabetes]]=$S$1,diabetesoriginal[[#This Row],[Insulin]],NA())</f>
        <v>125</v>
      </c>
    </row>
    <row r="715" spans="1:22" x14ac:dyDescent="0.25">
      <c r="A715" s="5">
        <v>0</v>
      </c>
      <c r="B715" s="5">
        <v>134</v>
      </c>
      <c r="C715" s="5">
        <v>58</v>
      </c>
      <c r="D715" s="5" t="s">
        <v>23</v>
      </c>
      <c r="E715" s="5">
        <v>20</v>
      </c>
      <c r="F715" s="5">
        <v>291</v>
      </c>
      <c r="G715" s="5">
        <v>26.4</v>
      </c>
      <c r="H715" s="5" t="s">
        <v>30</v>
      </c>
      <c r="I715" s="5">
        <v>0.35199999999999998</v>
      </c>
      <c r="J715" s="5">
        <v>21</v>
      </c>
      <c r="K715" s="5" t="s">
        <v>35</v>
      </c>
      <c r="L715" s="15">
        <v>0</v>
      </c>
      <c r="M715" s="5" t="s">
        <v>57</v>
      </c>
      <c r="N715" s="5" t="s">
        <v>58</v>
      </c>
      <c r="O715" s="5" t="s">
        <v>59</v>
      </c>
      <c r="R715" s="5">
        <f>IF(diabetesoriginal[[#This Row],[Diabetes]]=$R$1,diabetesoriginal[[#This Row],[Skin Thickness]],NA())</f>
        <v>20</v>
      </c>
      <c r="S715" s="5" t="e">
        <f>IF(diabetesoriginal[[#This Row],[Diabetes]]=$S$1,diabetesoriginal[[#This Row],[Skin Thickness]],NA())</f>
        <v>#N/A</v>
      </c>
      <c r="U715" s="5">
        <f>IF(diabetesoriginal[[#This Row],[Diabetes]]=$U$1,diabetesoriginal[[#This Row],[Insulin]],NA())</f>
        <v>291</v>
      </c>
      <c r="V715" s="5" t="e">
        <f>IF(diabetesoriginal[[#This Row],[Diabetes]]=$S$1,diabetesoriginal[[#This Row],[Insulin]],NA())</f>
        <v>#N/A</v>
      </c>
    </row>
    <row r="716" spans="1:22" x14ac:dyDescent="0.25">
      <c r="A716" s="5">
        <v>3</v>
      </c>
      <c r="B716" s="5">
        <v>102</v>
      </c>
      <c r="C716" s="5">
        <v>74</v>
      </c>
      <c r="D716" s="5" t="s">
        <v>23</v>
      </c>
      <c r="E716" s="5">
        <v>29</v>
      </c>
      <c r="F716" s="5">
        <v>125</v>
      </c>
      <c r="G716" s="5">
        <v>29.5</v>
      </c>
      <c r="H716" s="5" t="s">
        <v>30</v>
      </c>
      <c r="I716" s="5">
        <v>0.121</v>
      </c>
      <c r="J716" s="5">
        <v>32</v>
      </c>
      <c r="K716" s="5" t="s">
        <v>36</v>
      </c>
      <c r="L716" s="15">
        <v>0</v>
      </c>
      <c r="M716" s="5" t="s">
        <v>57</v>
      </c>
      <c r="N716" s="5" t="s">
        <v>56</v>
      </c>
      <c r="O716" s="5" t="s">
        <v>31</v>
      </c>
      <c r="R716" s="5">
        <f>IF(diabetesoriginal[[#This Row],[Diabetes]]=$R$1,diabetesoriginal[[#This Row],[Skin Thickness]],NA())</f>
        <v>29</v>
      </c>
      <c r="S716" s="5" t="e">
        <f>IF(diabetesoriginal[[#This Row],[Diabetes]]=$S$1,diabetesoriginal[[#This Row],[Skin Thickness]],NA())</f>
        <v>#N/A</v>
      </c>
      <c r="U716" s="5">
        <f>IF(diabetesoriginal[[#This Row],[Diabetes]]=$U$1,diabetesoriginal[[#This Row],[Insulin]],NA())</f>
        <v>125</v>
      </c>
      <c r="V716" s="5" t="e">
        <f>IF(diabetesoriginal[[#This Row],[Diabetes]]=$S$1,diabetesoriginal[[#This Row],[Insulin]],NA())</f>
        <v>#N/A</v>
      </c>
    </row>
    <row r="717" spans="1:22" x14ac:dyDescent="0.25">
      <c r="A717" s="5">
        <v>7</v>
      </c>
      <c r="B717" s="5">
        <v>187</v>
      </c>
      <c r="C717" s="5">
        <v>50</v>
      </c>
      <c r="D717" s="5" t="s">
        <v>23</v>
      </c>
      <c r="E717" s="5">
        <v>33</v>
      </c>
      <c r="F717" s="5">
        <v>392</v>
      </c>
      <c r="G717" s="5">
        <v>33.9</v>
      </c>
      <c r="H717" s="5" t="s">
        <v>29</v>
      </c>
      <c r="I717" s="5">
        <v>0.82599999999999996</v>
      </c>
      <c r="J717" s="5">
        <v>34</v>
      </c>
      <c r="K717" s="5" t="s">
        <v>36</v>
      </c>
      <c r="L717" s="15">
        <v>1</v>
      </c>
      <c r="M717" s="5" t="s">
        <v>22</v>
      </c>
      <c r="N717" s="5" t="s">
        <v>56</v>
      </c>
      <c r="O717" s="5" t="s">
        <v>59</v>
      </c>
      <c r="R717" s="5" t="e">
        <f>IF(diabetesoriginal[[#This Row],[Diabetes]]=$R$1,diabetesoriginal[[#This Row],[Skin Thickness]],NA())</f>
        <v>#N/A</v>
      </c>
      <c r="S717" s="5">
        <f>IF(diabetesoriginal[[#This Row],[Diabetes]]=$S$1,diabetesoriginal[[#This Row],[Skin Thickness]],NA())</f>
        <v>33</v>
      </c>
      <c r="U717" s="5" t="e">
        <f>IF(diabetesoriginal[[#This Row],[Diabetes]]=$U$1,diabetesoriginal[[#This Row],[Insulin]],NA())</f>
        <v>#N/A</v>
      </c>
      <c r="V717" s="5">
        <f>IF(diabetesoriginal[[#This Row],[Diabetes]]=$S$1,diabetesoriginal[[#This Row],[Insulin]],NA())</f>
        <v>392</v>
      </c>
    </row>
    <row r="718" spans="1:22" x14ac:dyDescent="0.25">
      <c r="A718" s="5">
        <v>3</v>
      </c>
      <c r="B718" s="5">
        <v>173</v>
      </c>
      <c r="C718" s="5">
        <v>78</v>
      </c>
      <c r="D718" s="5" t="s">
        <v>23</v>
      </c>
      <c r="E718" s="5">
        <v>39</v>
      </c>
      <c r="F718" s="5">
        <v>185</v>
      </c>
      <c r="G718" s="5">
        <v>33.799999999999997</v>
      </c>
      <c r="H718" s="5" t="s">
        <v>29</v>
      </c>
      <c r="I718" s="5">
        <v>0.97</v>
      </c>
      <c r="J718" s="5">
        <v>31</v>
      </c>
      <c r="K718" s="5" t="s">
        <v>36</v>
      </c>
      <c r="L718" s="15">
        <v>1</v>
      </c>
      <c r="M718" s="5" t="s">
        <v>22</v>
      </c>
      <c r="N718" s="5" t="s">
        <v>56</v>
      </c>
      <c r="O718" s="5" t="s">
        <v>59</v>
      </c>
      <c r="R718" s="5" t="e">
        <f>IF(diabetesoriginal[[#This Row],[Diabetes]]=$R$1,diabetesoriginal[[#This Row],[Skin Thickness]],NA())</f>
        <v>#N/A</v>
      </c>
      <c r="S718" s="5">
        <f>IF(diabetesoriginal[[#This Row],[Diabetes]]=$S$1,diabetesoriginal[[#This Row],[Skin Thickness]],NA())</f>
        <v>39</v>
      </c>
      <c r="U718" s="5" t="e">
        <f>IF(diabetesoriginal[[#This Row],[Diabetes]]=$U$1,diabetesoriginal[[#This Row],[Insulin]],NA())</f>
        <v>#N/A</v>
      </c>
      <c r="V718" s="5">
        <f>IF(diabetesoriginal[[#This Row],[Diabetes]]=$S$1,diabetesoriginal[[#This Row],[Insulin]],NA())</f>
        <v>185</v>
      </c>
    </row>
    <row r="719" spans="1:22" x14ac:dyDescent="0.25">
      <c r="A719" s="5">
        <v>10</v>
      </c>
      <c r="B719" s="5">
        <v>94</v>
      </c>
      <c r="C719" s="5">
        <v>72</v>
      </c>
      <c r="D719" s="5" t="s">
        <v>23</v>
      </c>
      <c r="E719" s="5">
        <v>18</v>
      </c>
      <c r="F719" s="5">
        <v>125</v>
      </c>
      <c r="G719" s="5">
        <v>23.1</v>
      </c>
      <c r="H719" s="5" t="s">
        <v>31</v>
      </c>
      <c r="I719" s="5">
        <v>0.59499999999999997</v>
      </c>
      <c r="J719" s="5">
        <v>56</v>
      </c>
      <c r="K719" s="5" t="s">
        <v>38</v>
      </c>
      <c r="L719" s="15">
        <v>0</v>
      </c>
      <c r="M719" s="5" t="s">
        <v>57</v>
      </c>
      <c r="N719" s="5" t="s">
        <v>58</v>
      </c>
      <c r="O719" s="5" t="s">
        <v>31</v>
      </c>
      <c r="R719" s="5">
        <f>IF(diabetesoriginal[[#This Row],[Diabetes]]=$R$1,diabetesoriginal[[#This Row],[Skin Thickness]],NA())</f>
        <v>18</v>
      </c>
      <c r="S719" s="5" t="e">
        <f>IF(diabetesoriginal[[#This Row],[Diabetes]]=$S$1,diabetesoriginal[[#This Row],[Skin Thickness]],NA())</f>
        <v>#N/A</v>
      </c>
      <c r="U719" s="5">
        <f>IF(diabetesoriginal[[#This Row],[Diabetes]]=$U$1,diabetesoriginal[[#This Row],[Insulin]],NA())</f>
        <v>125</v>
      </c>
      <c r="V719" s="5" t="e">
        <f>IF(diabetesoriginal[[#This Row],[Diabetes]]=$S$1,diabetesoriginal[[#This Row],[Insulin]],NA())</f>
        <v>#N/A</v>
      </c>
    </row>
    <row r="720" spans="1:22" x14ac:dyDescent="0.25">
      <c r="A720" s="5">
        <v>1</v>
      </c>
      <c r="B720" s="5">
        <v>108</v>
      </c>
      <c r="C720" s="5">
        <v>60</v>
      </c>
      <c r="D720" s="5" t="s">
        <v>23</v>
      </c>
      <c r="E720" s="5">
        <v>46</v>
      </c>
      <c r="F720" s="5">
        <v>178</v>
      </c>
      <c r="G720" s="5">
        <v>35.5</v>
      </c>
      <c r="H720" s="5" t="s">
        <v>29</v>
      </c>
      <c r="I720" s="5">
        <v>0.41499999999999998</v>
      </c>
      <c r="J720" s="5">
        <v>24</v>
      </c>
      <c r="K720" s="5" t="s">
        <v>35</v>
      </c>
      <c r="L720" s="15">
        <v>0</v>
      </c>
      <c r="M720" s="5" t="s">
        <v>57</v>
      </c>
      <c r="N720" s="5" t="s">
        <v>56</v>
      </c>
      <c r="O720" s="5" t="s">
        <v>59</v>
      </c>
      <c r="R720" s="5">
        <f>IF(diabetesoriginal[[#This Row],[Diabetes]]=$R$1,diabetesoriginal[[#This Row],[Skin Thickness]],NA())</f>
        <v>46</v>
      </c>
      <c r="S720" s="5" t="e">
        <f>IF(diabetesoriginal[[#This Row],[Diabetes]]=$S$1,diabetesoriginal[[#This Row],[Skin Thickness]],NA())</f>
        <v>#N/A</v>
      </c>
      <c r="U720" s="5">
        <f>IF(diabetesoriginal[[#This Row],[Diabetes]]=$U$1,diabetesoriginal[[#This Row],[Insulin]],NA())</f>
        <v>178</v>
      </c>
      <c r="V720" s="5" t="e">
        <f>IF(diabetesoriginal[[#This Row],[Diabetes]]=$S$1,diabetesoriginal[[#This Row],[Insulin]],NA())</f>
        <v>#N/A</v>
      </c>
    </row>
    <row r="721" spans="1:22" x14ac:dyDescent="0.25">
      <c r="A721" s="5">
        <v>5</v>
      </c>
      <c r="B721" s="5">
        <v>97</v>
      </c>
      <c r="C721" s="5">
        <v>76</v>
      </c>
      <c r="D721" s="5" t="s">
        <v>23</v>
      </c>
      <c r="E721" s="5">
        <v>27</v>
      </c>
      <c r="F721" s="5">
        <v>125</v>
      </c>
      <c r="G721" s="5">
        <v>35.6</v>
      </c>
      <c r="H721" s="5" t="s">
        <v>29</v>
      </c>
      <c r="I721" s="5">
        <v>0.378</v>
      </c>
      <c r="J721" s="5">
        <v>52</v>
      </c>
      <c r="K721" s="5" t="s">
        <v>38</v>
      </c>
      <c r="L721" s="15">
        <v>1</v>
      </c>
      <c r="M721" s="5" t="s">
        <v>57</v>
      </c>
      <c r="N721" s="5" t="s">
        <v>56</v>
      </c>
      <c r="O721" s="5" t="s">
        <v>31</v>
      </c>
      <c r="R721" s="5" t="e">
        <f>IF(diabetesoriginal[[#This Row],[Diabetes]]=$R$1,diabetesoriginal[[#This Row],[Skin Thickness]],NA())</f>
        <v>#N/A</v>
      </c>
      <c r="S721" s="5">
        <f>IF(diabetesoriginal[[#This Row],[Diabetes]]=$S$1,diabetesoriginal[[#This Row],[Skin Thickness]],NA())</f>
        <v>27</v>
      </c>
      <c r="U721" s="5" t="e">
        <f>IF(diabetesoriginal[[#This Row],[Diabetes]]=$U$1,diabetesoriginal[[#This Row],[Insulin]],NA())</f>
        <v>#N/A</v>
      </c>
      <c r="V721" s="5">
        <f>IF(diabetesoriginal[[#This Row],[Diabetes]]=$S$1,diabetesoriginal[[#This Row],[Insulin]],NA())</f>
        <v>125</v>
      </c>
    </row>
    <row r="722" spans="1:22" x14ac:dyDescent="0.25">
      <c r="A722" s="5">
        <v>4</v>
      </c>
      <c r="B722" s="5">
        <v>83</v>
      </c>
      <c r="C722" s="5">
        <v>86</v>
      </c>
      <c r="D722" s="5" t="s">
        <v>25</v>
      </c>
      <c r="E722" s="5">
        <v>19</v>
      </c>
      <c r="F722" s="5">
        <v>125</v>
      </c>
      <c r="G722" s="5">
        <v>29.3</v>
      </c>
      <c r="H722" s="5" t="s">
        <v>30</v>
      </c>
      <c r="I722" s="5">
        <v>0.317</v>
      </c>
      <c r="J722" s="5">
        <v>34</v>
      </c>
      <c r="K722" s="5" t="s">
        <v>36</v>
      </c>
      <c r="L722" s="15">
        <v>0</v>
      </c>
      <c r="M722" s="5" t="s">
        <v>57</v>
      </c>
      <c r="N722" s="5" t="s">
        <v>58</v>
      </c>
      <c r="O722" s="5" t="s">
        <v>31</v>
      </c>
      <c r="R722" s="5">
        <f>IF(diabetesoriginal[[#This Row],[Diabetes]]=$R$1,diabetesoriginal[[#This Row],[Skin Thickness]],NA())</f>
        <v>19</v>
      </c>
      <c r="S722" s="5" t="e">
        <f>IF(diabetesoriginal[[#This Row],[Diabetes]]=$S$1,diabetesoriginal[[#This Row],[Skin Thickness]],NA())</f>
        <v>#N/A</v>
      </c>
      <c r="U722" s="5">
        <f>IF(diabetesoriginal[[#This Row],[Diabetes]]=$U$1,diabetesoriginal[[#This Row],[Insulin]],NA())</f>
        <v>125</v>
      </c>
      <c r="V722" s="5" t="e">
        <f>IF(diabetesoriginal[[#This Row],[Diabetes]]=$S$1,diabetesoriginal[[#This Row],[Insulin]],NA())</f>
        <v>#N/A</v>
      </c>
    </row>
    <row r="723" spans="1:22" x14ac:dyDescent="0.25">
      <c r="A723" s="5">
        <v>1</v>
      </c>
      <c r="B723" s="5">
        <v>114</v>
      </c>
      <c r="C723" s="5">
        <v>66</v>
      </c>
      <c r="D723" s="5" t="s">
        <v>23</v>
      </c>
      <c r="E723" s="5">
        <v>36</v>
      </c>
      <c r="F723" s="5">
        <v>200</v>
      </c>
      <c r="G723" s="5">
        <v>38.1</v>
      </c>
      <c r="H723" s="5" t="s">
        <v>29</v>
      </c>
      <c r="I723" s="5">
        <v>0.28899999999999998</v>
      </c>
      <c r="J723" s="5">
        <v>21</v>
      </c>
      <c r="K723" s="5" t="s">
        <v>35</v>
      </c>
      <c r="L723" s="15">
        <v>0</v>
      </c>
      <c r="M723" s="5" t="s">
        <v>57</v>
      </c>
      <c r="N723" s="5" t="s">
        <v>56</v>
      </c>
      <c r="O723" s="5" t="s">
        <v>59</v>
      </c>
      <c r="R723" s="5">
        <f>IF(diabetesoriginal[[#This Row],[Diabetes]]=$R$1,diabetesoriginal[[#This Row],[Skin Thickness]],NA())</f>
        <v>36</v>
      </c>
      <c r="S723" s="5" t="e">
        <f>IF(diabetesoriginal[[#This Row],[Diabetes]]=$S$1,diabetesoriginal[[#This Row],[Skin Thickness]],NA())</f>
        <v>#N/A</v>
      </c>
      <c r="U723" s="5">
        <f>IF(diabetesoriginal[[#This Row],[Diabetes]]=$U$1,diabetesoriginal[[#This Row],[Insulin]],NA())</f>
        <v>200</v>
      </c>
      <c r="V723" s="5" t="e">
        <f>IF(diabetesoriginal[[#This Row],[Diabetes]]=$S$1,diabetesoriginal[[#This Row],[Insulin]],NA())</f>
        <v>#N/A</v>
      </c>
    </row>
    <row r="724" spans="1:22" x14ac:dyDescent="0.25">
      <c r="A724" s="5">
        <v>1</v>
      </c>
      <c r="B724" s="5">
        <v>149</v>
      </c>
      <c r="C724" s="5">
        <v>68</v>
      </c>
      <c r="D724" s="5" t="s">
        <v>23</v>
      </c>
      <c r="E724" s="5">
        <v>29</v>
      </c>
      <c r="F724" s="5">
        <v>127</v>
      </c>
      <c r="G724" s="5">
        <v>29.3</v>
      </c>
      <c r="H724" s="5" t="s">
        <v>30</v>
      </c>
      <c r="I724" s="5">
        <v>0.34899999999999998</v>
      </c>
      <c r="J724" s="5">
        <v>42</v>
      </c>
      <c r="K724" s="5" t="s">
        <v>37</v>
      </c>
      <c r="L724" s="15">
        <v>1</v>
      </c>
      <c r="M724" s="5" t="s">
        <v>22</v>
      </c>
      <c r="N724" s="5" t="s">
        <v>56</v>
      </c>
      <c r="O724" s="5" t="s">
        <v>31</v>
      </c>
      <c r="R724" s="5" t="e">
        <f>IF(diabetesoriginal[[#This Row],[Diabetes]]=$R$1,diabetesoriginal[[#This Row],[Skin Thickness]],NA())</f>
        <v>#N/A</v>
      </c>
      <c r="S724" s="5">
        <f>IF(diabetesoriginal[[#This Row],[Diabetes]]=$S$1,diabetesoriginal[[#This Row],[Skin Thickness]],NA())</f>
        <v>29</v>
      </c>
      <c r="U724" s="5" t="e">
        <f>IF(diabetesoriginal[[#This Row],[Diabetes]]=$U$1,diabetesoriginal[[#This Row],[Insulin]],NA())</f>
        <v>#N/A</v>
      </c>
      <c r="V724" s="5">
        <f>IF(diabetesoriginal[[#This Row],[Diabetes]]=$S$1,diabetesoriginal[[#This Row],[Insulin]],NA())</f>
        <v>127</v>
      </c>
    </row>
    <row r="725" spans="1:22" x14ac:dyDescent="0.25">
      <c r="A725" s="5">
        <v>5</v>
      </c>
      <c r="B725" s="5">
        <v>117</v>
      </c>
      <c r="C725" s="5">
        <v>86</v>
      </c>
      <c r="D725" s="5" t="s">
        <v>25</v>
      </c>
      <c r="E725" s="5">
        <v>30</v>
      </c>
      <c r="F725" s="5">
        <v>105</v>
      </c>
      <c r="G725" s="5">
        <v>39.1</v>
      </c>
      <c r="H725" s="5" t="s">
        <v>29</v>
      </c>
      <c r="I725" s="5">
        <v>0.251</v>
      </c>
      <c r="J725" s="5">
        <v>42</v>
      </c>
      <c r="K725" s="5" t="s">
        <v>37</v>
      </c>
      <c r="L725" s="15">
        <v>0</v>
      </c>
      <c r="M725" s="5" t="s">
        <v>57</v>
      </c>
      <c r="N725" s="5" t="s">
        <v>56</v>
      </c>
      <c r="O725" s="5" t="s">
        <v>31</v>
      </c>
      <c r="R725" s="5">
        <f>IF(diabetesoriginal[[#This Row],[Diabetes]]=$R$1,diabetesoriginal[[#This Row],[Skin Thickness]],NA())</f>
        <v>30</v>
      </c>
      <c r="S725" s="5" t="e">
        <f>IF(diabetesoriginal[[#This Row],[Diabetes]]=$S$1,diabetesoriginal[[#This Row],[Skin Thickness]],NA())</f>
        <v>#N/A</v>
      </c>
      <c r="U725" s="5">
        <f>IF(diabetesoriginal[[#This Row],[Diabetes]]=$U$1,diabetesoriginal[[#This Row],[Insulin]],NA())</f>
        <v>105</v>
      </c>
      <c r="V725" s="5" t="e">
        <f>IF(diabetesoriginal[[#This Row],[Diabetes]]=$S$1,diabetesoriginal[[#This Row],[Insulin]],NA())</f>
        <v>#N/A</v>
      </c>
    </row>
    <row r="726" spans="1:22" x14ac:dyDescent="0.25">
      <c r="A726" s="5">
        <v>1</v>
      </c>
      <c r="B726" s="5">
        <v>111</v>
      </c>
      <c r="C726" s="5">
        <v>94</v>
      </c>
      <c r="D726" s="5" t="s">
        <v>24</v>
      </c>
      <c r="E726" s="5">
        <v>29</v>
      </c>
      <c r="F726" s="5">
        <v>125</v>
      </c>
      <c r="G726" s="5">
        <v>32.799999999999997</v>
      </c>
      <c r="H726" s="5" t="s">
        <v>29</v>
      </c>
      <c r="I726" s="5">
        <v>0.26500000000000001</v>
      </c>
      <c r="J726" s="5">
        <v>45</v>
      </c>
      <c r="K726" s="5" t="s">
        <v>37</v>
      </c>
      <c r="L726" s="15">
        <v>0</v>
      </c>
      <c r="M726" s="5" t="s">
        <v>57</v>
      </c>
      <c r="N726" s="5" t="s">
        <v>56</v>
      </c>
      <c r="O726" s="5" t="s">
        <v>31</v>
      </c>
      <c r="R726" s="5">
        <f>IF(diabetesoriginal[[#This Row],[Diabetes]]=$R$1,diabetesoriginal[[#This Row],[Skin Thickness]],NA())</f>
        <v>29</v>
      </c>
      <c r="S726" s="5" t="e">
        <f>IF(diabetesoriginal[[#This Row],[Diabetes]]=$S$1,diabetesoriginal[[#This Row],[Skin Thickness]],NA())</f>
        <v>#N/A</v>
      </c>
      <c r="U726" s="5">
        <f>IF(diabetesoriginal[[#This Row],[Diabetes]]=$U$1,diabetesoriginal[[#This Row],[Insulin]],NA())</f>
        <v>125</v>
      </c>
      <c r="V726" s="5" t="e">
        <f>IF(diabetesoriginal[[#This Row],[Diabetes]]=$S$1,diabetesoriginal[[#This Row],[Insulin]],NA())</f>
        <v>#N/A</v>
      </c>
    </row>
    <row r="727" spans="1:22" x14ac:dyDescent="0.25">
      <c r="A727" s="5">
        <v>4</v>
      </c>
      <c r="B727" s="5">
        <v>112</v>
      </c>
      <c r="C727" s="5">
        <v>78</v>
      </c>
      <c r="D727" s="5" t="s">
        <v>23</v>
      </c>
      <c r="E727" s="5">
        <v>40</v>
      </c>
      <c r="F727" s="5">
        <v>125</v>
      </c>
      <c r="G727" s="5">
        <v>39.4</v>
      </c>
      <c r="H727" s="5" t="s">
        <v>29</v>
      </c>
      <c r="I727" s="5">
        <v>0.23599999999999999</v>
      </c>
      <c r="J727" s="5">
        <v>38</v>
      </c>
      <c r="K727" s="5" t="s">
        <v>36</v>
      </c>
      <c r="L727" s="15">
        <v>0</v>
      </c>
      <c r="M727" s="5" t="s">
        <v>57</v>
      </c>
      <c r="N727" s="5" t="s">
        <v>56</v>
      </c>
      <c r="O727" s="5" t="s">
        <v>31</v>
      </c>
      <c r="R727" s="5">
        <f>IF(diabetesoriginal[[#This Row],[Diabetes]]=$R$1,diabetesoriginal[[#This Row],[Skin Thickness]],NA())</f>
        <v>40</v>
      </c>
      <c r="S727" s="5" t="e">
        <f>IF(diabetesoriginal[[#This Row],[Diabetes]]=$S$1,diabetesoriginal[[#This Row],[Skin Thickness]],NA())</f>
        <v>#N/A</v>
      </c>
      <c r="U727" s="5">
        <f>IF(diabetesoriginal[[#This Row],[Diabetes]]=$U$1,diabetesoriginal[[#This Row],[Insulin]],NA())</f>
        <v>125</v>
      </c>
      <c r="V727" s="5" t="e">
        <f>IF(diabetesoriginal[[#This Row],[Diabetes]]=$S$1,diabetesoriginal[[#This Row],[Insulin]],NA())</f>
        <v>#N/A</v>
      </c>
    </row>
    <row r="728" spans="1:22" x14ac:dyDescent="0.25">
      <c r="A728" s="5">
        <v>1</v>
      </c>
      <c r="B728" s="5">
        <v>116</v>
      </c>
      <c r="C728" s="5">
        <v>78</v>
      </c>
      <c r="D728" s="5" t="s">
        <v>23</v>
      </c>
      <c r="E728" s="5">
        <v>29</v>
      </c>
      <c r="F728" s="5">
        <v>180</v>
      </c>
      <c r="G728" s="5">
        <v>36.1</v>
      </c>
      <c r="H728" s="5" t="s">
        <v>29</v>
      </c>
      <c r="I728" s="5">
        <v>0.496</v>
      </c>
      <c r="J728" s="5">
        <v>25</v>
      </c>
      <c r="K728" s="5" t="s">
        <v>35</v>
      </c>
      <c r="L728" s="15">
        <v>0</v>
      </c>
      <c r="M728" s="5" t="s">
        <v>57</v>
      </c>
      <c r="N728" s="5" t="s">
        <v>56</v>
      </c>
      <c r="O728" s="5" t="s">
        <v>59</v>
      </c>
      <c r="R728" s="5">
        <f>IF(diabetesoriginal[[#This Row],[Diabetes]]=$R$1,diabetesoriginal[[#This Row],[Skin Thickness]],NA())</f>
        <v>29</v>
      </c>
      <c r="S728" s="5" t="e">
        <f>IF(diabetesoriginal[[#This Row],[Diabetes]]=$S$1,diabetesoriginal[[#This Row],[Skin Thickness]],NA())</f>
        <v>#N/A</v>
      </c>
      <c r="U728" s="5">
        <f>IF(diabetesoriginal[[#This Row],[Diabetes]]=$U$1,diabetesoriginal[[#This Row],[Insulin]],NA())</f>
        <v>180</v>
      </c>
      <c r="V728" s="5" t="e">
        <f>IF(diabetesoriginal[[#This Row],[Diabetes]]=$S$1,diabetesoriginal[[#This Row],[Insulin]],NA())</f>
        <v>#N/A</v>
      </c>
    </row>
    <row r="729" spans="1:22" x14ac:dyDescent="0.25">
      <c r="A729" s="5">
        <v>0</v>
      </c>
      <c r="B729" s="5">
        <v>141</v>
      </c>
      <c r="C729" s="5">
        <v>84</v>
      </c>
      <c r="D729" s="5" t="s">
        <v>25</v>
      </c>
      <c r="E729" s="5">
        <v>26</v>
      </c>
      <c r="F729" s="5">
        <v>125</v>
      </c>
      <c r="G729" s="5">
        <v>32.4</v>
      </c>
      <c r="H729" s="5" t="s">
        <v>29</v>
      </c>
      <c r="I729" s="5">
        <v>0.433</v>
      </c>
      <c r="J729" s="5">
        <v>22</v>
      </c>
      <c r="K729" s="5" t="s">
        <v>35</v>
      </c>
      <c r="L729" s="15">
        <v>0</v>
      </c>
      <c r="M729" s="5" t="s">
        <v>22</v>
      </c>
      <c r="N729" s="5" t="s">
        <v>56</v>
      </c>
      <c r="O729" s="5" t="s">
        <v>31</v>
      </c>
      <c r="R729" s="5">
        <f>IF(diabetesoriginal[[#This Row],[Diabetes]]=$R$1,diabetesoriginal[[#This Row],[Skin Thickness]],NA())</f>
        <v>26</v>
      </c>
      <c r="S729" s="5" t="e">
        <f>IF(diabetesoriginal[[#This Row],[Diabetes]]=$S$1,diabetesoriginal[[#This Row],[Skin Thickness]],NA())</f>
        <v>#N/A</v>
      </c>
      <c r="U729" s="5">
        <f>IF(diabetesoriginal[[#This Row],[Diabetes]]=$U$1,diabetesoriginal[[#This Row],[Insulin]],NA())</f>
        <v>125</v>
      </c>
      <c r="V729" s="5" t="e">
        <f>IF(diabetesoriginal[[#This Row],[Diabetes]]=$S$1,diabetesoriginal[[#This Row],[Insulin]],NA())</f>
        <v>#N/A</v>
      </c>
    </row>
    <row r="730" spans="1:22" x14ac:dyDescent="0.25">
      <c r="A730" s="5">
        <v>2</v>
      </c>
      <c r="B730" s="5">
        <v>175</v>
      </c>
      <c r="C730" s="5">
        <v>88</v>
      </c>
      <c r="D730" s="5" t="s">
        <v>25</v>
      </c>
      <c r="E730" s="5">
        <v>29</v>
      </c>
      <c r="F730" s="5">
        <v>125</v>
      </c>
      <c r="G730" s="5">
        <v>22.9</v>
      </c>
      <c r="H730" s="5" t="s">
        <v>31</v>
      </c>
      <c r="I730" s="5">
        <v>0.32600000000000001</v>
      </c>
      <c r="J730" s="5">
        <v>22</v>
      </c>
      <c r="K730" s="5" t="s">
        <v>35</v>
      </c>
      <c r="L730" s="15">
        <v>0</v>
      </c>
      <c r="M730" s="5" t="s">
        <v>22</v>
      </c>
      <c r="N730" s="5" t="s">
        <v>56</v>
      </c>
      <c r="O730" s="5" t="s">
        <v>31</v>
      </c>
      <c r="R730" s="5">
        <f>IF(diabetesoriginal[[#This Row],[Diabetes]]=$R$1,diabetesoriginal[[#This Row],[Skin Thickness]],NA())</f>
        <v>29</v>
      </c>
      <c r="S730" s="5" t="e">
        <f>IF(diabetesoriginal[[#This Row],[Diabetes]]=$S$1,diabetesoriginal[[#This Row],[Skin Thickness]],NA())</f>
        <v>#N/A</v>
      </c>
      <c r="U730" s="5">
        <f>IF(diabetesoriginal[[#This Row],[Diabetes]]=$U$1,diabetesoriginal[[#This Row],[Insulin]],NA())</f>
        <v>125</v>
      </c>
      <c r="V730" s="5" t="e">
        <f>IF(diabetesoriginal[[#This Row],[Diabetes]]=$S$1,diabetesoriginal[[#This Row],[Insulin]],NA())</f>
        <v>#N/A</v>
      </c>
    </row>
    <row r="731" spans="1:22" x14ac:dyDescent="0.25">
      <c r="A731" s="5">
        <v>2</v>
      </c>
      <c r="B731" s="5">
        <v>92</v>
      </c>
      <c r="C731" s="5">
        <v>52</v>
      </c>
      <c r="D731" s="5" t="s">
        <v>23</v>
      </c>
      <c r="E731" s="5">
        <v>29</v>
      </c>
      <c r="F731" s="5">
        <v>125</v>
      </c>
      <c r="G731" s="5">
        <v>30.1</v>
      </c>
      <c r="H731" s="5" t="s">
        <v>29</v>
      </c>
      <c r="I731" s="5">
        <v>0.14099999999999999</v>
      </c>
      <c r="J731" s="5">
        <v>22</v>
      </c>
      <c r="K731" s="5" t="s">
        <v>35</v>
      </c>
      <c r="L731" s="15">
        <v>0</v>
      </c>
      <c r="M731" s="5" t="s">
        <v>57</v>
      </c>
      <c r="N731" s="5" t="s">
        <v>56</v>
      </c>
      <c r="O731" s="5" t="s">
        <v>31</v>
      </c>
      <c r="R731" s="5">
        <f>IF(diabetesoriginal[[#This Row],[Diabetes]]=$R$1,diabetesoriginal[[#This Row],[Skin Thickness]],NA())</f>
        <v>29</v>
      </c>
      <c r="S731" s="5" t="e">
        <f>IF(diabetesoriginal[[#This Row],[Diabetes]]=$S$1,diabetesoriginal[[#This Row],[Skin Thickness]],NA())</f>
        <v>#N/A</v>
      </c>
      <c r="U731" s="5">
        <f>IF(diabetesoriginal[[#This Row],[Diabetes]]=$U$1,diabetesoriginal[[#This Row],[Insulin]],NA())</f>
        <v>125</v>
      </c>
      <c r="V731" s="5" t="e">
        <f>IF(diabetesoriginal[[#This Row],[Diabetes]]=$S$1,diabetesoriginal[[#This Row],[Insulin]],NA())</f>
        <v>#N/A</v>
      </c>
    </row>
    <row r="732" spans="1:22" x14ac:dyDescent="0.25">
      <c r="A732" s="5">
        <v>3</v>
      </c>
      <c r="B732" s="5">
        <v>130</v>
      </c>
      <c r="C732" s="5">
        <v>78</v>
      </c>
      <c r="D732" s="5" t="s">
        <v>23</v>
      </c>
      <c r="E732" s="5">
        <v>23</v>
      </c>
      <c r="F732" s="5">
        <v>79</v>
      </c>
      <c r="G732" s="5">
        <v>28.4</v>
      </c>
      <c r="H732" s="5" t="s">
        <v>30</v>
      </c>
      <c r="I732" s="5">
        <v>0.32300000000000001</v>
      </c>
      <c r="J732" s="5">
        <v>34</v>
      </c>
      <c r="K732" s="5" t="s">
        <v>36</v>
      </c>
      <c r="L732" s="15">
        <v>1</v>
      </c>
      <c r="M732" s="5" t="s">
        <v>57</v>
      </c>
      <c r="N732" s="5" t="s">
        <v>58</v>
      </c>
      <c r="O732" s="5" t="s">
        <v>31</v>
      </c>
      <c r="R732" s="5" t="e">
        <f>IF(diabetesoriginal[[#This Row],[Diabetes]]=$R$1,diabetesoriginal[[#This Row],[Skin Thickness]],NA())</f>
        <v>#N/A</v>
      </c>
      <c r="S732" s="5">
        <f>IF(diabetesoriginal[[#This Row],[Diabetes]]=$S$1,diabetesoriginal[[#This Row],[Skin Thickness]],NA())</f>
        <v>23</v>
      </c>
      <c r="U732" s="5" t="e">
        <f>IF(diabetesoriginal[[#This Row],[Diabetes]]=$U$1,diabetesoriginal[[#This Row],[Insulin]],NA())</f>
        <v>#N/A</v>
      </c>
      <c r="V732" s="5">
        <f>IF(diabetesoriginal[[#This Row],[Diabetes]]=$S$1,diabetesoriginal[[#This Row],[Insulin]],NA())</f>
        <v>79</v>
      </c>
    </row>
    <row r="733" spans="1:22" x14ac:dyDescent="0.25">
      <c r="A733" s="5">
        <v>8</v>
      </c>
      <c r="B733" s="5">
        <v>120</v>
      </c>
      <c r="C733" s="5">
        <v>86</v>
      </c>
      <c r="D733" s="5" t="s">
        <v>25</v>
      </c>
      <c r="E733" s="5">
        <v>29</v>
      </c>
      <c r="F733" s="5">
        <v>125</v>
      </c>
      <c r="G733" s="5">
        <v>28.4</v>
      </c>
      <c r="H733" s="5" t="s">
        <v>30</v>
      </c>
      <c r="I733" s="5">
        <v>0.25900000000000001</v>
      </c>
      <c r="J733" s="5">
        <v>22</v>
      </c>
      <c r="K733" s="5" t="s">
        <v>35</v>
      </c>
      <c r="L733" s="15">
        <v>1</v>
      </c>
      <c r="M733" s="5" t="s">
        <v>57</v>
      </c>
      <c r="N733" s="5" t="s">
        <v>56</v>
      </c>
      <c r="O733" s="5" t="s">
        <v>31</v>
      </c>
      <c r="R733" s="5" t="e">
        <f>IF(diabetesoriginal[[#This Row],[Diabetes]]=$R$1,diabetesoriginal[[#This Row],[Skin Thickness]],NA())</f>
        <v>#N/A</v>
      </c>
      <c r="S733" s="5">
        <f>IF(diabetesoriginal[[#This Row],[Diabetes]]=$S$1,diabetesoriginal[[#This Row],[Skin Thickness]],NA())</f>
        <v>29</v>
      </c>
      <c r="U733" s="5" t="e">
        <f>IF(diabetesoriginal[[#This Row],[Diabetes]]=$U$1,diabetesoriginal[[#This Row],[Insulin]],NA())</f>
        <v>#N/A</v>
      </c>
      <c r="V733" s="5">
        <f>IF(diabetesoriginal[[#This Row],[Diabetes]]=$S$1,diabetesoriginal[[#This Row],[Insulin]],NA())</f>
        <v>125</v>
      </c>
    </row>
    <row r="734" spans="1:22" x14ac:dyDescent="0.25">
      <c r="A734" s="5">
        <v>2</v>
      </c>
      <c r="B734" s="5">
        <v>174</v>
      </c>
      <c r="C734" s="5">
        <v>88</v>
      </c>
      <c r="D734" s="5" t="s">
        <v>25</v>
      </c>
      <c r="E734" s="5">
        <v>37</v>
      </c>
      <c r="F734" s="5">
        <v>120</v>
      </c>
      <c r="G734" s="5">
        <v>44.5</v>
      </c>
      <c r="H734" s="5" t="s">
        <v>32</v>
      </c>
      <c r="I734" s="5">
        <v>0.64600000000000002</v>
      </c>
      <c r="J734" s="5">
        <v>24</v>
      </c>
      <c r="K734" s="5" t="s">
        <v>35</v>
      </c>
      <c r="L734" s="15">
        <v>1</v>
      </c>
      <c r="M734" s="5" t="s">
        <v>22</v>
      </c>
      <c r="N734" s="5" t="s">
        <v>56</v>
      </c>
      <c r="O734" s="5" t="s">
        <v>31</v>
      </c>
      <c r="R734" s="5" t="e">
        <f>IF(diabetesoriginal[[#This Row],[Diabetes]]=$R$1,diabetesoriginal[[#This Row],[Skin Thickness]],NA())</f>
        <v>#N/A</v>
      </c>
      <c r="S734" s="5">
        <f>IF(diabetesoriginal[[#This Row],[Diabetes]]=$S$1,diabetesoriginal[[#This Row],[Skin Thickness]],NA())</f>
        <v>37</v>
      </c>
      <c r="U734" s="5" t="e">
        <f>IF(diabetesoriginal[[#This Row],[Diabetes]]=$U$1,diabetesoriginal[[#This Row],[Insulin]],NA())</f>
        <v>#N/A</v>
      </c>
      <c r="V734" s="5">
        <f>IF(diabetesoriginal[[#This Row],[Diabetes]]=$S$1,diabetesoriginal[[#This Row],[Insulin]],NA())</f>
        <v>120</v>
      </c>
    </row>
    <row r="735" spans="1:22" x14ac:dyDescent="0.25">
      <c r="A735" s="5">
        <v>2</v>
      </c>
      <c r="B735" s="5">
        <v>106</v>
      </c>
      <c r="C735" s="5">
        <v>56</v>
      </c>
      <c r="D735" s="5" t="s">
        <v>23</v>
      </c>
      <c r="E735" s="5">
        <v>27</v>
      </c>
      <c r="F735" s="5">
        <v>165</v>
      </c>
      <c r="G735" s="5">
        <v>29</v>
      </c>
      <c r="H735" s="5" t="s">
        <v>30</v>
      </c>
      <c r="I735" s="5">
        <v>0.42599999999999999</v>
      </c>
      <c r="J735" s="5">
        <v>22</v>
      </c>
      <c r="K735" s="5" t="s">
        <v>35</v>
      </c>
      <c r="L735" s="15">
        <v>0</v>
      </c>
      <c r="M735" s="5" t="s">
        <v>57</v>
      </c>
      <c r="N735" s="5" t="s">
        <v>56</v>
      </c>
      <c r="O735" s="5" t="s">
        <v>31</v>
      </c>
      <c r="R735" s="5">
        <f>IF(diabetesoriginal[[#This Row],[Diabetes]]=$R$1,diabetesoriginal[[#This Row],[Skin Thickness]],NA())</f>
        <v>27</v>
      </c>
      <c r="S735" s="5" t="e">
        <f>IF(diabetesoriginal[[#This Row],[Diabetes]]=$S$1,diabetesoriginal[[#This Row],[Skin Thickness]],NA())</f>
        <v>#N/A</v>
      </c>
      <c r="U735" s="5">
        <f>IF(diabetesoriginal[[#This Row],[Diabetes]]=$U$1,diabetesoriginal[[#This Row],[Insulin]],NA())</f>
        <v>165</v>
      </c>
      <c r="V735" s="5" t="e">
        <f>IF(diabetesoriginal[[#This Row],[Diabetes]]=$S$1,diabetesoriginal[[#This Row],[Insulin]],NA())</f>
        <v>#N/A</v>
      </c>
    </row>
    <row r="736" spans="1:22" x14ac:dyDescent="0.25">
      <c r="A736" s="5">
        <v>2</v>
      </c>
      <c r="B736" s="5">
        <v>105</v>
      </c>
      <c r="C736" s="5">
        <v>75</v>
      </c>
      <c r="D736" s="5" t="s">
        <v>23</v>
      </c>
      <c r="E736" s="5">
        <v>29</v>
      </c>
      <c r="F736" s="5">
        <v>125</v>
      </c>
      <c r="G736" s="5">
        <v>23.3</v>
      </c>
      <c r="H736" s="5" t="s">
        <v>31</v>
      </c>
      <c r="I736" s="5">
        <v>0.56000000000000005</v>
      </c>
      <c r="J736" s="5">
        <v>53</v>
      </c>
      <c r="K736" s="5" t="s">
        <v>38</v>
      </c>
      <c r="L736" s="15">
        <v>0</v>
      </c>
      <c r="M736" s="5" t="s">
        <v>57</v>
      </c>
      <c r="N736" s="5" t="s">
        <v>56</v>
      </c>
      <c r="O736" s="5" t="s">
        <v>31</v>
      </c>
      <c r="R736" s="5">
        <f>IF(diabetesoriginal[[#This Row],[Diabetes]]=$R$1,diabetesoriginal[[#This Row],[Skin Thickness]],NA())</f>
        <v>29</v>
      </c>
      <c r="S736" s="5" t="e">
        <f>IF(diabetesoriginal[[#This Row],[Diabetes]]=$S$1,diabetesoriginal[[#This Row],[Skin Thickness]],NA())</f>
        <v>#N/A</v>
      </c>
      <c r="U736" s="5">
        <f>IF(diabetesoriginal[[#This Row],[Diabetes]]=$U$1,diabetesoriginal[[#This Row],[Insulin]],NA())</f>
        <v>125</v>
      </c>
      <c r="V736" s="5" t="e">
        <f>IF(diabetesoriginal[[#This Row],[Diabetes]]=$S$1,diabetesoriginal[[#This Row],[Insulin]],NA())</f>
        <v>#N/A</v>
      </c>
    </row>
    <row r="737" spans="1:22" x14ac:dyDescent="0.25">
      <c r="A737" s="5">
        <v>4</v>
      </c>
      <c r="B737" s="5">
        <v>95</v>
      </c>
      <c r="C737" s="5">
        <v>60</v>
      </c>
      <c r="D737" s="5" t="s">
        <v>23</v>
      </c>
      <c r="E737" s="5">
        <v>32</v>
      </c>
      <c r="F737" s="5">
        <v>125</v>
      </c>
      <c r="G737" s="5">
        <v>35.4</v>
      </c>
      <c r="H737" s="5" t="s">
        <v>29</v>
      </c>
      <c r="I737" s="5">
        <v>0.28399999999999997</v>
      </c>
      <c r="J737" s="5">
        <v>28</v>
      </c>
      <c r="K737" s="5" t="s">
        <v>35</v>
      </c>
      <c r="L737" s="15">
        <v>0</v>
      </c>
      <c r="M737" s="5" t="s">
        <v>57</v>
      </c>
      <c r="N737" s="5" t="s">
        <v>56</v>
      </c>
      <c r="O737" s="5" t="s">
        <v>31</v>
      </c>
      <c r="R737" s="5">
        <f>IF(diabetesoriginal[[#This Row],[Diabetes]]=$R$1,diabetesoriginal[[#This Row],[Skin Thickness]],NA())</f>
        <v>32</v>
      </c>
      <c r="S737" s="5" t="e">
        <f>IF(diabetesoriginal[[#This Row],[Diabetes]]=$S$1,diabetesoriginal[[#This Row],[Skin Thickness]],NA())</f>
        <v>#N/A</v>
      </c>
      <c r="U737" s="5">
        <f>IF(diabetesoriginal[[#This Row],[Diabetes]]=$U$1,diabetesoriginal[[#This Row],[Insulin]],NA())</f>
        <v>125</v>
      </c>
      <c r="V737" s="5" t="e">
        <f>IF(diabetesoriginal[[#This Row],[Diabetes]]=$S$1,diabetesoriginal[[#This Row],[Insulin]],NA())</f>
        <v>#N/A</v>
      </c>
    </row>
    <row r="738" spans="1:22" x14ac:dyDescent="0.25">
      <c r="A738" s="5">
        <v>0</v>
      </c>
      <c r="B738" s="5">
        <v>126</v>
      </c>
      <c r="C738" s="5">
        <v>86</v>
      </c>
      <c r="D738" s="5" t="s">
        <v>25</v>
      </c>
      <c r="E738" s="5">
        <v>27</v>
      </c>
      <c r="F738" s="5">
        <v>120</v>
      </c>
      <c r="G738" s="5">
        <v>27.4</v>
      </c>
      <c r="H738" s="5" t="s">
        <v>30</v>
      </c>
      <c r="I738" s="5">
        <v>0.51500000000000001</v>
      </c>
      <c r="J738" s="5">
        <v>21</v>
      </c>
      <c r="K738" s="5" t="s">
        <v>35</v>
      </c>
      <c r="L738" s="15">
        <v>0</v>
      </c>
      <c r="M738" s="5" t="s">
        <v>57</v>
      </c>
      <c r="N738" s="5" t="s">
        <v>56</v>
      </c>
      <c r="O738" s="5" t="s">
        <v>31</v>
      </c>
      <c r="R738" s="5">
        <f>IF(diabetesoriginal[[#This Row],[Diabetes]]=$R$1,diabetesoriginal[[#This Row],[Skin Thickness]],NA())</f>
        <v>27</v>
      </c>
      <c r="S738" s="5" t="e">
        <f>IF(diabetesoriginal[[#This Row],[Diabetes]]=$S$1,diabetesoriginal[[#This Row],[Skin Thickness]],NA())</f>
        <v>#N/A</v>
      </c>
      <c r="U738" s="5">
        <f>IF(diabetesoriginal[[#This Row],[Diabetes]]=$U$1,diabetesoriginal[[#This Row],[Insulin]],NA())</f>
        <v>120</v>
      </c>
      <c r="V738" s="5" t="e">
        <f>IF(diabetesoriginal[[#This Row],[Diabetes]]=$S$1,diabetesoriginal[[#This Row],[Insulin]],NA())</f>
        <v>#N/A</v>
      </c>
    </row>
    <row r="739" spans="1:22" x14ac:dyDescent="0.25">
      <c r="A739" s="5">
        <v>8</v>
      </c>
      <c r="B739" s="5">
        <v>65</v>
      </c>
      <c r="C739" s="5">
        <v>72</v>
      </c>
      <c r="D739" s="5" t="s">
        <v>23</v>
      </c>
      <c r="E739" s="5">
        <v>23</v>
      </c>
      <c r="F739" s="5">
        <v>125</v>
      </c>
      <c r="G739" s="5">
        <v>32</v>
      </c>
      <c r="H739" s="5" t="s">
        <v>29</v>
      </c>
      <c r="I739" s="5">
        <v>0.6</v>
      </c>
      <c r="J739" s="5">
        <v>42</v>
      </c>
      <c r="K739" s="5" t="s">
        <v>37</v>
      </c>
      <c r="L739" s="15">
        <v>0</v>
      </c>
      <c r="M739" s="5" t="s">
        <v>57</v>
      </c>
      <c r="N739" s="5" t="s">
        <v>58</v>
      </c>
      <c r="O739" s="5" t="s">
        <v>31</v>
      </c>
      <c r="P739" s="5" t="e" cm="1">
        <f t="array" ref="P739">#REF!</f>
        <v>#REF!</v>
      </c>
      <c r="R739" s="5">
        <f>IF(diabetesoriginal[[#This Row],[Diabetes]]=$R$1,diabetesoriginal[[#This Row],[Skin Thickness]],NA())</f>
        <v>23</v>
      </c>
      <c r="S739" s="5" t="e">
        <f>IF(diabetesoriginal[[#This Row],[Diabetes]]=$S$1,diabetesoriginal[[#This Row],[Skin Thickness]],NA())</f>
        <v>#N/A</v>
      </c>
      <c r="U739" s="5">
        <f>IF(diabetesoriginal[[#This Row],[Diabetes]]=$U$1,diabetesoriginal[[#This Row],[Insulin]],NA())</f>
        <v>125</v>
      </c>
      <c r="V739" s="5" t="e">
        <f>IF(diabetesoriginal[[#This Row],[Diabetes]]=$S$1,diabetesoriginal[[#This Row],[Insulin]],NA())</f>
        <v>#N/A</v>
      </c>
    </row>
    <row r="740" spans="1:22" x14ac:dyDescent="0.25">
      <c r="A740" s="5">
        <v>2</v>
      </c>
      <c r="B740" s="5">
        <v>99</v>
      </c>
      <c r="C740" s="5">
        <v>60</v>
      </c>
      <c r="D740" s="5" t="s">
        <v>23</v>
      </c>
      <c r="E740" s="5">
        <v>17</v>
      </c>
      <c r="F740" s="5">
        <v>160</v>
      </c>
      <c r="G740" s="5">
        <v>36.6</v>
      </c>
      <c r="H740" s="5" t="s">
        <v>29</v>
      </c>
      <c r="I740" s="5">
        <v>0.45300000000000001</v>
      </c>
      <c r="J740" s="5">
        <v>21</v>
      </c>
      <c r="K740" s="5" t="s">
        <v>35</v>
      </c>
      <c r="L740" s="15">
        <v>0</v>
      </c>
      <c r="M740" s="5" t="s">
        <v>57</v>
      </c>
      <c r="N740" s="5" t="s">
        <v>58</v>
      </c>
      <c r="O740" s="5" t="s">
        <v>31</v>
      </c>
      <c r="R740" s="5">
        <f>IF(diabetesoriginal[[#This Row],[Diabetes]]=$R$1,diabetesoriginal[[#This Row],[Skin Thickness]],NA())</f>
        <v>17</v>
      </c>
      <c r="S740" s="5" t="e">
        <f>IF(diabetesoriginal[[#This Row],[Diabetes]]=$S$1,diabetesoriginal[[#This Row],[Skin Thickness]],NA())</f>
        <v>#N/A</v>
      </c>
      <c r="U740" s="5">
        <f>IF(diabetesoriginal[[#This Row],[Diabetes]]=$U$1,diabetesoriginal[[#This Row],[Insulin]],NA())</f>
        <v>160</v>
      </c>
      <c r="V740" s="5" t="e">
        <f>IF(diabetesoriginal[[#This Row],[Diabetes]]=$S$1,diabetesoriginal[[#This Row],[Insulin]],NA())</f>
        <v>#N/A</v>
      </c>
    </row>
    <row r="741" spans="1:22" x14ac:dyDescent="0.25">
      <c r="A741" s="5">
        <v>1</v>
      </c>
      <c r="B741" s="5">
        <v>102</v>
      </c>
      <c r="C741" s="5">
        <v>74</v>
      </c>
      <c r="D741" s="5" t="s">
        <v>23</v>
      </c>
      <c r="E741" s="5">
        <v>29</v>
      </c>
      <c r="F741" s="5">
        <v>125</v>
      </c>
      <c r="G741" s="5">
        <v>39.5</v>
      </c>
      <c r="H741" s="5" t="s">
        <v>29</v>
      </c>
      <c r="I741" s="5">
        <v>0.29299999999999998</v>
      </c>
      <c r="J741" s="5">
        <v>42</v>
      </c>
      <c r="K741" s="5" t="s">
        <v>37</v>
      </c>
      <c r="L741" s="15">
        <v>1</v>
      </c>
      <c r="M741" s="5" t="s">
        <v>57</v>
      </c>
      <c r="N741" s="5" t="s">
        <v>56</v>
      </c>
      <c r="O741" s="5" t="s">
        <v>31</v>
      </c>
      <c r="R741" s="5" t="e">
        <f>IF(diabetesoriginal[[#This Row],[Diabetes]]=$R$1,diabetesoriginal[[#This Row],[Skin Thickness]],NA())</f>
        <v>#N/A</v>
      </c>
      <c r="S741" s="5">
        <f>IF(diabetesoriginal[[#This Row],[Diabetes]]=$S$1,diabetesoriginal[[#This Row],[Skin Thickness]],NA())</f>
        <v>29</v>
      </c>
      <c r="U741" s="5" t="e">
        <f>IF(diabetesoriginal[[#This Row],[Diabetes]]=$U$1,diabetesoriginal[[#This Row],[Insulin]],NA())</f>
        <v>#N/A</v>
      </c>
      <c r="V741" s="5">
        <f>IF(diabetesoriginal[[#This Row],[Diabetes]]=$S$1,diabetesoriginal[[#This Row],[Insulin]],NA())</f>
        <v>125</v>
      </c>
    </row>
    <row r="742" spans="1:22" x14ac:dyDescent="0.25">
      <c r="A742" s="5">
        <v>11</v>
      </c>
      <c r="B742" s="5">
        <v>120</v>
      </c>
      <c r="C742" s="5">
        <v>80</v>
      </c>
      <c r="D742" s="5" t="s">
        <v>25</v>
      </c>
      <c r="E742" s="5">
        <v>37</v>
      </c>
      <c r="F742" s="5">
        <v>150</v>
      </c>
      <c r="G742" s="5">
        <v>42.3</v>
      </c>
      <c r="H742" s="5" t="s">
        <v>32</v>
      </c>
      <c r="I742" s="5">
        <v>0.78500000000000003</v>
      </c>
      <c r="J742" s="5">
        <v>48</v>
      </c>
      <c r="K742" s="5" t="s">
        <v>37</v>
      </c>
      <c r="L742" s="15">
        <v>1</v>
      </c>
      <c r="M742" s="5" t="s">
        <v>57</v>
      </c>
      <c r="N742" s="5" t="s">
        <v>56</v>
      </c>
      <c r="O742" s="5" t="s">
        <v>31</v>
      </c>
      <c r="R742" s="5" t="e">
        <f>IF(diabetesoriginal[[#This Row],[Diabetes]]=$R$1,diabetesoriginal[[#This Row],[Skin Thickness]],NA())</f>
        <v>#N/A</v>
      </c>
      <c r="S742" s="5">
        <f>IF(diabetesoriginal[[#This Row],[Diabetes]]=$S$1,diabetesoriginal[[#This Row],[Skin Thickness]],NA())</f>
        <v>37</v>
      </c>
      <c r="U742" s="5" t="e">
        <f>IF(diabetesoriginal[[#This Row],[Diabetes]]=$U$1,diabetesoriginal[[#This Row],[Insulin]],NA())</f>
        <v>#N/A</v>
      </c>
      <c r="V742" s="5">
        <f>IF(diabetesoriginal[[#This Row],[Diabetes]]=$S$1,diabetesoriginal[[#This Row],[Insulin]],NA())</f>
        <v>150</v>
      </c>
    </row>
    <row r="743" spans="1:22" x14ac:dyDescent="0.25">
      <c r="A743" s="5">
        <v>3</v>
      </c>
      <c r="B743" s="5">
        <v>102</v>
      </c>
      <c r="C743" s="5">
        <v>44</v>
      </c>
      <c r="D743" s="5" t="s">
        <v>23</v>
      </c>
      <c r="E743" s="5">
        <v>20</v>
      </c>
      <c r="F743" s="5">
        <v>94</v>
      </c>
      <c r="G743" s="5">
        <v>30.8</v>
      </c>
      <c r="H743" s="5" t="s">
        <v>29</v>
      </c>
      <c r="I743" s="5">
        <v>0.4</v>
      </c>
      <c r="J743" s="5">
        <v>26</v>
      </c>
      <c r="K743" s="5" t="s">
        <v>35</v>
      </c>
      <c r="L743" s="15">
        <v>0</v>
      </c>
      <c r="M743" s="5" t="s">
        <v>57</v>
      </c>
      <c r="N743" s="5" t="s">
        <v>58</v>
      </c>
      <c r="O743" s="5" t="s">
        <v>31</v>
      </c>
      <c r="R743" s="5">
        <f>IF(diabetesoriginal[[#This Row],[Diabetes]]=$R$1,diabetesoriginal[[#This Row],[Skin Thickness]],NA())</f>
        <v>20</v>
      </c>
      <c r="S743" s="5" t="e">
        <f>IF(diabetesoriginal[[#This Row],[Diabetes]]=$S$1,diabetesoriginal[[#This Row],[Skin Thickness]],NA())</f>
        <v>#N/A</v>
      </c>
      <c r="U743" s="5">
        <f>IF(diabetesoriginal[[#This Row],[Diabetes]]=$U$1,diabetesoriginal[[#This Row],[Insulin]],NA())</f>
        <v>94</v>
      </c>
      <c r="V743" s="5" t="e">
        <f>IF(diabetesoriginal[[#This Row],[Diabetes]]=$S$1,diabetesoriginal[[#This Row],[Insulin]],NA())</f>
        <v>#N/A</v>
      </c>
    </row>
    <row r="744" spans="1:22" x14ac:dyDescent="0.25">
      <c r="A744" s="5">
        <v>1</v>
      </c>
      <c r="B744" s="5">
        <v>109</v>
      </c>
      <c r="C744" s="5">
        <v>58</v>
      </c>
      <c r="D744" s="5" t="s">
        <v>23</v>
      </c>
      <c r="E744" s="5">
        <v>18</v>
      </c>
      <c r="F744" s="5">
        <v>116</v>
      </c>
      <c r="G744" s="5">
        <v>28.5</v>
      </c>
      <c r="H744" s="5" t="s">
        <v>30</v>
      </c>
      <c r="I744" s="5">
        <v>0.219</v>
      </c>
      <c r="J744" s="5">
        <v>22</v>
      </c>
      <c r="K744" s="5" t="s">
        <v>35</v>
      </c>
      <c r="L744" s="15">
        <v>0</v>
      </c>
      <c r="M744" s="5" t="s">
        <v>57</v>
      </c>
      <c r="N744" s="5" t="s">
        <v>58</v>
      </c>
      <c r="O744" s="5" t="s">
        <v>31</v>
      </c>
      <c r="R744" s="5">
        <f>IF(diabetesoriginal[[#This Row],[Diabetes]]=$R$1,diabetesoriginal[[#This Row],[Skin Thickness]],NA())</f>
        <v>18</v>
      </c>
      <c r="S744" s="5" t="e">
        <f>IF(diabetesoriginal[[#This Row],[Diabetes]]=$S$1,diabetesoriginal[[#This Row],[Skin Thickness]],NA())</f>
        <v>#N/A</v>
      </c>
      <c r="U744" s="5">
        <f>IF(diabetesoriginal[[#This Row],[Diabetes]]=$U$1,diabetesoriginal[[#This Row],[Insulin]],NA())</f>
        <v>116</v>
      </c>
      <c r="V744" s="5" t="e">
        <f>IF(diabetesoriginal[[#This Row],[Diabetes]]=$S$1,diabetesoriginal[[#This Row],[Insulin]],NA())</f>
        <v>#N/A</v>
      </c>
    </row>
    <row r="745" spans="1:22" x14ac:dyDescent="0.25">
      <c r="A745" s="5">
        <v>9</v>
      </c>
      <c r="B745" s="5">
        <v>140</v>
      </c>
      <c r="C745" s="5">
        <v>94</v>
      </c>
      <c r="D745" s="5" t="s">
        <v>24</v>
      </c>
      <c r="E745" s="5">
        <v>29</v>
      </c>
      <c r="F745" s="5">
        <v>125</v>
      </c>
      <c r="G745" s="5">
        <v>32.700000000000003</v>
      </c>
      <c r="H745" s="5" t="s">
        <v>29</v>
      </c>
      <c r="I745" s="5">
        <v>0.73399999999999999</v>
      </c>
      <c r="J745" s="5">
        <v>45</v>
      </c>
      <c r="K745" s="5" t="s">
        <v>37</v>
      </c>
      <c r="L745" s="15">
        <v>1</v>
      </c>
      <c r="M745" s="5" t="s">
        <v>22</v>
      </c>
      <c r="N745" s="5" t="s">
        <v>56</v>
      </c>
      <c r="O745" s="5" t="s">
        <v>31</v>
      </c>
      <c r="R745" s="5" t="e">
        <f>IF(diabetesoriginal[[#This Row],[Diabetes]]=$R$1,diabetesoriginal[[#This Row],[Skin Thickness]],NA())</f>
        <v>#N/A</v>
      </c>
      <c r="S745" s="5">
        <f>IF(diabetesoriginal[[#This Row],[Diabetes]]=$S$1,diabetesoriginal[[#This Row],[Skin Thickness]],NA())</f>
        <v>29</v>
      </c>
      <c r="U745" s="5" t="e">
        <f>IF(diabetesoriginal[[#This Row],[Diabetes]]=$U$1,diabetesoriginal[[#This Row],[Insulin]],NA())</f>
        <v>#N/A</v>
      </c>
      <c r="V745" s="5">
        <f>IF(diabetesoriginal[[#This Row],[Diabetes]]=$S$1,diabetesoriginal[[#This Row],[Insulin]],NA())</f>
        <v>125</v>
      </c>
    </row>
    <row r="746" spans="1:22" x14ac:dyDescent="0.25">
      <c r="A746" s="5">
        <v>13</v>
      </c>
      <c r="B746" s="5">
        <v>153</v>
      </c>
      <c r="C746" s="5">
        <v>88</v>
      </c>
      <c r="D746" s="5" t="s">
        <v>25</v>
      </c>
      <c r="E746" s="5">
        <v>37</v>
      </c>
      <c r="F746" s="5">
        <v>140</v>
      </c>
      <c r="G746" s="5">
        <v>40.6</v>
      </c>
      <c r="H746" s="5" t="s">
        <v>32</v>
      </c>
      <c r="I746" s="5">
        <v>1.1739999999999999</v>
      </c>
      <c r="J746" s="5">
        <v>39</v>
      </c>
      <c r="K746" s="5" t="s">
        <v>36</v>
      </c>
      <c r="L746" s="15">
        <v>0</v>
      </c>
      <c r="M746" s="5" t="s">
        <v>22</v>
      </c>
      <c r="N746" s="5" t="s">
        <v>56</v>
      </c>
      <c r="O746" s="5" t="s">
        <v>31</v>
      </c>
      <c r="R746" s="5">
        <f>IF(diabetesoriginal[[#This Row],[Diabetes]]=$R$1,diabetesoriginal[[#This Row],[Skin Thickness]],NA())</f>
        <v>37</v>
      </c>
      <c r="S746" s="5" t="e">
        <f>IF(diabetesoriginal[[#This Row],[Diabetes]]=$S$1,diabetesoriginal[[#This Row],[Skin Thickness]],NA())</f>
        <v>#N/A</v>
      </c>
      <c r="U746" s="5">
        <f>IF(diabetesoriginal[[#This Row],[Diabetes]]=$U$1,diabetesoriginal[[#This Row],[Insulin]],NA())</f>
        <v>140</v>
      </c>
      <c r="V746" s="5" t="e">
        <f>IF(diabetesoriginal[[#This Row],[Diabetes]]=$S$1,diabetesoriginal[[#This Row],[Insulin]],NA())</f>
        <v>#N/A</v>
      </c>
    </row>
    <row r="747" spans="1:22" x14ac:dyDescent="0.25">
      <c r="A747" s="5">
        <v>12</v>
      </c>
      <c r="B747" s="5">
        <v>100</v>
      </c>
      <c r="C747" s="5">
        <v>84</v>
      </c>
      <c r="D747" s="5" t="s">
        <v>25</v>
      </c>
      <c r="E747" s="5">
        <v>33</v>
      </c>
      <c r="F747" s="5">
        <v>105</v>
      </c>
      <c r="G747" s="5">
        <v>30</v>
      </c>
      <c r="H747" s="5" t="s">
        <v>29</v>
      </c>
      <c r="I747" s="5">
        <v>0.48799999999999999</v>
      </c>
      <c r="J747" s="5">
        <v>46</v>
      </c>
      <c r="K747" s="5" t="s">
        <v>37</v>
      </c>
      <c r="L747" s="15">
        <v>0</v>
      </c>
      <c r="M747" s="5" t="s">
        <v>57</v>
      </c>
      <c r="N747" s="5" t="s">
        <v>56</v>
      </c>
      <c r="O747" s="5" t="s">
        <v>31</v>
      </c>
      <c r="R747" s="5">
        <f>IF(diabetesoriginal[[#This Row],[Diabetes]]=$R$1,diabetesoriginal[[#This Row],[Skin Thickness]],NA())</f>
        <v>33</v>
      </c>
      <c r="S747" s="5" t="e">
        <f>IF(diabetesoriginal[[#This Row],[Diabetes]]=$S$1,diabetesoriginal[[#This Row],[Skin Thickness]],NA())</f>
        <v>#N/A</v>
      </c>
      <c r="U747" s="5">
        <f>IF(diabetesoriginal[[#This Row],[Diabetes]]=$U$1,diabetesoriginal[[#This Row],[Insulin]],NA())</f>
        <v>105</v>
      </c>
      <c r="V747" s="5" t="e">
        <f>IF(diabetesoriginal[[#This Row],[Diabetes]]=$S$1,diabetesoriginal[[#This Row],[Insulin]],NA())</f>
        <v>#N/A</v>
      </c>
    </row>
    <row r="748" spans="1:22" x14ac:dyDescent="0.25">
      <c r="A748" s="5">
        <v>1</v>
      </c>
      <c r="B748" s="5">
        <v>147</v>
      </c>
      <c r="C748" s="5">
        <v>94</v>
      </c>
      <c r="D748" s="5" t="s">
        <v>24</v>
      </c>
      <c r="E748" s="5">
        <v>41</v>
      </c>
      <c r="F748" s="5">
        <v>125</v>
      </c>
      <c r="G748" s="5">
        <v>49.3</v>
      </c>
      <c r="H748" s="5" t="s">
        <v>32</v>
      </c>
      <c r="I748" s="5">
        <v>0.35799999999999998</v>
      </c>
      <c r="J748" s="5">
        <v>27</v>
      </c>
      <c r="K748" s="5" t="s">
        <v>35</v>
      </c>
      <c r="L748" s="15">
        <v>1</v>
      </c>
      <c r="M748" s="5" t="s">
        <v>22</v>
      </c>
      <c r="N748" s="5" t="s">
        <v>56</v>
      </c>
      <c r="O748" s="5" t="s">
        <v>31</v>
      </c>
      <c r="R748" s="5" t="e">
        <f>IF(diabetesoriginal[[#This Row],[Diabetes]]=$R$1,diabetesoriginal[[#This Row],[Skin Thickness]],NA())</f>
        <v>#N/A</v>
      </c>
      <c r="S748" s="5">
        <f>IF(diabetesoriginal[[#This Row],[Diabetes]]=$S$1,diabetesoriginal[[#This Row],[Skin Thickness]],NA())</f>
        <v>41</v>
      </c>
      <c r="U748" s="5" t="e">
        <f>IF(diabetesoriginal[[#This Row],[Diabetes]]=$U$1,diabetesoriginal[[#This Row],[Insulin]],NA())</f>
        <v>#N/A</v>
      </c>
      <c r="V748" s="5">
        <f>IF(diabetesoriginal[[#This Row],[Diabetes]]=$S$1,diabetesoriginal[[#This Row],[Insulin]],NA())</f>
        <v>125</v>
      </c>
    </row>
    <row r="749" spans="1:22" x14ac:dyDescent="0.25">
      <c r="A749" s="5">
        <v>1</v>
      </c>
      <c r="B749" s="5">
        <v>81</v>
      </c>
      <c r="C749" s="5">
        <v>74</v>
      </c>
      <c r="D749" s="5" t="s">
        <v>23</v>
      </c>
      <c r="E749" s="5">
        <v>41</v>
      </c>
      <c r="F749" s="5">
        <v>57</v>
      </c>
      <c r="G749" s="5">
        <v>46.3</v>
      </c>
      <c r="H749" s="5" t="s">
        <v>32</v>
      </c>
      <c r="I749" s="5">
        <v>1.0960000000000001</v>
      </c>
      <c r="J749" s="5">
        <v>32</v>
      </c>
      <c r="K749" s="5" t="s">
        <v>36</v>
      </c>
      <c r="L749" s="15">
        <v>0</v>
      </c>
      <c r="M749" s="5" t="s">
        <v>57</v>
      </c>
      <c r="N749" s="5" t="s">
        <v>56</v>
      </c>
      <c r="O749" s="5" t="s">
        <v>31</v>
      </c>
      <c r="R749" s="5">
        <f>IF(diabetesoriginal[[#This Row],[Diabetes]]=$R$1,diabetesoriginal[[#This Row],[Skin Thickness]],NA())</f>
        <v>41</v>
      </c>
      <c r="S749" s="5" t="e">
        <f>IF(diabetesoriginal[[#This Row],[Diabetes]]=$S$1,diabetesoriginal[[#This Row],[Skin Thickness]],NA())</f>
        <v>#N/A</v>
      </c>
      <c r="U749" s="5">
        <f>IF(diabetesoriginal[[#This Row],[Diabetes]]=$U$1,diabetesoriginal[[#This Row],[Insulin]],NA())</f>
        <v>57</v>
      </c>
      <c r="V749" s="5" t="e">
        <f>IF(diabetesoriginal[[#This Row],[Diabetes]]=$S$1,diabetesoriginal[[#This Row],[Insulin]],NA())</f>
        <v>#N/A</v>
      </c>
    </row>
    <row r="750" spans="1:22" x14ac:dyDescent="0.25">
      <c r="A750" s="5">
        <v>3</v>
      </c>
      <c r="B750" s="5">
        <v>187</v>
      </c>
      <c r="C750" s="5">
        <v>70</v>
      </c>
      <c r="D750" s="5" t="s">
        <v>23</v>
      </c>
      <c r="E750" s="5">
        <v>22</v>
      </c>
      <c r="F750" s="5">
        <v>200</v>
      </c>
      <c r="G750" s="5">
        <v>36.4</v>
      </c>
      <c r="H750" s="5" t="s">
        <v>29</v>
      </c>
      <c r="I750" s="5">
        <v>0.40799999999999997</v>
      </c>
      <c r="J750" s="5">
        <v>36</v>
      </c>
      <c r="K750" s="5" t="s">
        <v>36</v>
      </c>
      <c r="L750" s="15">
        <v>1</v>
      </c>
      <c r="M750" s="5" t="s">
        <v>22</v>
      </c>
      <c r="N750" s="5" t="s">
        <v>58</v>
      </c>
      <c r="O750" s="5" t="s">
        <v>59</v>
      </c>
      <c r="R750" s="5" t="e">
        <f>IF(diabetesoriginal[[#This Row],[Diabetes]]=$R$1,diabetesoriginal[[#This Row],[Skin Thickness]],NA())</f>
        <v>#N/A</v>
      </c>
      <c r="S750" s="5">
        <f>IF(diabetesoriginal[[#This Row],[Diabetes]]=$S$1,diabetesoriginal[[#This Row],[Skin Thickness]],NA())</f>
        <v>22</v>
      </c>
      <c r="U750" s="5" t="e">
        <f>IF(diabetesoriginal[[#This Row],[Diabetes]]=$U$1,diabetesoriginal[[#This Row],[Insulin]],NA())</f>
        <v>#N/A</v>
      </c>
      <c r="V750" s="5">
        <f>IF(diabetesoriginal[[#This Row],[Diabetes]]=$S$1,diabetesoriginal[[#This Row],[Insulin]],NA())</f>
        <v>200</v>
      </c>
    </row>
    <row r="751" spans="1:22" x14ac:dyDescent="0.25">
      <c r="A751" s="5">
        <v>6</v>
      </c>
      <c r="B751" s="5">
        <v>162</v>
      </c>
      <c r="C751" s="5">
        <v>62</v>
      </c>
      <c r="D751" s="5" t="s">
        <v>23</v>
      </c>
      <c r="E751" s="5">
        <v>29</v>
      </c>
      <c r="F751" s="5">
        <v>125</v>
      </c>
      <c r="G751" s="5">
        <v>24.3</v>
      </c>
      <c r="H751" s="5" t="s">
        <v>31</v>
      </c>
      <c r="I751" s="5">
        <v>0.17799999999999999</v>
      </c>
      <c r="J751" s="5">
        <v>50</v>
      </c>
      <c r="K751" s="5" t="s">
        <v>38</v>
      </c>
      <c r="L751" s="15">
        <v>1</v>
      </c>
      <c r="M751" s="5" t="s">
        <v>22</v>
      </c>
      <c r="N751" s="5" t="s">
        <v>56</v>
      </c>
      <c r="O751" s="5" t="s">
        <v>31</v>
      </c>
      <c r="R751" s="5" t="e">
        <f>IF(diabetesoriginal[[#This Row],[Diabetes]]=$R$1,diabetesoriginal[[#This Row],[Skin Thickness]],NA())</f>
        <v>#N/A</v>
      </c>
      <c r="S751" s="5">
        <f>IF(diabetesoriginal[[#This Row],[Diabetes]]=$S$1,diabetesoriginal[[#This Row],[Skin Thickness]],NA())</f>
        <v>29</v>
      </c>
      <c r="U751" s="5" t="e">
        <f>IF(diabetesoriginal[[#This Row],[Diabetes]]=$U$1,diabetesoriginal[[#This Row],[Insulin]],NA())</f>
        <v>#N/A</v>
      </c>
      <c r="V751" s="5">
        <f>IF(diabetesoriginal[[#This Row],[Diabetes]]=$S$1,diabetesoriginal[[#This Row],[Insulin]],NA())</f>
        <v>125</v>
      </c>
    </row>
    <row r="752" spans="1:22" x14ac:dyDescent="0.25">
      <c r="A752" s="5">
        <v>4</v>
      </c>
      <c r="B752" s="5">
        <v>136</v>
      </c>
      <c r="C752" s="5">
        <v>70</v>
      </c>
      <c r="D752" s="5" t="s">
        <v>23</v>
      </c>
      <c r="E752" s="5">
        <v>29</v>
      </c>
      <c r="F752" s="5">
        <v>125</v>
      </c>
      <c r="G752" s="5">
        <v>31.2</v>
      </c>
      <c r="H752" s="5" t="s">
        <v>29</v>
      </c>
      <c r="I752" s="5">
        <v>1.1819999999999999</v>
      </c>
      <c r="J752" s="5">
        <v>22</v>
      </c>
      <c r="K752" s="5" t="s">
        <v>35</v>
      </c>
      <c r="L752" s="15">
        <v>1</v>
      </c>
      <c r="M752" s="5" t="s">
        <v>57</v>
      </c>
      <c r="N752" s="5" t="s">
        <v>56</v>
      </c>
      <c r="O752" s="5" t="s">
        <v>31</v>
      </c>
      <c r="R752" s="5" t="e">
        <f>IF(diabetesoriginal[[#This Row],[Diabetes]]=$R$1,diabetesoriginal[[#This Row],[Skin Thickness]],NA())</f>
        <v>#N/A</v>
      </c>
      <c r="S752" s="5">
        <f>IF(diabetesoriginal[[#This Row],[Diabetes]]=$S$1,diabetesoriginal[[#This Row],[Skin Thickness]],NA())</f>
        <v>29</v>
      </c>
      <c r="U752" s="5" t="e">
        <f>IF(diabetesoriginal[[#This Row],[Diabetes]]=$U$1,diabetesoriginal[[#This Row],[Insulin]],NA())</f>
        <v>#N/A</v>
      </c>
      <c r="V752" s="5">
        <f>IF(diabetesoriginal[[#This Row],[Diabetes]]=$S$1,diabetesoriginal[[#This Row],[Insulin]],NA())</f>
        <v>125</v>
      </c>
    </row>
    <row r="753" spans="1:22" x14ac:dyDescent="0.25">
      <c r="A753" s="5">
        <v>1</v>
      </c>
      <c r="B753" s="5">
        <v>121</v>
      </c>
      <c r="C753" s="5">
        <v>78</v>
      </c>
      <c r="D753" s="5" t="s">
        <v>23</v>
      </c>
      <c r="E753" s="5">
        <v>39</v>
      </c>
      <c r="F753" s="5">
        <v>74</v>
      </c>
      <c r="G753" s="5">
        <v>39</v>
      </c>
      <c r="H753" s="5" t="s">
        <v>29</v>
      </c>
      <c r="I753" s="5">
        <v>0.26100000000000001</v>
      </c>
      <c r="J753" s="5">
        <v>28</v>
      </c>
      <c r="K753" s="5" t="s">
        <v>35</v>
      </c>
      <c r="L753" s="15">
        <v>0</v>
      </c>
      <c r="M753" s="5" t="s">
        <v>57</v>
      </c>
      <c r="N753" s="5" t="s">
        <v>56</v>
      </c>
      <c r="O753" s="5" t="s">
        <v>31</v>
      </c>
      <c r="R753" s="5">
        <f>IF(diabetesoriginal[[#This Row],[Diabetes]]=$R$1,diabetesoriginal[[#This Row],[Skin Thickness]],NA())</f>
        <v>39</v>
      </c>
      <c r="S753" s="5" t="e">
        <f>IF(diabetesoriginal[[#This Row],[Diabetes]]=$S$1,diabetesoriginal[[#This Row],[Skin Thickness]],NA())</f>
        <v>#N/A</v>
      </c>
      <c r="U753" s="5">
        <f>IF(diabetesoriginal[[#This Row],[Diabetes]]=$U$1,diabetesoriginal[[#This Row],[Insulin]],NA())</f>
        <v>74</v>
      </c>
      <c r="V753" s="5" t="e">
        <f>IF(diabetesoriginal[[#This Row],[Diabetes]]=$S$1,diabetesoriginal[[#This Row],[Insulin]],NA())</f>
        <v>#N/A</v>
      </c>
    </row>
    <row r="754" spans="1:22" x14ac:dyDescent="0.25">
      <c r="A754" s="5">
        <v>3</v>
      </c>
      <c r="B754" s="5">
        <v>108</v>
      </c>
      <c r="C754" s="5">
        <v>62</v>
      </c>
      <c r="D754" s="5" t="s">
        <v>23</v>
      </c>
      <c r="E754" s="5">
        <v>24</v>
      </c>
      <c r="F754" s="5">
        <v>125</v>
      </c>
      <c r="G754" s="5">
        <v>26</v>
      </c>
      <c r="H754" s="5" t="s">
        <v>30</v>
      </c>
      <c r="I754" s="5">
        <v>0.223</v>
      </c>
      <c r="J754" s="5">
        <v>25</v>
      </c>
      <c r="K754" s="5" t="s">
        <v>35</v>
      </c>
      <c r="L754" s="15">
        <v>0</v>
      </c>
      <c r="M754" s="5" t="s">
        <v>57</v>
      </c>
      <c r="N754" s="5" t="s">
        <v>56</v>
      </c>
      <c r="O754" s="5" t="s">
        <v>31</v>
      </c>
      <c r="R754" s="5">
        <f>IF(diabetesoriginal[[#This Row],[Diabetes]]=$R$1,diabetesoriginal[[#This Row],[Skin Thickness]],NA())</f>
        <v>24</v>
      </c>
      <c r="S754" s="5" t="e">
        <f>IF(diabetesoriginal[[#This Row],[Diabetes]]=$S$1,diabetesoriginal[[#This Row],[Skin Thickness]],NA())</f>
        <v>#N/A</v>
      </c>
      <c r="U754" s="5">
        <f>IF(diabetesoriginal[[#This Row],[Diabetes]]=$U$1,diabetesoriginal[[#This Row],[Insulin]],NA())</f>
        <v>125</v>
      </c>
      <c r="V754" s="5" t="e">
        <f>IF(diabetesoriginal[[#This Row],[Diabetes]]=$S$1,diabetesoriginal[[#This Row],[Insulin]],NA())</f>
        <v>#N/A</v>
      </c>
    </row>
    <row r="755" spans="1:22" x14ac:dyDescent="0.25">
      <c r="A755" s="5">
        <v>0</v>
      </c>
      <c r="B755" s="5">
        <v>181</v>
      </c>
      <c r="C755" s="5">
        <v>88</v>
      </c>
      <c r="D755" s="5" t="s">
        <v>25</v>
      </c>
      <c r="E755" s="5">
        <v>44</v>
      </c>
      <c r="F755" s="5">
        <v>510</v>
      </c>
      <c r="G755" s="5">
        <v>43.3</v>
      </c>
      <c r="H755" s="5" t="s">
        <v>32</v>
      </c>
      <c r="I755" s="5">
        <v>0.222</v>
      </c>
      <c r="J755" s="5">
        <v>26</v>
      </c>
      <c r="K755" s="5" t="s">
        <v>35</v>
      </c>
      <c r="L755" s="15">
        <v>1</v>
      </c>
      <c r="M755" s="5" t="s">
        <v>22</v>
      </c>
      <c r="N755" s="5" t="s">
        <v>56</v>
      </c>
      <c r="O755" s="5" t="s">
        <v>59</v>
      </c>
      <c r="R755" s="5" t="e">
        <f>IF(diabetesoriginal[[#This Row],[Diabetes]]=$R$1,diabetesoriginal[[#This Row],[Skin Thickness]],NA())</f>
        <v>#N/A</v>
      </c>
      <c r="S755" s="5">
        <f>IF(diabetesoriginal[[#This Row],[Diabetes]]=$S$1,diabetesoriginal[[#This Row],[Skin Thickness]],NA())</f>
        <v>44</v>
      </c>
      <c r="U755" s="5" t="e">
        <f>IF(diabetesoriginal[[#This Row],[Diabetes]]=$U$1,diabetesoriginal[[#This Row],[Insulin]],NA())</f>
        <v>#N/A</v>
      </c>
      <c r="V755" s="5">
        <f>IF(diabetesoriginal[[#This Row],[Diabetes]]=$S$1,diabetesoriginal[[#This Row],[Insulin]],NA())</f>
        <v>510</v>
      </c>
    </row>
    <row r="756" spans="1:22" x14ac:dyDescent="0.25">
      <c r="A756" s="5">
        <v>8</v>
      </c>
      <c r="B756" s="5">
        <v>154</v>
      </c>
      <c r="C756" s="5">
        <v>78</v>
      </c>
      <c r="D756" s="5" t="s">
        <v>23</v>
      </c>
      <c r="E756" s="5">
        <v>32</v>
      </c>
      <c r="F756" s="5">
        <v>125</v>
      </c>
      <c r="G756" s="5">
        <v>32.4</v>
      </c>
      <c r="H756" s="5" t="s">
        <v>29</v>
      </c>
      <c r="I756" s="5">
        <v>0.443</v>
      </c>
      <c r="J756" s="5">
        <v>45</v>
      </c>
      <c r="K756" s="5" t="s">
        <v>37</v>
      </c>
      <c r="L756" s="15">
        <v>1</v>
      </c>
      <c r="M756" s="5" t="s">
        <v>22</v>
      </c>
      <c r="N756" s="5" t="s">
        <v>56</v>
      </c>
      <c r="O756" s="5" t="s">
        <v>31</v>
      </c>
      <c r="R756" s="5" t="e">
        <f>IF(diabetesoriginal[[#This Row],[Diabetes]]=$R$1,diabetesoriginal[[#This Row],[Skin Thickness]],NA())</f>
        <v>#N/A</v>
      </c>
      <c r="S756" s="5">
        <f>IF(diabetesoriginal[[#This Row],[Diabetes]]=$S$1,diabetesoriginal[[#This Row],[Skin Thickness]],NA())</f>
        <v>32</v>
      </c>
      <c r="U756" s="5" t="e">
        <f>IF(diabetesoriginal[[#This Row],[Diabetes]]=$U$1,diabetesoriginal[[#This Row],[Insulin]],NA())</f>
        <v>#N/A</v>
      </c>
      <c r="V756" s="5">
        <f>IF(diabetesoriginal[[#This Row],[Diabetes]]=$S$1,diabetesoriginal[[#This Row],[Insulin]],NA())</f>
        <v>125</v>
      </c>
    </row>
    <row r="757" spans="1:22" x14ac:dyDescent="0.25">
      <c r="A757" s="5">
        <v>1</v>
      </c>
      <c r="B757" s="5">
        <v>128</v>
      </c>
      <c r="C757" s="5">
        <v>88</v>
      </c>
      <c r="D757" s="5" t="s">
        <v>25</v>
      </c>
      <c r="E757" s="5">
        <v>39</v>
      </c>
      <c r="F757" s="5">
        <v>110</v>
      </c>
      <c r="G757" s="5">
        <v>36.5</v>
      </c>
      <c r="H757" s="5" t="s">
        <v>29</v>
      </c>
      <c r="I757" s="5">
        <v>1.0569999999999999</v>
      </c>
      <c r="J757" s="5">
        <v>37</v>
      </c>
      <c r="K757" s="5" t="s">
        <v>36</v>
      </c>
      <c r="L757" s="15">
        <v>1</v>
      </c>
      <c r="M757" s="5" t="s">
        <v>57</v>
      </c>
      <c r="N757" s="5" t="s">
        <v>56</v>
      </c>
      <c r="O757" s="5" t="s">
        <v>31</v>
      </c>
      <c r="R757" s="5" t="e">
        <f>IF(diabetesoriginal[[#This Row],[Diabetes]]=$R$1,diabetesoriginal[[#This Row],[Skin Thickness]],NA())</f>
        <v>#N/A</v>
      </c>
      <c r="S757" s="5">
        <f>IF(diabetesoriginal[[#This Row],[Diabetes]]=$S$1,diabetesoriginal[[#This Row],[Skin Thickness]],NA())</f>
        <v>39</v>
      </c>
      <c r="U757" s="5" t="e">
        <f>IF(diabetesoriginal[[#This Row],[Diabetes]]=$U$1,diabetesoriginal[[#This Row],[Insulin]],NA())</f>
        <v>#N/A</v>
      </c>
      <c r="V757" s="5">
        <f>IF(diabetesoriginal[[#This Row],[Diabetes]]=$S$1,diabetesoriginal[[#This Row],[Insulin]],NA())</f>
        <v>110</v>
      </c>
    </row>
    <row r="758" spans="1:22" x14ac:dyDescent="0.25">
      <c r="A758" s="5">
        <v>7</v>
      </c>
      <c r="B758" s="5">
        <v>137</v>
      </c>
      <c r="C758" s="5">
        <v>90</v>
      </c>
      <c r="D758" s="5" t="s">
        <v>24</v>
      </c>
      <c r="E758" s="5">
        <v>41</v>
      </c>
      <c r="F758" s="5">
        <v>125</v>
      </c>
      <c r="G758" s="5">
        <v>32</v>
      </c>
      <c r="H758" s="5" t="s">
        <v>29</v>
      </c>
      <c r="I758" s="5">
        <v>0.39100000000000001</v>
      </c>
      <c r="J758" s="5">
        <v>39</v>
      </c>
      <c r="K758" s="5" t="s">
        <v>36</v>
      </c>
      <c r="L758" s="15">
        <v>0</v>
      </c>
      <c r="M758" s="5" t="s">
        <v>57</v>
      </c>
      <c r="N758" s="5" t="s">
        <v>56</v>
      </c>
      <c r="O758" s="5" t="s">
        <v>31</v>
      </c>
      <c r="R758" s="5">
        <f>IF(diabetesoriginal[[#This Row],[Diabetes]]=$R$1,diabetesoriginal[[#This Row],[Skin Thickness]],NA())</f>
        <v>41</v>
      </c>
      <c r="S758" s="5" t="e">
        <f>IF(diabetesoriginal[[#This Row],[Diabetes]]=$S$1,diabetesoriginal[[#This Row],[Skin Thickness]],NA())</f>
        <v>#N/A</v>
      </c>
      <c r="U758" s="5">
        <f>IF(diabetesoriginal[[#This Row],[Diabetes]]=$U$1,diabetesoriginal[[#This Row],[Insulin]],NA())</f>
        <v>125</v>
      </c>
      <c r="V758" s="5" t="e">
        <f>IF(diabetesoriginal[[#This Row],[Diabetes]]=$S$1,diabetesoriginal[[#This Row],[Insulin]],NA())</f>
        <v>#N/A</v>
      </c>
    </row>
    <row r="759" spans="1:22" x14ac:dyDescent="0.25">
      <c r="A759" s="5">
        <v>0</v>
      </c>
      <c r="B759" s="5">
        <v>123</v>
      </c>
      <c r="C759" s="5">
        <v>72</v>
      </c>
      <c r="D759" s="5" t="s">
        <v>23</v>
      </c>
      <c r="E759" s="5">
        <v>29</v>
      </c>
      <c r="F759" s="5">
        <v>125</v>
      </c>
      <c r="G759" s="5">
        <v>36.299999999999997</v>
      </c>
      <c r="H759" s="5" t="s">
        <v>29</v>
      </c>
      <c r="I759" s="5">
        <v>0.25800000000000001</v>
      </c>
      <c r="J759" s="5">
        <v>52</v>
      </c>
      <c r="K759" s="5" t="s">
        <v>38</v>
      </c>
      <c r="L759" s="15">
        <v>1</v>
      </c>
      <c r="M759" s="5" t="s">
        <v>57</v>
      </c>
      <c r="N759" s="5" t="s">
        <v>56</v>
      </c>
      <c r="O759" s="5" t="s">
        <v>31</v>
      </c>
      <c r="R759" s="5" t="e">
        <f>IF(diabetesoriginal[[#This Row],[Diabetes]]=$R$1,diabetesoriginal[[#This Row],[Skin Thickness]],NA())</f>
        <v>#N/A</v>
      </c>
      <c r="S759" s="5">
        <f>IF(diabetesoriginal[[#This Row],[Diabetes]]=$S$1,diabetesoriginal[[#This Row],[Skin Thickness]],NA())</f>
        <v>29</v>
      </c>
      <c r="U759" s="5" t="e">
        <f>IF(diabetesoriginal[[#This Row],[Diabetes]]=$U$1,diabetesoriginal[[#This Row],[Insulin]],NA())</f>
        <v>#N/A</v>
      </c>
      <c r="V759" s="5">
        <f>IF(diabetesoriginal[[#This Row],[Diabetes]]=$S$1,diabetesoriginal[[#This Row],[Insulin]],NA())</f>
        <v>125</v>
      </c>
    </row>
    <row r="760" spans="1:22" x14ac:dyDescent="0.25">
      <c r="A760" s="5">
        <v>1</v>
      </c>
      <c r="B760" s="5">
        <v>106</v>
      </c>
      <c r="C760" s="5">
        <v>76</v>
      </c>
      <c r="D760" s="5" t="s">
        <v>23</v>
      </c>
      <c r="E760" s="5">
        <v>29</v>
      </c>
      <c r="F760" s="5">
        <v>125</v>
      </c>
      <c r="G760" s="5">
        <v>37.5</v>
      </c>
      <c r="H760" s="5" t="s">
        <v>29</v>
      </c>
      <c r="I760" s="5">
        <v>0.19700000000000001</v>
      </c>
      <c r="J760" s="5">
        <v>26</v>
      </c>
      <c r="K760" s="5" t="s">
        <v>35</v>
      </c>
      <c r="L760" s="15">
        <v>0</v>
      </c>
      <c r="M760" s="5" t="s">
        <v>57</v>
      </c>
      <c r="N760" s="5" t="s">
        <v>56</v>
      </c>
      <c r="O760" s="5" t="s">
        <v>31</v>
      </c>
      <c r="R760" s="5">
        <f>IF(diabetesoriginal[[#This Row],[Diabetes]]=$R$1,diabetesoriginal[[#This Row],[Skin Thickness]],NA())</f>
        <v>29</v>
      </c>
      <c r="S760" s="5" t="e">
        <f>IF(diabetesoriginal[[#This Row],[Diabetes]]=$S$1,diabetesoriginal[[#This Row],[Skin Thickness]],NA())</f>
        <v>#N/A</v>
      </c>
      <c r="U760" s="5">
        <f>IF(diabetesoriginal[[#This Row],[Diabetes]]=$U$1,diabetesoriginal[[#This Row],[Insulin]],NA())</f>
        <v>125</v>
      </c>
      <c r="V760" s="5" t="e">
        <f>IF(diabetesoriginal[[#This Row],[Diabetes]]=$S$1,diabetesoriginal[[#This Row],[Insulin]],NA())</f>
        <v>#N/A</v>
      </c>
    </row>
    <row r="761" spans="1:22" x14ac:dyDescent="0.25">
      <c r="A761" s="5">
        <v>6</v>
      </c>
      <c r="B761" s="5">
        <v>190</v>
      </c>
      <c r="C761" s="5">
        <v>92</v>
      </c>
      <c r="D761" s="5" t="s">
        <v>24</v>
      </c>
      <c r="E761" s="5">
        <v>29</v>
      </c>
      <c r="F761" s="5">
        <v>125</v>
      </c>
      <c r="G761" s="5">
        <v>35.5</v>
      </c>
      <c r="H761" s="5" t="s">
        <v>29</v>
      </c>
      <c r="I761" s="5">
        <v>0.27800000000000002</v>
      </c>
      <c r="J761" s="5">
        <v>66</v>
      </c>
      <c r="K761" s="5" t="s">
        <v>39</v>
      </c>
      <c r="L761" s="15">
        <v>1</v>
      </c>
      <c r="M761" s="5" t="s">
        <v>22</v>
      </c>
      <c r="N761" s="5" t="s">
        <v>56</v>
      </c>
      <c r="O761" s="5" t="s">
        <v>31</v>
      </c>
      <c r="R761" s="5" t="e">
        <f>IF(diabetesoriginal[[#This Row],[Diabetes]]=$R$1,diabetesoriginal[[#This Row],[Skin Thickness]],NA())</f>
        <v>#N/A</v>
      </c>
      <c r="S761" s="5">
        <f>IF(diabetesoriginal[[#This Row],[Diabetes]]=$S$1,diabetesoriginal[[#This Row],[Skin Thickness]],NA())</f>
        <v>29</v>
      </c>
      <c r="U761" s="5" t="e">
        <f>IF(diabetesoriginal[[#This Row],[Diabetes]]=$U$1,diabetesoriginal[[#This Row],[Insulin]],NA())</f>
        <v>#N/A</v>
      </c>
      <c r="V761" s="5">
        <f>IF(diabetesoriginal[[#This Row],[Diabetes]]=$S$1,diabetesoriginal[[#This Row],[Insulin]],NA())</f>
        <v>125</v>
      </c>
    </row>
    <row r="762" spans="1:22" x14ac:dyDescent="0.25">
      <c r="A762" s="5">
        <v>2</v>
      </c>
      <c r="B762" s="5">
        <v>88</v>
      </c>
      <c r="C762" s="5">
        <v>58</v>
      </c>
      <c r="D762" s="5" t="s">
        <v>23</v>
      </c>
      <c r="E762" s="5">
        <v>26</v>
      </c>
      <c r="F762" s="5">
        <v>16</v>
      </c>
      <c r="G762" s="5">
        <v>28.4</v>
      </c>
      <c r="H762" s="5" t="s">
        <v>30</v>
      </c>
      <c r="I762" s="5">
        <v>0.76600000000000001</v>
      </c>
      <c r="J762" s="5">
        <v>22</v>
      </c>
      <c r="K762" s="5" t="s">
        <v>35</v>
      </c>
      <c r="L762" s="15">
        <v>0</v>
      </c>
      <c r="M762" s="5" t="s">
        <v>57</v>
      </c>
      <c r="N762" s="5" t="s">
        <v>56</v>
      </c>
      <c r="O762" s="5" t="s">
        <v>31</v>
      </c>
      <c r="R762" s="5">
        <f>IF(diabetesoriginal[[#This Row],[Diabetes]]=$R$1,diabetesoriginal[[#This Row],[Skin Thickness]],NA())</f>
        <v>26</v>
      </c>
      <c r="S762" s="5" t="e">
        <f>IF(diabetesoriginal[[#This Row],[Diabetes]]=$S$1,diabetesoriginal[[#This Row],[Skin Thickness]],NA())</f>
        <v>#N/A</v>
      </c>
      <c r="U762" s="5">
        <f>IF(diabetesoriginal[[#This Row],[Diabetes]]=$U$1,diabetesoriginal[[#This Row],[Insulin]],NA())</f>
        <v>16</v>
      </c>
      <c r="V762" s="5" t="e">
        <f>IF(diabetesoriginal[[#This Row],[Diabetes]]=$S$1,diabetesoriginal[[#This Row],[Insulin]],NA())</f>
        <v>#N/A</v>
      </c>
    </row>
    <row r="763" spans="1:22" x14ac:dyDescent="0.25">
      <c r="A763" s="5">
        <v>9</v>
      </c>
      <c r="B763" s="5">
        <v>170</v>
      </c>
      <c r="C763" s="5">
        <v>74</v>
      </c>
      <c r="D763" s="5" t="s">
        <v>23</v>
      </c>
      <c r="E763" s="5">
        <v>31</v>
      </c>
      <c r="F763" s="5">
        <v>125</v>
      </c>
      <c r="G763" s="5">
        <v>44</v>
      </c>
      <c r="H763" s="5" t="s">
        <v>32</v>
      </c>
      <c r="I763" s="5">
        <v>0.40300000000000002</v>
      </c>
      <c r="J763" s="5">
        <v>43</v>
      </c>
      <c r="K763" s="5" t="s">
        <v>37</v>
      </c>
      <c r="L763" s="15">
        <v>1</v>
      </c>
      <c r="M763" s="5" t="s">
        <v>22</v>
      </c>
      <c r="N763" s="5" t="s">
        <v>56</v>
      </c>
      <c r="O763" s="5" t="s">
        <v>31</v>
      </c>
      <c r="R763" s="5" t="e">
        <f>IF(diabetesoriginal[[#This Row],[Diabetes]]=$R$1,diabetesoriginal[[#This Row],[Skin Thickness]],NA())</f>
        <v>#N/A</v>
      </c>
      <c r="S763" s="5">
        <f>IF(diabetesoriginal[[#This Row],[Diabetes]]=$S$1,diabetesoriginal[[#This Row],[Skin Thickness]],NA())</f>
        <v>31</v>
      </c>
      <c r="U763" s="5" t="e">
        <f>IF(diabetesoriginal[[#This Row],[Diabetes]]=$U$1,diabetesoriginal[[#This Row],[Insulin]],NA())</f>
        <v>#N/A</v>
      </c>
      <c r="V763" s="5">
        <f>IF(diabetesoriginal[[#This Row],[Diabetes]]=$S$1,diabetesoriginal[[#This Row],[Insulin]],NA())</f>
        <v>125</v>
      </c>
    </row>
    <row r="764" spans="1:22" x14ac:dyDescent="0.25">
      <c r="A764" s="5">
        <v>9</v>
      </c>
      <c r="B764" s="5">
        <v>89</v>
      </c>
      <c r="C764" s="5">
        <v>62</v>
      </c>
      <c r="D764" s="5" t="s">
        <v>23</v>
      </c>
      <c r="E764" s="5">
        <v>29</v>
      </c>
      <c r="F764" s="5">
        <v>125</v>
      </c>
      <c r="G764" s="5">
        <v>22.5</v>
      </c>
      <c r="H764" s="5" t="s">
        <v>31</v>
      </c>
      <c r="I764" s="5">
        <v>0.14199999999999999</v>
      </c>
      <c r="J764" s="5">
        <v>33</v>
      </c>
      <c r="K764" s="5" t="s">
        <v>36</v>
      </c>
      <c r="L764" s="15">
        <v>0</v>
      </c>
      <c r="M764" s="5" t="s">
        <v>57</v>
      </c>
      <c r="N764" s="5" t="s">
        <v>56</v>
      </c>
      <c r="O764" s="5" t="s">
        <v>31</v>
      </c>
      <c r="R764" s="5">
        <f>IF(diabetesoriginal[[#This Row],[Diabetes]]=$R$1,diabetesoriginal[[#This Row],[Skin Thickness]],NA())</f>
        <v>29</v>
      </c>
      <c r="S764" s="5" t="e">
        <f>IF(diabetesoriginal[[#This Row],[Diabetes]]=$S$1,diabetesoriginal[[#This Row],[Skin Thickness]],NA())</f>
        <v>#N/A</v>
      </c>
      <c r="U764" s="5">
        <f>IF(diabetesoriginal[[#This Row],[Diabetes]]=$U$1,diabetesoriginal[[#This Row],[Insulin]],NA())</f>
        <v>125</v>
      </c>
      <c r="V764" s="5" t="e">
        <f>IF(diabetesoriginal[[#This Row],[Diabetes]]=$S$1,diabetesoriginal[[#This Row],[Insulin]],NA())</f>
        <v>#N/A</v>
      </c>
    </row>
    <row r="765" spans="1:22" x14ac:dyDescent="0.25">
      <c r="A765" s="5">
        <v>10</v>
      </c>
      <c r="B765" s="5">
        <v>101</v>
      </c>
      <c r="C765" s="5">
        <v>76</v>
      </c>
      <c r="D765" s="5" t="s">
        <v>23</v>
      </c>
      <c r="E765" s="5">
        <v>48</v>
      </c>
      <c r="F765" s="5">
        <v>180</v>
      </c>
      <c r="G765" s="5">
        <v>32.9</v>
      </c>
      <c r="H765" s="5" t="s">
        <v>29</v>
      </c>
      <c r="I765" s="5">
        <v>0.17100000000000001</v>
      </c>
      <c r="J765" s="5">
        <v>63</v>
      </c>
      <c r="K765" s="5" t="s">
        <v>39</v>
      </c>
      <c r="L765" s="15">
        <v>0</v>
      </c>
      <c r="M765" s="5" t="s">
        <v>57</v>
      </c>
      <c r="N765" s="5" t="s">
        <v>56</v>
      </c>
      <c r="O765" s="5" t="s">
        <v>59</v>
      </c>
      <c r="R765" s="5">
        <f>IF(diabetesoriginal[[#This Row],[Diabetes]]=$R$1,diabetesoriginal[[#This Row],[Skin Thickness]],NA())</f>
        <v>48</v>
      </c>
      <c r="S765" s="5" t="e">
        <f>IF(diabetesoriginal[[#This Row],[Diabetes]]=$S$1,diabetesoriginal[[#This Row],[Skin Thickness]],NA())</f>
        <v>#N/A</v>
      </c>
      <c r="U765" s="5">
        <f>IF(diabetesoriginal[[#This Row],[Diabetes]]=$U$1,diabetesoriginal[[#This Row],[Insulin]],NA())</f>
        <v>180</v>
      </c>
      <c r="V765" s="5" t="e">
        <f>IF(diabetesoriginal[[#This Row],[Diabetes]]=$S$1,diabetesoriginal[[#This Row],[Insulin]],NA())</f>
        <v>#N/A</v>
      </c>
    </row>
    <row r="766" spans="1:22" x14ac:dyDescent="0.25">
      <c r="A766" s="5">
        <v>2</v>
      </c>
      <c r="B766" s="5">
        <v>122</v>
      </c>
      <c r="C766" s="5">
        <v>70</v>
      </c>
      <c r="D766" s="5" t="s">
        <v>23</v>
      </c>
      <c r="E766" s="5">
        <v>27</v>
      </c>
      <c r="F766" s="5">
        <v>125</v>
      </c>
      <c r="G766" s="5">
        <v>36.799999999999997</v>
      </c>
      <c r="H766" s="5" t="s">
        <v>29</v>
      </c>
      <c r="I766" s="5">
        <v>0.34</v>
      </c>
      <c r="J766" s="5">
        <v>27</v>
      </c>
      <c r="K766" s="5" t="s">
        <v>35</v>
      </c>
      <c r="L766" s="15">
        <v>0</v>
      </c>
      <c r="M766" s="5" t="s">
        <v>57</v>
      </c>
      <c r="N766" s="5" t="s">
        <v>56</v>
      </c>
      <c r="O766" s="5" t="s">
        <v>31</v>
      </c>
      <c r="R766" s="5">
        <f>IF(diabetesoriginal[[#This Row],[Diabetes]]=$R$1,diabetesoriginal[[#This Row],[Skin Thickness]],NA())</f>
        <v>27</v>
      </c>
      <c r="S766" s="5" t="e">
        <f>IF(diabetesoriginal[[#This Row],[Diabetes]]=$S$1,diabetesoriginal[[#This Row],[Skin Thickness]],NA())</f>
        <v>#N/A</v>
      </c>
      <c r="U766" s="5">
        <f>IF(diabetesoriginal[[#This Row],[Diabetes]]=$U$1,diabetesoriginal[[#This Row],[Insulin]],NA())</f>
        <v>125</v>
      </c>
      <c r="V766" s="5" t="e">
        <f>IF(diabetesoriginal[[#This Row],[Diabetes]]=$S$1,diabetesoriginal[[#This Row],[Insulin]],NA())</f>
        <v>#N/A</v>
      </c>
    </row>
    <row r="767" spans="1:22" x14ac:dyDescent="0.25">
      <c r="A767" s="5">
        <v>5</v>
      </c>
      <c r="B767" s="5">
        <v>121</v>
      </c>
      <c r="C767" s="5">
        <v>72</v>
      </c>
      <c r="D767" s="5" t="s">
        <v>23</v>
      </c>
      <c r="E767" s="5">
        <v>23</v>
      </c>
      <c r="F767" s="5">
        <v>112</v>
      </c>
      <c r="G767" s="5">
        <v>26.2</v>
      </c>
      <c r="H767" s="5" t="s">
        <v>30</v>
      </c>
      <c r="I767" s="5">
        <v>0.245</v>
      </c>
      <c r="J767" s="5">
        <v>30</v>
      </c>
      <c r="K767" s="5" t="s">
        <v>36</v>
      </c>
      <c r="L767" s="15">
        <v>0</v>
      </c>
      <c r="M767" s="5" t="s">
        <v>57</v>
      </c>
      <c r="N767" s="5" t="s">
        <v>58</v>
      </c>
      <c r="O767" s="5" t="s">
        <v>31</v>
      </c>
      <c r="R767" s="5">
        <f>IF(diabetesoriginal[[#This Row],[Diabetes]]=$R$1,diabetesoriginal[[#This Row],[Skin Thickness]],NA())</f>
        <v>23</v>
      </c>
      <c r="S767" s="5" t="e">
        <f>IF(diabetesoriginal[[#This Row],[Diabetes]]=$S$1,diabetesoriginal[[#This Row],[Skin Thickness]],NA())</f>
        <v>#N/A</v>
      </c>
      <c r="U767" s="5">
        <f>IF(diabetesoriginal[[#This Row],[Diabetes]]=$U$1,diabetesoriginal[[#This Row],[Insulin]],NA())</f>
        <v>112</v>
      </c>
      <c r="V767" s="5" t="e">
        <f>IF(diabetesoriginal[[#This Row],[Diabetes]]=$S$1,diabetesoriginal[[#This Row],[Insulin]],NA())</f>
        <v>#N/A</v>
      </c>
    </row>
    <row r="768" spans="1:22" x14ac:dyDescent="0.25">
      <c r="A768" s="5">
        <v>1</v>
      </c>
      <c r="B768" s="5">
        <v>126</v>
      </c>
      <c r="C768" s="5">
        <v>60</v>
      </c>
      <c r="D768" s="5" t="s">
        <v>23</v>
      </c>
      <c r="E768" s="5">
        <v>29</v>
      </c>
      <c r="F768" s="5">
        <v>125</v>
      </c>
      <c r="G768" s="5">
        <v>30.1</v>
      </c>
      <c r="H768" s="5" t="s">
        <v>29</v>
      </c>
      <c r="I768" s="5">
        <v>0.34899999999999998</v>
      </c>
      <c r="J768" s="5">
        <v>47</v>
      </c>
      <c r="K768" s="5" t="s">
        <v>37</v>
      </c>
      <c r="L768" s="15">
        <v>1</v>
      </c>
      <c r="M768" s="5" t="s">
        <v>57</v>
      </c>
      <c r="N768" s="5" t="s">
        <v>56</v>
      </c>
      <c r="O768" s="5" t="s">
        <v>31</v>
      </c>
      <c r="R768" s="5" t="e">
        <f>IF(diabetesoriginal[[#This Row],[Diabetes]]=$R$1,diabetesoriginal[[#This Row],[Skin Thickness]],NA())</f>
        <v>#N/A</v>
      </c>
      <c r="S768" s="5">
        <f>IF(diabetesoriginal[[#This Row],[Diabetes]]=$S$1,diabetesoriginal[[#This Row],[Skin Thickness]],NA())</f>
        <v>29</v>
      </c>
      <c r="U768" s="5" t="e">
        <f>IF(diabetesoriginal[[#This Row],[Diabetes]]=$U$1,diabetesoriginal[[#This Row],[Insulin]],NA())</f>
        <v>#N/A</v>
      </c>
      <c r="V768" s="5">
        <f>IF(diabetesoriginal[[#This Row],[Diabetes]]=$S$1,diabetesoriginal[[#This Row],[Insulin]],NA())</f>
        <v>125</v>
      </c>
    </row>
    <row r="769" spans="1:22" x14ac:dyDescent="0.25">
      <c r="A769" s="5">
        <v>1</v>
      </c>
      <c r="B769" s="5">
        <v>93</v>
      </c>
      <c r="C769" s="5">
        <v>70</v>
      </c>
      <c r="D769" s="5" t="s">
        <v>23</v>
      </c>
      <c r="E769" s="5">
        <v>31</v>
      </c>
      <c r="F769" s="5">
        <v>125</v>
      </c>
      <c r="G769" s="5">
        <v>30.4</v>
      </c>
      <c r="H769" s="5" t="s">
        <v>29</v>
      </c>
      <c r="I769" s="5">
        <v>0.315</v>
      </c>
      <c r="J769" s="5">
        <v>23</v>
      </c>
      <c r="K769" s="5" t="s">
        <v>35</v>
      </c>
      <c r="L769" s="15">
        <v>0</v>
      </c>
      <c r="M769" s="5" t="s">
        <v>57</v>
      </c>
      <c r="N769" s="5" t="s">
        <v>56</v>
      </c>
      <c r="O769" s="5" t="s">
        <v>31</v>
      </c>
      <c r="R769" s="5">
        <f>IF(diabetesoriginal[[#This Row],[Diabetes]]=$R$1,diabetesoriginal[[#This Row],[Skin Thickness]],NA())</f>
        <v>31</v>
      </c>
      <c r="S769" s="5" t="e">
        <f>IF(diabetesoriginal[[#This Row],[Diabetes]]=$S$1,diabetesoriginal[[#This Row],[Skin Thickness]],NA())</f>
        <v>#N/A</v>
      </c>
      <c r="U769" s="5">
        <f>IF(diabetesoriginal[[#This Row],[Diabetes]]=$U$1,diabetesoriginal[[#This Row],[Insulin]],NA())</f>
        <v>125</v>
      </c>
      <c r="V769" s="5" t="e">
        <f>IF(diabetesoriginal[[#This Row],[Diabetes]]=$S$1,diabetesoriginal[[#This Row],[Insulin]],NA())</f>
        <v>#N/A</v>
      </c>
    </row>
  </sheetData>
  <autoFilter ref="R1:S1" xr:uid="{00000000-0001-0000-0200-000000000000}"/>
  <phoneticPr fontId="18" type="noConversion"/>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3:J12"/>
  <sheetViews>
    <sheetView zoomScale="70" zoomScaleNormal="70" workbookViewId="0">
      <selection activeCell="G10" sqref="G10"/>
    </sheetView>
  </sheetViews>
  <sheetFormatPr defaultRowHeight="13.8" x14ac:dyDescent="0.25"/>
  <cols>
    <col min="1" max="1" width="23.5" style="5" customWidth="1"/>
    <col min="2" max="10" width="5.5" style="5" customWidth="1"/>
    <col min="11" max="16384" width="8.796875" style="5"/>
  </cols>
  <sheetData>
    <row r="3" spans="1:10" ht="130.19999999999999" x14ac:dyDescent="0.3">
      <c r="A3" s="7"/>
      <c r="B3" s="8" t="s">
        <v>0</v>
      </c>
      <c r="C3" s="8" t="s">
        <v>1</v>
      </c>
      <c r="D3" s="8" t="s">
        <v>13</v>
      </c>
      <c r="E3" s="8" t="s">
        <v>14</v>
      </c>
      <c r="F3" s="8" t="s">
        <v>4</v>
      </c>
      <c r="G3" s="8" t="s">
        <v>5</v>
      </c>
      <c r="H3" s="8" t="s">
        <v>15</v>
      </c>
      <c r="I3" s="8" t="s">
        <v>7</v>
      </c>
      <c r="J3" s="8" t="s">
        <v>12</v>
      </c>
    </row>
    <row r="4" spans="1:10" ht="23.4" customHeight="1" x14ac:dyDescent="0.25">
      <c r="A4" s="9" t="s">
        <v>0</v>
      </c>
      <c r="B4" s="10">
        <f>CORREL(diabetesoriginal[Pregnancies],diabetesoriginal[Pregnancies])</f>
        <v>1</v>
      </c>
      <c r="C4" s="10"/>
      <c r="D4" s="10"/>
      <c r="E4" s="10"/>
      <c r="F4" s="10"/>
      <c r="G4" s="10"/>
      <c r="H4" s="10"/>
      <c r="I4" s="10"/>
      <c r="J4" s="10"/>
    </row>
    <row r="5" spans="1:10" ht="23.4" customHeight="1" x14ac:dyDescent="0.25">
      <c r="A5" s="9" t="s">
        <v>1</v>
      </c>
      <c r="B5" s="10">
        <f>CORREL(diabetesoriginal[Pregnancies],diabetesoriginal[Glucose])</f>
        <v>0.12821295912656072</v>
      </c>
      <c r="C5" s="10">
        <f>CORREL(diabetesoriginal[Glucose],diabetesoriginal[Glucose])</f>
        <v>0.99999999999999989</v>
      </c>
      <c r="D5" s="10"/>
      <c r="E5" s="10"/>
      <c r="F5" s="10"/>
      <c r="G5" s="10"/>
      <c r="H5" s="10"/>
      <c r="I5" s="10"/>
      <c r="J5" s="10"/>
    </row>
    <row r="6" spans="1:10" ht="23.4" customHeight="1" x14ac:dyDescent="0.25">
      <c r="A6" s="9" t="s">
        <v>13</v>
      </c>
      <c r="B6" s="10">
        <f>CORREL(diabetesoriginal[Pregnancies],diabetesoriginal[Blood Pressure])</f>
        <v>0.20861541236539291</v>
      </c>
      <c r="C6" s="10">
        <f>CORREL(diabetesoriginal[Glucose],diabetesoriginal[Blood Pressure])</f>
        <v>0.21893718603179926</v>
      </c>
      <c r="D6" s="10">
        <f>CORREL(diabetesoriginal[Blood Pressure],diabetesoriginal[Blood Pressure])</f>
        <v>1.0000000000000002</v>
      </c>
      <c r="E6" s="10"/>
      <c r="F6" s="10"/>
      <c r="G6" s="10"/>
      <c r="H6" s="10"/>
      <c r="I6" s="10"/>
      <c r="J6" s="10"/>
    </row>
    <row r="7" spans="1:10" ht="23.4" customHeight="1" x14ac:dyDescent="0.25">
      <c r="A7" s="9" t="s">
        <v>14</v>
      </c>
      <c r="B7" s="10">
        <f>CORREL(diabetesoriginal[Pregnancies],diabetesoriginal[Skin Thickness])</f>
        <v>8.1769823006949446E-2</v>
      </c>
      <c r="C7" s="10">
        <f>CORREL(diabetesoriginal[Glucose],diabetesoriginal[Skin Thickness])</f>
        <v>0.19261489539837412</v>
      </c>
      <c r="D7" s="10">
        <f>CORREL(diabetesoriginal[Blood Pressure],diabetesoriginal[Skin Thickness])</f>
        <v>0.19189238838616379</v>
      </c>
      <c r="E7" s="10">
        <f>CORREL(diabetesoriginal[Skin Thickness],diabetesoriginal[Skin Thickness])</f>
        <v>0.99999999999999978</v>
      </c>
      <c r="F7" s="10"/>
      <c r="G7" s="10"/>
      <c r="H7" s="10"/>
      <c r="I7" s="10"/>
      <c r="J7" s="10"/>
    </row>
    <row r="8" spans="1:10" ht="23.4" customHeight="1" x14ac:dyDescent="0.25">
      <c r="A8" s="9" t="s">
        <v>4</v>
      </c>
      <c r="B8" s="10">
        <f>CORREL(diabetesoriginal[Pregnancies],diabetesoriginal[Insulin])</f>
        <v>2.5047480864532894E-2</v>
      </c>
      <c r="C8" s="10">
        <f>CORREL(diabetesoriginal[Glucose],diabetesoriginal[Insulin])</f>
        <v>0.41945051065399325</v>
      </c>
      <c r="D8" s="10">
        <f>CORREL(diabetesoriginal[Blood Pressure],diabetesoriginal[Insulin])</f>
        <v>4.5363304973430316E-2</v>
      </c>
      <c r="E8" s="10">
        <f>CORREL(diabetesoriginal[Skin Thickness],diabetesoriginal[Insulin])</f>
        <v>0.15561028255915182</v>
      </c>
      <c r="F8" s="10">
        <f>CORREL(diabetesoriginal[Insulin],diabetesoriginal[Insulin])</f>
        <v>1</v>
      </c>
      <c r="G8" s="10"/>
      <c r="H8" s="10"/>
      <c r="I8" s="10"/>
      <c r="J8" s="10"/>
    </row>
    <row r="9" spans="1:10" ht="23.4" customHeight="1" x14ac:dyDescent="0.25">
      <c r="A9" s="9" t="s">
        <v>5</v>
      </c>
      <c r="B9" s="10">
        <f>CORREL(diabetesoriginal[Pregnancies],diabetesoriginal[BMI])</f>
        <v>2.1558728709665059E-2</v>
      </c>
      <c r="C9" s="10">
        <f>CORREL(diabetesoriginal[Glucose],diabetesoriginal[BMI])</f>
        <v>0.23104855040238312</v>
      </c>
      <c r="D9" s="10">
        <f>CORREL(diabetesoriginal[Blood Pressure],diabetesoriginal[BMI])</f>
        <v>0.28125656446510183</v>
      </c>
      <c r="E9" s="10">
        <f>CORREL(diabetesoriginal[Skin Thickness],diabetesoriginal[BMI])</f>
        <v>0.54320506997186502</v>
      </c>
      <c r="F9" s="10">
        <f>CORREL(diabetesoriginal[Insulin],diabetesoriginal[BMI])</f>
        <v>0.1802411370966206</v>
      </c>
      <c r="G9" s="10">
        <f>CORREL(diabetesoriginal[BMI],diabetesoriginal[BMI])</f>
        <v>1</v>
      </c>
      <c r="H9" s="10"/>
      <c r="I9" s="10"/>
      <c r="J9" s="10"/>
    </row>
    <row r="10" spans="1:10" ht="23.4" customHeight="1" x14ac:dyDescent="0.25">
      <c r="A10" s="9" t="s">
        <v>15</v>
      </c>
      <c r="B10" s="10">
        <f>CORREL(diabetesoriginal[Pregnancies],diabetesoriginal[Diabetes Pedigree Function])</f>
        <v>-3.3522672962613256E-2</v>
      </c>
      <c r="C10" s="10">
        <f>CORREL(diabetesoriginal[Glucose],diabetesoriginal[Diabetes Pedigree Function])</f>
        <v>0.13732691925636178</v>
      </c>
      <c r="D10" s="10">
        <f>CORREL(diabetesoriginal[Blood Pressure],diabetesoriginal[Diabetes Pedigree Function])</f>
        <v>-2.3783361074090062E-3</v>
      </c>
      <c r="E10" s="10">
        <f>CORREL(diabetesoriginal[Skin Thickness],diabetesoriginal[Diabetes Pedigree Function])</f>
        <v>0.10218826726571278</v>
      </c>
      <c r="F10" s="10">
        <f>CORREL(diabetesoriginal[Insulin],diabetesoriginal[Diabetes Pedigree Function])</f>
        <v>0.12650308582459024</v>
      </c>
      <c r="G10" s="10">
        <f>CORREL(diabetesoriginal[BMI],diabetesoriginal[Diabetes Pedigree Function])</f>
        <v>0.15343767269428238</v>
      </c>
      <c r="H10" s="10">
        <f>CORREL(diabetesoriginal[Diabetes Pedigree Function],diabetesoriginal[Diabetes Pedigree Function])</f>
        <v>1</v>
      </c>
      <c r="I10" s="10"/>
      <c r="J10" s="10"/>
    </row>
    <row r="11" spans="1:10" ht="23.4" customHeight="1" x14ac:dyDescent="0.25">
      <c r="A11" s="9" t="s">
        <v>7</v>
      </c>
      <c r="B11" s="10">
        <f>CORREL(diabetesoriginal[Pregnancies],diabetesoriginal[Age])</f>
        <v>0.54434122840233867</v>
      </c>
      <c r="C11" s="10">
        <f>CORREL(diabetesoriginal[Glucose],diabetesoriginal[Age])</f>
        <v>0.26690916013692523</v>
      </c>
      <c r="D11" s="10">
        <f>CORREL(diabetesoriginal[Blood Pressure],diabetesoriginal[Age])</f>
        <v>0.32491539143687653</v>
      </c>
      <c r="E11" s="10">
        <f>CORREL(diabetesoriginal[Skin Thickness],diabetesoriginal[Age])</f>
        <v>0.12610718967353196</v>
      </c>
      <c r="F11" s="10">
        <f>CORREL(diabetesoriginal[Insulin],diabetesoriginal[Age])</f>
        <v>9.7101248457978989E-2</v>
      </c>
      <c r="G11" s="10">
        <f>CORREL(diabetesoriginal[BMI],diabetesoriginal[Age])</f>
        <v>2.5596911257153344E-2</v>
      </c>
      <c r="H11" s="10">
        <f>CORREL(diabetesoriginal[Diabetes Pedigree Function],diabetesoriginal[Age])</f>
        <v>3.3561312434805576E-2</v>
      </c>
      <c r="I11" s="10">
        <f>CORREL(diabetesoriginal[Age],diabetesoriginal[Age])</f>
        <v>1</v>
      </c>
      <c r="J11" s="10"/>
    </row>
    <row r="12" spans="1:10" ht="23.4" customHeight="1" x14ac:dyDescent="0.25">
      <c r="A12" s="9" t="s">
        <v>12</v>
      </c>
      <c r="B12" s="10">
        <f>CORREL(diabetesoriginal[Pregnancies],diabetesoriginal[Diabetes])</f>
        <v>0.2218981530339883</v>
      </c>
      <c r="C12" s="10">
        <f>CORREL(diabetesoriginal[Glucose],diabetesoriginal[Diabetes])</f>
        <v>0.49278240391502864</v>
      </c>
      <c r="D12" s="10">
        <f>CORREL(diabetesoriginal[Blood Pressure],diabetesoriginal[Diabetes])</f>
        <v>0.16572291308057716</v>
      </c>
      <c r="E12" s="10">
        <f>CORREL(diabetesoriginal[Skin Thickness],diabetesoriginal[Diabetes])</f>
        <v>0.21487321939198914</v>
      </c>
      <c r="F12" s="10">
        <f>CORREL(diabetesoriginal[Insulin],diabetesoriginal[Diabetes])</f>
        <v>0.20379034224454631</v>
      </c>
      <c r="G12" s="10">
        <f>CORREL(diabetesoriginal[BMI],diabetesoriginal[Diabetes])</f>
        <v>0.31203833867711228</v>
      </c>
      <c r="H12" s="10">
        <f>CORREL(diabetesoriginal[Diabetes Pedigree Function],diabetesoriginal[Diabetes])</f>
        <v>0.17384406565296084</v>
      </c>
      <c r="I12" s="10">
        <f>CORREL(diabetesoriginal[Age],diabetesoriginal[Diabetes])</f>
        <v>0.23835598302719743</v>
      </c>
      <c r="J12" s="10">
        <f>CORREL(diabetesoriginal[Diabetes],diabetesoriginal[Diabetes])</f>
        <v>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E5246-71DE-4CBB-A994-7BEFCC4B0D6F}">
  <sheetPr codeName="Sheet8"/>
  <dimension ref="A3:T141"/>
  <sheetViews>
    <sheetView zoomScale="70" zoomScaleNormal="70" workbookViewId="0">
      <selection activeCell="AL23" sqref="AL23"/>
    </sheetView>
  </sheetViews>
  <sheetFormatPr defaultRowHeight="13.8" x14ac:dyDescent="0.25"/>
  <cols>
    <col min="1" max="1" width="14.09765625" style="5" bestFit="1" customWidth="1"/>
    <col min="2" max="2" width="17.69921875" style="5" customWidth="1"/>
    <col min="3" max="5" width="8.796875" style="5"/>
    <col min="6" max="6" width="17.69921875" style="5" customWidth="1"/>
    <col min="7" max="7" width="17.69921875" style="5" bestFit="1" customWidth="1"/>
    <col min="8" max="8" width="11.8984375" style="5" bestFit="1" customWidth="1"/>
    <col min="9" max="9" width="12" style="5" bestFit="1" customWidth="1"/>
    <col min="10" max="10" width="8.796875" style="5" customWidth="1"/>
    <col min="11" max="11" width="17.19921875" style="5" bestFit="1" customWidth="1"/>
    <col min="12" max="12" width="17.5" style="5" bestFit="1" customWidth="1"/>
    <col min="13" max="13" width="7.796875" style="5" bestFit="1" customWidth="1"/>
    <col min="14" max="14" width="11.69921875" style="5" bestFit="1" customWidth="1"/>
    <col min="15" max="15" width="1.8984375" style="5" customWidth="1"/>
    <col min="16" max="16" width="16.8984375" style="5" customWidth="1"/>
    <col min="17" max="18" width="17.69921875" style="5" customWidth="1"/>
    <col min="19" max="19" width="9.19921875" style="5" bestFit="1" customWidth="1"/>
    <col min="20" max="20" width="12" style="5" bestFit="1" customWidth="1"/>
    <col min="21" max="21" width="16.69921875" style="5" customWidth="1"/>
    <col min="22" max="28" width="15.09765625" style="5" bestFit="1" customWidth="1"/>
    <col min="29" max="29" width="10" style="5" bestFit="1" customWidth="1"/>
    <col min="30" max="187" width="15.09765625" style="5" bestFit="1" customWidth="1"/>
    <col min="188" max="189" width="10" style="5" bestFit="1" customWidth="1"/>
    <col min="190" max="195" width="4.59765625" style="5" bestFit="1" customWidth="1"/>
    <col min="196" max="196" width="3.19921875" style="5" bestFit="1" customWidth="1"/>
    <col min="197" max="205" width="4.59765625" style="5" bestFit="1" customWidth="1"/>
    <col min="206" max="206" width="3.19921875" style="5" bestFit="1" customWidth="1"/>
    <col min="207" max="213" width="4.59765625" style="5" bestFit="1" customWidth="1"/>
    <col min="214" max="214" width="3.19921875" style="5" bestFit="1" customWidth="1"/>
    <col min="215" max="218" width="4.59765625" style="5" bestFit="1" customWidth="1"/>
    <col min="219" max="219" width="3.19921875" style="5" bestFit="1" customWidth="1"/>
    <col min="220" max="233" width="4.59765625" style="5" bestFit="1" customWidth="1"/>
    <col min="234" max="234" width="3.19921875" style="5" bestFit="1" customWidth="1"/>
    <col min="235" max="238" width="4.59765625" style="5" bestFit="1" customWidth="1"/>
    <col min="239" max="239" width="3.19921875" style="5" bestFit="1" customWidth="1"/>
    <col min="240" max="258" width="4.59765625" style="5" bestFit="1" customWidth="1"/>
    <col min="259" max="259" width="3.19921875" style="5" bestFit="1" customWidth="1"/>
    <col min="260" max="262" width="4.59765625" style="5" bestFit="1" customWidth="1"/>
    <col min="263" max="263" width="3.19921875" style="5" bestFit="1" customWidth="1"/>
    <col min="264" max="266" width="4.59765625" style="5" bestFit="1" customWidth="1"/>
    <col min="267" max="267" width="10.296875" style="5" bestFit="1" customWidth="1"/>
    <col min="268" max="268" width="8.19921875" style="5" bestFit="1" customWidth="1"/>
    <col min="269" max="269" width="5.3984375" style="5" bestFit="1" customWidth="1"/>
    <col min="270" max="270" width="8.19921875" style="5" bestFit="1" customWidth="1"/>
    <col min="271" max="271" width="5.3984375" style="5" bestFit="1" customWidth="1"/>
    <col min="272" max="272" width="8.19921875" style="5" bestFit="1" customWidth="1"/>
    <col min="273" max="273" width="5.3984375" style="5" bestFit="1" customWidth="1"/>
    <col min="274" max="274" width="8.19921875" style="5" bestFit="1" customWidth="1"/>
    <col min="275" max="275" width="5.3984375" style="5" bestFit="1" customWidth="1"/>
    <col min="276" max="276" width="8.19921875" style="5" bestFit="1" customWidth="1"/>
    <col min="277" max="277" width="5.3984375" style="5" bestFit="1" customWidth="1"/>
    <col min="278" max="278" width="8.19921875" style="5" bestFit="1" customWidth="1"/>
    <col min="279" max="279" width="5.3984375" style="5" bestFit="1" customWidth="1"/>
    <col min="280" max="280" width="8.19921875" style="5" bestFit="1" customWidth="1"/>
    <col min="281" max="281" width="5.3984375" style="5" bestFit="1" customWidth="1"/>
    <col min="282" max="282" width="8.19921875" style="5" bestFit="1" customWidth="1"/>
    <col min="283" max="283" width="5.3984375" style="5" bestFit="1" customWidth="1"/>
    <col min="284" max="284" width="8.19921875" style="5" bestFit="1" customWidth="1"/>
    <col min="285" max="285" width="10.296875" style="5" bestFit="1" customWidth="1"/>
    <col min="286" max="299" width="3.59765625" style="5" bestFit="1" customWidth="1"/>
    <col min="300" max="300" width="11.3984375" style="5" bestFit="1" customWidth="1"/>
    <col min="301" max="301" width="10.296875" style="5" bestFit="1" customWidth="1"/>
    <col min="302" max="314" width="5.5" style="5" bestFit="1" customWidth="1"/>
    <col min="315" max="315" width="4.59765625" style="5" bestFit="1" customWidth="1"/>
    <col min="316" max="319" width="5.5" style="5" bestFit="1" customWidth="1"/>
    <col min="320" max="320" width="4.59765625" style="5" bestFit="1" customWidth="1"/>
    <col min="321" max="340" width="5.5" style="5" bestFit="1" customWidth="1"/>
    <col min="341" max="341" width="4.59765625" style="5" bestFit="1" customWidth="1"/>
    <col min="342" max="349" width="5.5" style="5" bestFit="1" customWidth="1"/>
    <col min="350" max="350" width="4.59765625" style="5" bestFit="1" customWidth="1"/>
    <col min="351" max="360" width="5.5" style="5" bestFit="1" customWidth="1"/>
    <col min="361" max="361" width="3.59765625" style="5" bestFit="1" customWidth="1"/>
    <col min="362" max="364" width="5.5" style="5" bestFit="1" customWidth="1"/>
    <col min="365" max="365" width="4.59765625" style="5" bestFit="1" customWidth="1"/>
    <col min="366" max="374" width="5.5" style="5" bestFit="1" customWidth="1"/>
    <col min="375" max="375" width="4.59765625" style="5" bestFit="1" customWidth="1"/>
    <col min="376" max="377" width="5.5" style="5" bestFit="1" customWidth="1"/>
    <col min="378" max="378" width="4.59765625" style="5" bestFit="1" customWidth="1"/>
    <col min="379" max="386" width="5.5" style="5" bestFit="1" customWidth="1"/>
    <col min="387" max="387" width="4.59765625" style="5" bestFit="1" customWidth="1"/>
    <col min="388" max="395" width="5.5" style="5" bestFit="1" customWidth="1"/>
    <col min="396" max="396" width="4.59765625" style="5" bestFit="1" customWidth="1"/>
    <col min="397" max="418" width="5.5" style="5" bestFit="1" customWidth="1"/>
    <col min="419" max="419" width="4.59765625" style="5" bestFit="1" customWidth="1"/>
    <col min="420" max="456" width="5.5" style="5" bestFit="1" customWidth="1"/>
    <col min="457" max="457" width="4.59765625" style="5" bestFit="1" customWidth="1"/>
    <col min="458" max="466" width="5.5" style="5" bestFit="1" customWidth="1"/>
    <col min="467" max="467" width="4.59765625" style="5" bestFit="1" customWidth="1"/>
    <col min="468" max="476" width="5.5" style="5" bestFit="1" customWidth="1"/>
    <col min="477" max="477" width="4.59765625" style="5" bestFit="1" customWidth="1"/>
    <col min="478" max="487" width="5.5" style="5" bestFit="1" customWidth="1"/>
    <col min="488" max="488" width="4.59765625" style="5" bestFit="1" customWidth="1"/>
    <col min="489" max="522" width="5.5" style="5" bestFit="1" customWidth="1"/>
    <col min="523" max="523" width="4.59765625" style="5" bestFit="1" customWidth="1"/>
    <col min="524" max="525" width="5.5" style="5" bestFit="1" customWidth="1"/>
    <col min="526" max="526" width="3.59765625" style="5" bestFit="1" customWidth="1"/>
    <col min="527" max="529" width="5.5" style="5" bestFit="1" customWidth="1"/>
    <col min="530" max="530" width="3.59765625" style="5" bestFit="1" customWidth="1"/>
    <col min="531" max="538" width="5.5" style="5" bestFit="1" customWidth="1"/>
    <col min="539" max="539" width="4.59765625" style="5" bestFit="1" customWidth="1"/>
    <col min="540" max="540" width="10.296875" style="5" bestFit="1" customWidth="1"/>
    <col min="541" max="541" width="8" style="5"/>
    <col min="542" max="16384" width="8.796875" style="5"/>
  </cols>
  <sheetData>
    <row r="3" spans="1:20" x14ac:dyDescent="0.25">
      <c r="A3" s="1" t="s">
        <v>9</v>
      </c>
      <c r="B3" t="s">
        <v>16</v>
      </c>
    </row>
    <row r="4" spans="1:20" x14ac:dyDescent="0.25">
      <c r="A4" s="2">
        <v>0</v>
      </c>
      <c r="B4" s="3">
        <v>500</v>
      </c>
      <c r="F4"/>
      <c r="G4" s="1" t="s">
        <v>11</v>
      </c>
      <c r="H4"/>
      <c r="I4"/>
      <c r="K4"/>
      <c r="L4" s="1" t="s">
        <v>11</v>
      </c>
      <c r="M4"/>
      <c r="N4"/>
    </row>
    <row r="5" spans="1:20" x14ac:dyDescent="0.25">
      <c r="A5" s="2">
        <v>1</v>
      </c>
      <c r="B5" s="3">
        <v>268</v>
      </c>
      <c r="F5"/>
      <c r="G5" t="s">
        <v>22</v>
      </c>
      <c r="H5" t="s">
        <v>57</v>
      </c>
      <c r="I5" t="s">
        <v>10</v>
      </c>
      <c r="K5"/>
      <c r="L5" t="s">
        <v>56</v>
      </c>
      <c r="M5" t="s">
        <v>58</v>
      </c>
      <c r="N5" t="s">
        <v>10</v>
      </c>
      <c r="Q5"/>
      <c r="R5" s="1" t="s">
        <v>11</v>
      </c>
      <c r="S5"/>
      <c r="T5"/>
    </row>
    <row r="6" spans="1:20" x14ac:dyDescent="0.25">
      <c r="A6" s="2" t="s">
        <v>10</v>
      </c>
      <c r="B6" s="3">
        <v>768</v>
      </c>
      <c r="F6" t="s">
        <v>16</v>
      </c>
      <c r="G6" s="4">
        <v>0.25651041666666669</v>
      </c>
      <c r="H6" s="4">
        <v>0.74348958333333337</v>
      </c>
      <c r="I6" s="4">
        <v>1</v>
      </c>
      <c r="K6" t="s">
        <v>16</v>
      </c>
      <c r="L6" s="4">
        <v>0.77604166666666663</v>
      </c>
      <c r="M6" s="4">
        <v>0.22395833333333334</v>
      </c>
      <c r="N6" s="4">
        <v>1</v>
      </c>
      <c r="Q6"/>
      <c r="R6" t="s">
        <v>18</v>
      </c>
      <c r="S6" t="s">
        <v>17</v>
      </c>
      <c r="T6" t="s">
        <v>10</v>
      </c>
    </row>
    <row r="7" spans="1:20" x14ac:dyDescent="0.25">
      <c r="Q7"/>
      <c r="R7"/>
      <c r="S7"/>
      <c r="T7"/>
    </row>
    <row r="8" spans="1:20" x14ac:dyDescent="0.25">
      <c r="J8" s="14"/>
      <c r="K8" s="14"/>
      <c r="L8" s="14"/>
      <c r="M8" s="14"/>
      <c r="N8" s="14"/>
      <c r="Q8" t="s">
        <v>16</v>
      </c>
      <c r="R8" s="4">
        <v>0.86197916666666663</v>
      </c>
      <c r="S8" s="4">
        <v>0.13802083333333334</v>
      </c>
      <c r="T8" s="4">
        <v>1</v>
      </c>
    </row>
    <row r="9" spans="1:20" x14ac:dyDescent="0.25">
      <c r="J9" s="14"/>
      <c r="K9" s="14"/>
      <c r="L9" s="14"/>
      <c r="M9" s="14"/>
      <c r="N9" s="14"/>
      <c r="O9" s="14"/>
    </row>
    <row r="10" spans="1:20" x14ac:dyDescent="0.25">
      <c r="J10" s="14"/>
      <c r="K10" s="14"/>
      <c r="L10" s="14"/>
      <c r="M10" s="14"/>
      <c r="N10" s="14"/>
      <c r="O10" s="14"/>
    </row>
    <row r="11" spans="1:20" x14ac:dyDescent="0.25">
      <c r="J11" s="14"/>
      <c r="K11" s="14"/>
      <c r="L11" s="14"/>
      <c r="M11" s="14"/>
      <c r="N11" s="14"/>
      <c r="O11" s="14"/>
    </row>
    <row r="12" spans="1:20" x14ac:dyDescent="0.25">
      <c r="J12" s="14"/>
      <c r="K12" s="14"/>
      <c r="L12" s="14"/>
      <c r="M12" s="14"/>
      <c r="N12" s="14"/>
      <c r="O12" s="14"/>
    </row>
    <row r="13" spans="1:20" x14ac:dyDescent="0.25">
      <c r="J13" s="14"/>
      <c r="K13" s="14"/>
      <c r="L13" s="14"/>
      <c r="M13" s="14"/>
      <c r="N13" s="14"/>
      <c r="O13" s="14"/>
    </row>
    <row r="14" spans="1:20" x14ac:dyDescent="0.25">
      <c r="J14" s="14"/>
      <c r="K14" s="14"/>
      <c r="L14" s="14"/>
      <c r="M14" s="14"/>
      <c r="N14" s="14"/>
      <c r="O14" s="14"/>
    </row>
    <row r="15" spans="1:20" x14ac:dyDescent="0.25">
      <c r="J15" s="14"/>
      <c r="K15" s="14"/>
      <c r="L15" s="14"/>
      <c r="M15" s="14"/>
      <c r="N15" s="14"/>
      <c r="O15" s="14"/>
    </row>
    <row r="16" spans="1:20" x14ac:dyDescent="0.25">
      <c r="J16" s="14"/>
      <c r="K16" s="14"/>
      <c r="L16" s="14"/>
      <c r="M16" s="14"/>
      <c r="N16" s="14"/>
      <c r="O16" s="14"/>
    </row>
    <row r="17" spans="6:15" x14ac:dyDescent="0.25">
      <c r="J17" s="14"/>
      <c r="O17" s="14"/>
    </row>
    <row r="18" spans="6:15" x14ac:dyDescent="0.25">
      <c r="J18" s="14"/>
      <c r="O18" s="14"/>
    </row>
    <row r="19" spans="6:15" x14ac:dyDescent="0.25">
      <c r="J19" s="14"/>
      <c r="O19" s="14"/>
    </row>
    <row r="20" spans="6:15" x14ac:dyDescent="0.25">
      <c r="F20"/>
      <c r="G20" s="1" t="s">
        <v>11</v>
      </c>
      <c r="H20"/>
      <c r="I20"/>
      <c r="L20" s="11" t="s">
        <v>11</v>
      </c>
    </row>
    <row r="21" spans="6:15" x14ac:dyDescent="0.25">
      <c r="F21"/>
      <c r="G21" t="s">
        <v>17</v>
      </c>
      <c r="H21" t="s">
        <v>23</v>
      </c>
      <c r="I21" t="s">
        <v>10</v>
      </c>
      <c r="L21" s="5" t="s">
        <v>59</v>
      </c>
      <c r="M21" s="5" t="s">
        <v>31</v>
      </c>
      <c r="N21" s="5" t="s">
        <v>10</v>
      </c>
    </row>
    <row r="22" spans="6:15" x14ac:dyDescent="0.25">
      <c r="F22"/>
      <c r="G22"/>
      <c r="H22"/>
      <c r="I22"/>
      <c r="K22" s="5" t="s">
        <v>16</v>
      </c>
      <c r="L22" s="13">
        <v>0.171875</v>
      </c>
      <c r="M22" s="13">
        <v>0.828125</v>
      </c>
      <c r="N22" s="13">
        <v>1</v>
      </c>
    </row>
    <row r="23" spans="6:15" x14ac:dyDescent="0.25">
      <c r="F23" t="s">
        <v>16</v>
      </c>
      <c r="G23" s="4">
        <v>0.26692708333333331</v>
      </c>
      <c r="H23" s="4">
        <v>0.73307291666666663</v>
      </c>
      <c r="I23" s="4">
        <v>1</v>
      </c>
    </row>
    <row r="25" spans="6:15" x14ac:dyDescent="0.25">
      <c r="J25" s="14"/>
    </row>
    <row r="26" spans="6:15" x14ac:dyDescent="0.25">
      <c r="J26" s="14"/>
    </row>
    <row r="27" spans="6:15" x14ac:dyDescent="0.25">
      <c r="J27" s="14"/>
      <c r="O27" s="14"/>
    </row>
    <row r="28" spans="6:15" x14ac:dyDescent="0.25">
      <c r="J28" s="14"/>
      <c r="O28" s="14"/>
    </row>
    <row r="29" spans="6:15" x14ac:dyDescent="0.25">
      <c r="J29" s="14"/>
      <c r="O29" s="14"/>
    </row>
    <row r="30" spans="6:15" x14ac:dyDescent="0.25">
      <c r="J30" s="14"/>
      <c r="K30" s="14"/>
      <c r="L30" s="14"/>
      <c r="M30" s="14"/>
      <c r="N30" s="14"/>
      <c r="O30" s="14"/>
    </row>
    <row r="31" spans="6:15" x14ac:dyDescent="0.25">
      <c r="J31" s="14"/>
      <c r="K31" s="14"/>
      <c r="L31" s="14"/>
      <c r="M31" s="14"/>
      <c r="N31" s="14"/>
      <c r="O31" s="14"/>
    </row>
    <row r="32" spans="6:15" x14ac:dyDescent="0.25">
      <c r="J32" s="14"/>
      <c r="K32" s="14"/>
      <c r="L32" s="14"/>
      <c r="M32" s="14"/>
      <c r="N32" s="14"/>
      <c r="O32" s="14"/>
    </row>
    <row r="33" spans="5:16" x14ac:dyDescent="0.25">
      <c r="J33" s="14"/>
      <c r="K33" s="14"/>
      <c r="L33" s="14"/>
      <c r="M33" s="14"/>
      <c r="N33" s="14"/>
      <c r="O33" s="14"/>
      <c r="P33" s="14"/>
    </row>
    <row r="34" spans="5:16" x14ac:dyDescent="0.25">
      <c r="P34" s="14"/>
    </row>
    <row r="35" spans="5:16" x14ac:dyDescent="0.25">
      <c r="P35" s="14"/>
    </row>
    <row r="39" spans="5:16" x14ac:dyDescent="0.25">
      <c r="P39" s="14"/>
    </row>
    <row r="40" spans="5:16" x14ac:dyDescent="0.25">
      <c r="E40" s="14"/>
      <c r="P40" s="14"/>
    </row>
    <row r="41" spans="5:16" x14ac:dyDescent="0.25">
      <c r="E41" s="14"/>
      <c r="P41" s="14"/>
    </row>
    <row r="42" spans="5:16" x14ac:dyDescent="0.25">
      <c r="E42" s="14"/>
      <c r="P42" s="14"/>
    </row>
    <row r="43" spans="5:16" x14ac:dyDescent="0.25">
      <c r="E43" s="14"/>
      <c r="P43" s="14"/>
    </row>
    <row r="44" spans="5:16" x14ac:dyDescent="0.25">
      <c r="E44" s="14"/>
      <c r="P44" s="14"/>
    </row>
    <row r="45" spans="5:16" x14ac:dyDescent="0.25">
      <c r="E45" s="14"/>
      <c r="P45" s="14"/>
    </row>
    <row r="46" spans="5:16" x14ac:dyDescent="0.25">
      <c r="E46" s="14"/>
      <c r="P46" s="14"/>
    </row>
    <row r="47" spans="5:16" x14ac:dyDescent="0.25">
      <c r="E47" s="14"/>
      <c r="P47" s="14"/>
    </row>
    <row r="48" spans="5:16" x14ac:dyDescent="0.25">
      <c r="E48" s="14"/>
      <c r="P48" s="14"/>
    </row>
    <row r="49" spans="5:16" x14ac:dyDescent="0.25">
      <c r="E49" s="14"/>
      <c r="O49" s="14"/>
      <c r="P49" s="14"/>
    </row>
    <row r="50" spans="5:16" x14ac:dyDescent="0.25">
      <c r="E50" s="14"/>
      <c r="O50" s="14"/>
      <c r="P50" s="14"/>
    </row>
    <row r="51" spans="5:16" x14ac:dyDescent="0.25">
      <c r="E51" s="14"/>
    </row>
    <row r="54" spans="5:16" x14ac:dyDescent="0.25">
      <c r="M54" s="14"/>
      <c r="N54" s="14"/>
      <c r="O54" s="14"/>
      <c r="P54" s="14"/>
    </row>
    <row r="55" spans="5:16" x14ac:dyDescent="0.25">
      <c r="M55" s="14"/>
      <c r="N55" s="14"/>
      <c r="O55" s="14"/>
      <c r="P55" s="14"/>
    </row>
    <row r="56" spans="5:16" x14ac:dyDescent="0.25">
      <c r="M56" s="14"/>
      <c r="N56" s="14"/>
      <c r="O56" s="14"/>
      <c r="P56" s="14"/>
    </row>
    <row r="57" spans="5:16" x14ac:dyDescent="0.25">
      <c r="E57" s="14"/>
      <c r="M57" s="14"/>
      <c r="N57" s="14"/>
      <c r="O57" s="14"/>
      <c r="P57" s="14"/>
    </row>
    <row r="58" spans="5:16" x14ac:dyDescent="0.25">
      <c r="E58" s="14"/>
      <c r="M58" s="14"/>
      <c r="N58" s="14"/>
      <c r="O58" s="14"/>
      <c r="P58" s="14"/>
    </row>
    <row r="59" spans="5:16" x14ac:dyDescent="0.25">
      <c r="E59" s="14"/>
      <c r="M59" s="14"/>
      <c r="N59" s="14"/>
      <c r="O59" s="14"/>
      <c r="P59" s="14"/>
    </row>
    <row r="60" spans="5:16" x14ac:dyDescent="0.25">
      <c r="E60" s="14"/>
      <c r="M60" s="14"/>
      <c r="N60" s="14"/>
      <c r="O60" s="14"/>
      <c r="P60" s="14"/>
    </row>
    <row r="61" spans="5:16" x14ac:dyDescent="0.25">
      <c r="E61" s="14"/>
      <c r="M61" s="14"/>
      <c r="N61" s="14"/>
      <c r="O61" s="14"/>
      <c r="P61" s="14"/>
    </row>
    <row r="62" spans="5:16" x14ac:dyDescent="0.25">
      <c r="E62" s="14"/>
      <c r="M62" s="14"/>
      <c r="N62" s="14"/>
      <c r="O62" s="14"/>
      <c r="P62" s="14"/>
    </row>
    <row r="63" spans="5:16" x14ac:dyDescent="0.25">
      <c r="E63" s="14"/>
      <c r="M63" s="14"/>
      <c r="N63" s="14"/>
      <c r="O63" s="14"/>
      <c r="P63" s="14"/>
    </row>
    <row r="64" spans="5:16" x14ac:dyDescent="0.25">
      <c r="E64" s="14"/>
      <c r="M64" s="14"/>
      <c r="N64" s="14"/>
      <c r="O64" s="14"/>
      <c r="P64" s="14"/>
    </row>
    <row r="65" spans="11:16" x14ac:dyDescent="0.25">
      <c r="N65" s="14"/>
      <c r="O65" s="14"/>
      <c r="P65" s="14"/>
    </row>
    <row r="70" spans="11:16" x14ac:dyDescent="0.25">
      <c r="N70" s="14"/>
      <c r="O70" s="14"/>
      <c r="P70" s="14"/>
    </row>
    <row r="71" spans="11:16" x14ac:dyDescent="0.25">
      <c r="N71" s="14"/>
      <c r="O71" s="14"/>
      <c r="P71" s="14"/>
    </row>
    <row r="72" spans="11:16" x14ac:dyDescent="0.25">
      <c r="N72" s="14"/>
      <c r="O72" s="14"/>
      <c r="P72" s="14"/>
    </row>
    <row r="73" spans="11:16" x14ac:dyDescent="0.25">
      <c r="N73" s="14"/>
      <c r="O73" s="14"/>
      <c r="P73" s="14"/>
    </row>
    <row r="74" spans="11:16" x14ac:dyDescent="0.25">
      <c r="N74" s="14"/>
      <c r="O74" s="14"/>
      <c r="P74" s="14"/>
    </row>
    <row r="75" spans="11:16" x14ac:dyDescent="0.25">
      <c r="N75" s="14"/>
      <c r="O75" s="14"/>
      <c r="P75" s="14"/>
    </row>
    <row r="76" spans="11:16" x14ac:dyDescent="0.25">
      <c r="N76" s="14"/>
      <c r="O76" s="14"/>
      <c r="P76" s="14"/>
    </row>
    <row r="77" spans="11:16" x14ac:dyDescent="0.25">
      <c r="N77" s="14"/>
      <c r="O77" s="14"/>
      <c r="P77" s="14"/>
    </row>
    <row r="78" spans="11:16" x14ac:dyDescent="0.25">
      <c r="N78" s="14"/>
      <c r="O78" s="14"/>
      <c r="P78" s="14"/>
    </row>
    <row r="79" spans="11:16" x14ac:dyDescent="0.25">
      <c r="N79" s="14"/>
      <c r="O79" s="14"/>
      <c r="P79" s="14"/>
    </row>
    <row r="80" spans="11:16" x14ac:dyDescent="0.25">
      <c r="K80" s="14"/>
      <c r="L80" s="14"/>
      <c r="M80" s="14"/>
      <c r="N80" s="14"/>
      <c r="O80" s="14"/>
      <c r="P80" s="14"/>
    </row>
    <row r="81" spans="10:16" x14ac:dyDescent="0.25">
      <c r="K81" s="14"/>
      <c r="L81" s="14"/>
      <c r="M81" s="14"/>
      <c r="N81" s="14"/>
      <c r="O81" s="14"/>
      <c r="P81" s="14"/>
    </row>
    <row r="82" spans="10:16" x14ac:dyDescent="0.25">
      <c r="J82" s="14"/>
      <c r="K82" s="14"/>
      <c r="L82" s="14"/>
      <c r="M82" s="14"/>
      <c r="N82" s="14"/>
      <c r="O82" s="14"/>
      <c r="P82" s="14"/>
    </row>
    <row r="83" spans="10:16" x14ac:dyDescent="0.25">
      <c r="J83" s="14"/>
      <c r="K83" s="14"/>
      <c r="L83" s="14"/>
      <c r="M83" s="14"/>
      <c r="N83" s="14"/>
      <c r="O83" s="14"/>
      <c r="P83" s="14"/>
    </row>
    <row r="84" spans="10:16" x14ac:dyDescent="0.25">
      <c r="J84" s="14"/>
      <c r="K84" s="14"/>
      <c r="L84" s="14"/>
      <c r="M84" s="14"/>
      <c r="N84" s="14"/>
      <c r="O84" s="14"/>
      <c r="P84" s="14"/>
    </row>
    <row r="85" spans="10:16" x14ac:dyDescent="0.25">
      <c r="J85" s="14"/>
      <c r="K85" s="14"/>
      <c r="L85" s="14"/>
      <c r="M85" s="14"/>
      <c r="N85" s="14"/>
      <c r="O85" s="14"/>
      <c r="P85" s="14"/>
    </row>
    <row r="86" spans="10:16" x14ac:dyDescent="0.25">
      <c r="J86" s="14"/>
      <c r="K86" s="14"/>
      <c r="L86" s="14"/>
      <c r="M86" s="14"/>
      <c r="N86" s="14"/>
      <c r="O86" s="14"/>
      <c r="P86" s="14"/>
    </row>
    <row r="87" spans="10:16" x14ac:dyDescent="0.25">
      <c r="J87" s="14"/>
      <c r="K87" s="14"/>
      <c r="L87" s="14"/>
      <c r="M87" s="14"/>
      <c r="N87" s="14"/>
      <c r="O87" s="14"/>
      <c r="P87" s="14"/>
    </row>
    <row r="88" spans="10:16" x14ac:dyDescent="0.25">
      <c r="J88" s="14"/>
      <c r="K88" s="14"/>
      <c r="L88" s="14"/>
      <c r="M88" s="14"/>
      <c r="N88" s="14"/>
      <c r="O88" s="14"/>
      <c r="P88" s="14"/>
    </row>
    <row r="89" spans="10:16" x14ac:dyDescent="0.25">
      <c r="J89" s="14"/>
      <c r="K89" s="14"/>
      <c r="L89" s="14"/>
      <c r="M89" s="14"/>
      <c r="N89" s="14"/>
      <c r="O89" s="14"/>
      <c r="P89" s="14"/>
    </row>
    <row r="90" spans="10:16" x14ac:dyDescent="0.25">
      <c r="J90" s="14"/>
      <c r="K90" s="14"/>
      <c r="L90" s="14"/>
      <c r="M90" s="14"/>
      <c r="N90" s="14"/>
      <c r="O90" s="14"/>
      <c r="P90" s="14"/>
    </row>
    <row r="91" spans="10:16" x14ac:dyDescent="0.25">
      <c r="J91" s="14"/>
      <c r="K91" s="14"/>
      <c r="L91" s="14"/>
      <c r="M91" s="14"/>
      <c r="N91" s="14"/>
      <c r="O91" s="14"/>
      <c r="P91" s="14"/>
    </row>
    <row r="92" spans="10:16" x14ac:dyDescent="0.25">
      <c r="J92" s="14"/>
      <c r="K92" s="14"/>
      <c r="L92" s="14"/>
      <c r="M92" s="14"/>
      <c r="N92" s="14"/>
      <c r="O92" s="14"/>
      <c r="P92" s="14"/>
    </row>
    <row r="93" spans="10:16" x14ac:dyDescent="0.25">
      <c r="J93" s="14"/>
      <c r="K93" s="14"/>
      <c r="L93" s="14"/>
      <c r="M93" s="14"/>
      <c r="N93" s="14"/>
      <c r="O93" s="14"/>
      <c r="P93" s="14"/>
    </row>
    <row r="94" spans="10:16" x14ac:dyDescent="0.25">
      <c r="J94" s="14"/>
      <c r="K94" s="14"/>
      <c r="L94" s="14"/>
      <c r="M94" s="14"/>
      <c r="N94" s="14"/>
      <c r="O94" s="14"/>
      <c r="P94" s="14"/>
    </row>
    <row r="95" spans="10:16" x14ac:dyDescent="0.25">
      <c r="J95" s="14"/>
      <c r="K95" s="14"/>
      <c r="L95" s="14"/>
      <c r="M95" s="14"/>
      <c r="N95" s="14"/>
      <c r="O95" s="14"/>
      <c r="P95" s="14"/>
    </row>
    <row r="96" spans="10:16" x14ac:dyDescent="0.25">
      <c r="J96" s="14"/>
      <c r="K96" s="14"/>
      <c r="L96" s="14"/>
      <c r="M96" s="14"/>
      <c r="N96" s="14"/>
      <c r="O96" s="14"/>
      <c r="P96" s="14"/>
    </row>
    <row r="97" spans="10:16" x14ac:dyDescent="0.25">
      <c r="J97" s="14"/>
      <c r="K97" s="14"/>
      <c r="L97" s="14"/>
      <c r="M97" s="14"/>
      <c r="N97" s="14"/>
      <c r="O97" s="14"/>
      <c r="P97" s="14"/>
    </row>
    <row r="98" spans="10:16" x14ac:dyDescent="0.25">
      <c r="J98" s="14"/>
      <c r="K98" s="14"/>
      <c r="L98" s="14"/>
      <c r="M98" s="14"/>
      <c r="N98" s="14"/>
      <c r="O98" s="14"/>
      <c r="P98" s="14"/>
    </row>
    <row r="99" spans="10:16" x14ac:dyDescent="0.25">
      <c r="J99" s="14"/>
      <c r="K99" s="14"/>
      <c r="L99" s="14"/>
      <c r="M99" s="14"/>
      <c r="N99" s="14"/>
      <c r="O99" s="14"/>
      <c r="P99" s="14"/>
    </row>
    <row r="100" spans="10:16" x14ac:dyDescent="0.25">
      <c r="J100" s="14"/>
      <c r="K100" s="14"/>
      <c r="L100" s="14"/>
      <c r="M100" s="14"/>
      <c r="N100" s="14"/>
      <c r="O100" s="14"/>
      <c r="P100" s="14"/>
    </row>
    <row r="101" spans="10:16" x14ac:dyDescent="0.25">
      <c r="J101" s="14"/>
      <c r="K101" s="14"/>
      <c r="L101" s="14"/>
      <c r="M101" s="14"/>
      <c r="N101" s="14"/>
      <c r="O101" s="14"/>
      <c r="P101" s="14"/>
    </row>
    <row r="102" spans="10:16" x14ac:dyDescent="0.25">
      <c r="J102" s="14"/>
      <c r="K102" s="14"/>
      <c r="L102" s="14"/>
      <c r="M102" s="14"/>
      <c r="N102" s="14"/>
      <c r="O102" s="14"/>
      <c r="P102" s="14"/>
    </row>
    <row r="103" spans="10:16" x14ac:dyDescent="0.25">
      <c r="J103" s="14"/>
      <c r="K103" s="14"/>
      <c r="L103" s="14"/>
      <c r="M103" s="14"/>
      <c r="N103" s="14"/>
      <c r="O103" s="14"/>
      <c r="P103" s="14"/>
    </row>
    <row r="104" spans="10:16" x14ac:dyDescent="0.25">
      <c r="J104" s="14"/>
      <c r="K104" s="14"/>
      <c r="L104" s="14"/>
      <c r="M104" s="14"/>
      <c r="N104" s="14"/>
      <c r="O104" s="14"/>
      <c r="P104" s="14"/>
    </row>
    <row r="105" spans="10:16" x14ac:dyDescent="0.25">
      <c r="J105" s="14"/>
      <c r="K105" s="14"/>
      <c r="L105" s="14"/>
      <c r="M105" s="14"/>
      <c r="N105" s="14"/>
      <c r="O105" s="14"/>
      <c r="P105" s="14"/>
    </row>
    <row r="106" spans="10:16" x14ac:dyDescent="0.25">
      <c r="J106" s="14"/>
      <c r="K106" s="14"/>
      <c r="L106" s="14"/>
      <c r="M106" s="14"/>
      <c r="N106" s="14"/>
      <c r="O106" s="14"/>
      <c r="P106" s="14"/>
    </row>
    <row r="107" spans="10:16" x14ac:dyDescent="0.25">
      <c r="J107" s="14"/>
      <c r="K107" s="14"/>
      <c r="L107" s="14"/>
      <c r="M107" s="14"/>
      <c r="N107" s="14"/>
      <c r="O107" s="14"/>
      <c r="P107" s="14"/>
    </row>
    <row r="108" spans="10:16" x14ac:dyDescent="0.25">
      <c r="J108" s="14"/>
      <c r="K108" s="14"/>
      <c r="L108" s="14"/>
      <c r="M108" s="14"/>
      <c r="N108" s="14"/>
      <c r="O108" s="14"/>
      <c r="P108" s="14"/>
    </row>
    <row r="109" spans="10:16" x14ac:dyDescent="0.25">
      <c r="J109" s="14"/>
      <c r="K109" s="14"/>
      <c r="L109" s="14"/>
      <c r="M109" s="14"/>
      <c r="N109" s="14"/>
      <c r="O109" s="14"/>
      <c r="P109" s="14"/>
    </row>
    <row r="110" spans="10:16" x14ac:dyDescent="0.25">
      <c r="J110" s="14"/>
      <c r="K110" s="14"/>
      <c r="L110" s="14"/>
      <c r="M110" s="14"/>
      <c r="N110" s="14"/>
      <c r="O110" s="14"/>
      <c r="P110" s="14"/>
    </row>
    <row r="111" spans="10:16" x14ac:dyDescent="0.25">
      <c r="J111" s="14"/>
      <c r="K111" s="14"/>
      <c r="L111" s="14"/>
      <c r="M111" s="14"/>
      <c r="N111" s="14"/>
      <c r="O111" s="14"/>
      <c r="P111" s="14"/>
    </row>
    <row r="112" spans="10:16" x14ac:dyDescent="0.25">
      <c r="J112" s="14"/>
      <c r="K112" s="14"/>
      <c r="L112" s="14"/>
      <c r="M112" s="14"/>
      <c r="N112" s="14"/>
      <c r="O112" s="14"/>
      <c r="P112" s="14"/>
    </row>
    <row r="113" spans="10:16" x14ac:dyDescent="0.25">
      <c r="J113" s="14"/>
      <c r="K113" s="14"/>
      <c r="L113" s="14"/>
      <c r="M113" s="14"/>
      <c r="N113" s="14"/>
      <c r="O113" s="14"/>
      <c r="P113" s="14"/>
    </row>
    <row r="114" spans="10:16" x14ac:dyDescent="0.25">
      <c r="J114" s="14"/>
      <c r="K114" s="14"/>
      <c r="L114" s="14"/>
      <c r="M114" s="14"/>
      <c r="N114" s="14"/>
      <c r="O114" s="14"/>
      <c r="P114" s="14"/>
    </row>
    <row r="115" spans="10:16" x14ac:dyDescent="0.25">
      <c r="J115" s="14"/>
      <c r="K115" s="14"/>
      <c r="L115" s="14"/>
      <c r="M115" s="14"/>
      <c r="N115" s="14"/>
      <c r="O115" s="14"/>
      <c r="P115" s="14"/>
    </row>
    <row r="116" spans="10:16" x14ac:dyDescent="0.25">
      <c r="J116" s="14"/>
      <c r="K116" s="14"/>
      <c r="L116" s="14"/>
      <c r="M116" s="14"/>
      <c r="N116" s="14"/>
      <c r="O116" s="14"/>
      <c r="P116" s="14"/>
    </row>
    <row r="117" spans="10:16" x14ac:dyDescent="0.25">
      <c r="J117" s="14"/>
      <c r="K117" s="14"/>
      <c r="L117" s="14"/>
      <c r="M117" s="14"/>
      <c r="N117" s="14"/>
      <c r="O117" s="14"/>
      <c r="P117" s="14"/>
    </row>
    <row r="118" spans="10:16" x14ac:dyDescent="0.25">
      <c r="J118" s="14"/>
      <c r="K118" s="14"/>
      <c r="L118" s="14"/>
      <c r="M118" s="14"/>
      <c r="N118" s="14"/>
      <c r="O118" s="14"/>
      <c r="P118" s="14"/>
    </row>
    <row r="119" spans="10:16" x14ac:dyDescent="0.25">
      <c r="J119" s="14"/>
      <c r="K119" s="14"/>
      <c r="L119" s="14"/>
      <c r="M119" s="14"/>
      <c r="N119" s="14"/>
      <c r="O119" s="14"/>
      <c r="P119" s="14"/>
    </row>
    <row r="120" spans="10:16" x14ac:dyDescent="0.25">
      <c r="J120" s="14"/>
      <c r="K120" s="14"/>
      <c r="L120" s="14"/>
      <c r="M120" s="14"/>
      <c r="N120" s="14"/>
      <c r="O120" s="14"/>
      <c r="P120" s="14"/>
    </row>
    <row r="121" spans="10:16" x14ac:dyDescent="0.25">
      <c r="J121" s="14"/>
      <c r="K121" s="14"/>
      <c r="L121" s="14"/>
      <c r="M121" s="14"/>
      <c r="N121" s="14"/>
      <c r="O121" s="14"/>
      <c r="P121" s="14"/>
    </row>
    <row r="122" spans="10:16" x14ac:dyDescent="0.25">
      <c r="J122" s="14"/>
      <c r="K122" s="14"/>
      <c r="L122" s="14"/>
      <c r="M122" s="14"/>
      <c r="N122" s="14"/>
      <c r="O122" s="14"/>
      <c r="P122" s="14"/>
    </row>
    <row r="123" spans="10:16" x14ac:dyDescent="0.25">
      <c r="J123" s="14"/>
      <c r="K123" s="14"/>
      <c r="L123" s="14"/>
      <c r="M123" s="14"/>
      <c r="N123" s="14"/>
      <c r="O123" s="14"/>
      <c r="P123" s="14"/>
    </row>
    <row r="124" spans="10:16" x14ac:dyDescent="0.25">
      <c r="J124" s="14"/>
      <c r="K124" s="14"/>
      <c r="L124" s="14"/>
      <c r="M124" s="14"/>
      <c r="N124" s="14"/>
      <c r="O124" s="14"/>
      <c r="P124" s="14"/>
    </row>
    <row r="125" spans="10:16" x14ac:dyDescent="0.25">
      <c r="J125" s="14"/>
      <c r="K125" s="14"/>
      <c r="L125" s="14"/>
      <c r="M125" s="14"/>
      <c r="N125" s="14"/>
      <c r="O125" s="14"/>
      <c r="P125" s="14"/>
    </row>
    <row r="126" spans="10:16" x14ac:dyDescent="0.25">
      <c r="J126" s="14"/>
      <c r="K126" s="14"/>
      <c r="L126" s="14"/>
      <c r="M126" s="14"/>
      <c r="N126" s="14"/>
      <c r="O126" s="14"/>
      <c r="P126" s="14"/>
    </row>
    <row r="127" spans="10:16" x14ac:dyDescent="0.25">
      <c r="J127" s="14"/>
      <c r="K127" s="14"/>
      <c r="L127" s="14"/>
      <c r="M127" s="14"/>
      <c r="N127" s="14"/>
      <c r="O127" s="14"/>
      <c r="P127" s="14"/>
    </row>
    <row r="128" spans="10:16" x14ac:dyDescent="0.25">
      <c r="J128" s="14"/>
      <c r="K128" s="14"/>
      <c r="L128" s="14"/>
      <c r="M128" s="14"/>
      <c r="N128" s="14"/>
      <c r="O128" s="14"/>
      <c r="P128" s="14"/>
    </row>
    <row r="129" spans="10:16" x14ac:dyDescent="0.25">
      <c r="J129" s="14"/>
      <c r="K129" s="14"/>
      <c r="L129" s="14"/>
      <c r="M129" s="14"/>
      <c r="N129" s="14"/>
      <c r="O129" s="14"/>
      <c r="P129" s="14"/>
    </row>
    <row r="130" spans="10:16" x14ac:dyDescent="0.25">
      <c r="J130" s="14"/>
      <c r="K130" s="14"/>
      <c r="L130" s="14"/>
      <c r="M130" s="14"/>
      <c r="N130" s="14"/>
      <c r="O130" s="14"/>
      <c r="P130" s="14"/>
    </row>
    <row r="131" spans="10:16" x14ac:dyDescent="0.25">
      <c r="J131" s="14"/>
      <c r="K131" s="14"/>
      <c r="L131" s="14"/>
      <c r="M131" s="14"/>
      <c r="N131" s="14"/>
      <c r="O131" s="14"/>
      <c r="P131" s="14"/>
    </row>
    <row r="132" spans="10:16" x14ac:dyDescent="0.25">
      <c r="J132" s="14"/>
      <c r="K132" s="14"/>
      <c r="L132" s="14"/>
      <c r="M132" s="14"/>
      <c r="N132" s="14"/>
      <c r="O132" s="14"/>
      <c r="P132" s="14"/>
    </row>
    <row r="133" spans="10:16" x14ac:dyDescent="0.25">
      <c r="J133" s="14"/>
      <c r="K133" s="14"/>
      <c r="L133" s="14"/>
      <c r="M133" s="14"/>
      <c r="N133" s="14"/>
      <c r="O133" s="14"/>
      <c r="P133" s="14"/>
    </row>
    <row r="134" spans="10:16" x14ac:dyDescent="0.25">
      <c r="J134" s="14"/>
      <c r="K134" s="14"/>
      <c r="L134" s="14"/>
      <c r="M134" s="14"/>
      <c r="N134" s="14"/>
      <c r="O134" s="14"/>
      <c r="P134" s="14"/>
    </row>
    <row r="135" spans="10:16" x14ac:dyDescent="0.25">
      <c r="J135" s="14"/>
      <c r="K135" s="14"/>
      <c r="L135" s="14"/>
      <c r="M135" s="14"/>
      <c r="N135" s="14"/>
      <c r="O135" s="14"/>
      <c r="P135" s="14"/>
    </row>
    <row r="136" spans="10:16" x14ac:dyDescent="0.25">
      <c r="J136" s="14"/>
      <c r="K136" s="14"/>
      <c r="L136" s="14"/>
      <c r="M136" s="14"/>
      <c r="N136" s="14"/>
      <c r="O136" s="14"/>
      <c r="P136" s="14"/>
    </row>
    <row r="137" spans="10:16" x14ac:dyDescent="0.25">
      <c r="J137" s="14"/>
      <c r="K137" s="14"/>
      <c r="L137" s="14"/>
      <c r="M137" s="14"/>
      <c r="N137" s="14"/>
      <c r="O137" s="14"/>
      <c r="P137" s="14"/>
    </row>
    <row r="138" spans="10:16" x14ac:dyDescent="0.25">
      <c r="J138" s="14"/>
      <c r="K138" s="14"/>
      <c r="L138" s="14"/>
      <c r="M138" s="14"/>
      <c r="N138" s="14"/>
      <c r="O138" s="14"/>
      <c r="P138" s="14"/>
    </row>
    <row r="139" spans="10:16" x14ac:dyDescent="0.25">
      <c r="J139" s="14"/>
      <c r="K139" s="14"/>
      <c r="L139" s="14"/>
    </row>
    <row r="140" spans="10:16" x14ac:dyDescent="0.25">
      <c r="J140" s="14"/>
      <c r="K140" s="14"/>
      <c r="L140" s="14"/>
    </row>
    <row r="141" spans="10:16" x14ac:dyDescent="0.25">
      <c r="J141" s="14"/>
      <c r="K141" s="14"/>
      <c r="L141" s="14"/>
    </row>
  </sheetData>
  <pageMargins left="0.7" right="0.7" top="0.75" bottom="0.75" header="0.3" footer="0.3"/>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18EA6-AD5E-4408-89CC-0A0447898ED4}">
  <sheetPr codeName="Sheet2"/>
  <dimension ref="A3:AE15"/>
  <sheetViews>
    <sheetView zoomScale="70" zoomScaleNormal="70" workbookViewId="0">
      <selection activeCell="F8" sqref="F8"/>
    </sheetView>
  </sheetViews>
  <sheetFormatPr defaultRowHeight="13.8" x14ac:dyDescent="0.25"/>
  <cols>
    <col min="1" max="1" width="17.19921875" style="5" bestFit="1" customWidth="1"/>
    <col min="2" max="2" width="17.5" style="5" bestFit="1" customWidth="1"/>
    <col min="3" max="3" width="4" style="5" bestFit="1" customWidth="1"/>
    <col min="4" max="4" width="11.69921875" style="5" bestFit="1" customWidth="1"/>
    <col min="5" max="5" width="15.3984375" style="5" customWidth="1"/>
    <col min="6" max="6" width="17.19921875" style="5" bestFit="1" customWidth="1"/>
    <col min="7" max="7" width="17.5" style="5" bestFit="1" customWidth="1"/>
    <col min="8" max="8" width="4" style="5" bestFit="1" customWidth="1"/>
    <col min="9" max="9" width="11.69921875" style="5" bestFit="1" customWidth="1"/>
    <col min="10" max="11" width="8.796875" style="5"/>
    <col min="12" max="12" width="17.19921875" style="5" bestFit="1" customWidth="1"/>
    <col min="13" max="13" width="17.5" style="5" bestFit="1" customWidth="1"/>
    <col min="14" max="14" width="4" style="5" bestFit="1" customWidth="1"/>
    <col min="15" max="15" width="11.69921875" style="5" bestFit="1" customWidth="1"/>
    <col min="16" max="16" width="8.796875" style="5"/>
    <col min="17" max="17" width="17.19921875" style="5" bestFit="1" customWidth="1"/>
    <col min="18" max="18" width="17.5" style="5" bestFit="1" customWidth="1"/>
    <col min="19" max="19" width="4" style="5" bestFit="1" customWidth="1"/>
    <col min="20" max="20" width="11.69921875" style="5" bestFit="1" customWidth="1"/>
    <col min="21" max="21" width="8.796875" style="5"/>
    <col min="22" max="22" width="19.09765625" style="5" bestFit="1" customWidth="1"/>
    <col min="23" max="23" width="17.5" style="5" bestFit="1" customWidth="1"/>
    <col min="24" max="24" width="4" style="5" bestFit="1" customWidth="1"/>
    <col min="25" max="25" width="11.69921875" style="5" bestFit="1" customWidth="1"/>
    <col min="26" max="27" width="8.796875" style="5"/>
    <col min="28" max="28" width="17.19921875" style="5" bestFit="1" customWidth="1"/>
    <col min="29" max="29" width="17.5" style="5" bestFit="1" customWidth="1"/>
    <col min="30" max="30" width="4" style="5" bestFit="1" customWidth="1"/>
    <col min="31" max="31" width="11.69921875" style="5" bestFit="1" customWidth="1"/>
    <col min="32" max="32" width="8.796875" style="5"/>
    <col min="33" max="34" width="8" style="5"/>
    <col min="35" max="16384" width="8.796875" style="5"/>
  </cols>
  <sheetData>
    <row r="3" spans="1:31" x14ac:dyDescent="0.25">
      <c r="A3" s="11" t="s">
        <v>16</v>
      </c>
      <c r="B3" s="11" t="s">
        <v>11</v>
      </c>
      <c r="F3" s="11" t="s">
        <v>16</v>
      </c>
      <c r="G3" s="11" t="s">
        <v>11</v>
      </c>
      <c r="L3" s="11" t="s">
        <v>16</v>
      </c>
      <c r="M3" s="11" t="s">
        <v>11</v>
      </c>
      <c r="Q3" s="11" t="s">
        <v>16</v>
      </c>
      <c r="R3" s="11" t="s">
        <v>11</v>
      </c>
      <c r="V3" s="11" t="s">
        <v>16</v>
      </c>
      <c r="W3" s="11" t="s">
        <v>11</v>
      </c>
      <c r="AB3" s="11" t="s">
        <v>16</v>
      </c>
      <c r="AC3" s="11" t="s">
        <v>11</v>
      </c>
    </row>
    <row r="4" spans="1:31" x14ac:dyDescent="0.25">
      <c r="A4" s="11" t="s">
        <v>9</v>
      </c>
      <c r="B4" s="5">
        <v>0</v>
      </c>
      <c r="C4" s="5">
        <v>1</v>
      </c>
      <c r="D4" s="5" t="s">
        <v>10</v>
      </c>
      <c r="F4" s="11" t="s">
        <v>9</v>
      </c>
      <c r="G4" s="5">
        <v>0</v>
      </c>
      <c r="H4" s="5">
        <v>1</v>
      </c>
      <c r="I4" s="5" t="s">
        <v>10</v>
      </c>
      <c r="L4" s="11" t="s">
        <v>9</v>
      </c>
      <c r="M4" s="5">
        <v>0</v>
      </c>
      <c r="N4" s="5">
        <v>1</v>
      </c>
      <c r="O4" s="5" t="s">
        <v>10</v>
      </c>
      <c r="Q4" s="11" t="s">
        <v>9</v>
      </c>
      <c r="R4" s="5">
        <v>0</v>
      </c>
      <c r="S4" s="5">
        <v>1</v>
      </c>
      <c r="T4" s="5" t="s">
        <v>10</v>
      </c>
      <c r="V4" s="11" t="s">
        <v>9</v>
      </c>
      <c r="W4" s="5">
        <v>0</v>
      </c>
      <c r="X4" s="5">
        <v>1</v>
      </c>
      <c r="Y4" s="5" t="s">
        <v>10</v>
      </c>
      <c r="AB4" s="11" t="s">
        <v>9</v>
      </c>
      <c r="AC4" s="5">
        <v>0</v>
      </c>
      <c r="AD4" s="5">
        <v>1</v>
      </c>
      <c r="AE4" s="5" t="s">
        <v>10</v>
      </c>
    </row>
    <row r="5" spans="1:31" x14ac:dyDescent="0.25">
      <c r="A5" s="12" t="s">
        <v>33</v>
      </c>
      <c r="B5" s="15">
        <v>4</v>
      </c>
      <c r="C5" s="15"/>
      <c r="D5" s="15">
        <v>4</v>
      </c>
      <c r="F5" s="12" t="s">
        <v>44</v>
      </c>
      <c r="G5" s="15">
        <v>4</v>
      </c>
      <c r="H5" s="15"/>
      <c r="I5" s="15">
        <v>4</v>
      </c>
      <c r="L5" s="12" t="s">
        <v>64</v>
      </c>
      <c r="M5" s="15">
        <v>73</v>
      </c>
      <c r="N5" s="15">
        <v>6</v>
      </c>
      <c r="O5" s="15">
        <v>79</v>
      </c>
      <c r="Q5" s="12" t="s">
        <v>49</v>
      </c>
      <c r="R5" s="15">
        <v>34</v>
      </c>
      <c r="S5" s="15">
        <v>5</v>
      </c>
      <c r="T5" s="15">
        <v>39</v>
      </c>
      <c r="V5" s="12" t="s">
        <v>23</v>
      </c>
      <c r="W5" s="15">
        <v>385</v>
      </c>
      <c r="X5" s="15">
        <v>178</v>
      </c>
      <c r="Y5" s="15">
        <v>563</v>
      </c>
      <c r="AB5" s="12" t="s">
        <v>60</v>
      </c>
      <c r="AC5" s="15">
        <v>378</v>
      </c>
      <c r="AD5" s="15">
        <v>165</v>
      </c>
      <c r="AE5" s="15">
        <v>543</v>
      </c>
    </row>
    <row r="6" spans="1:31" x14ac:dyDescent="0.25">
      <c r="A6" s="12" t="s">
        <v>31</v>
      </c>
      <c r="B6" s="15">
        <v>95</v>
      </c>
      <c r="C6" s="15">
        <v>7</v>
      </c>
      <c r="D6" s="15">
        <v>102</v>
      </c>
      <c r="F6" s="12" t="s">
        <v>45</v>
      </c>
      <c r="G6" s="15">
        <v>31</v>
      </c>
      <c r="H6" s="15">
        <v>1</v>
      </c>
      <c r="I6" s="15">
        <v>32</v>
      </c>
      <c r="L6" s="12" t="s">
        <v>65</v>
      </c>
      <c r="M6" s="15">
        <v>341</v>
      </c>
      <c r="N6" s="15">
        <v>175</v>
      </c>
      <c r="O6" s="15">
        <v>516</v>
      </c>
      <c r="Q6" s="12" t="s">
        <v>50</v>
      </c>
      <c r="R6" s="15">
        <v>117</v>
      </c>
      <c r="S6" s="15">
        <v>28</v>
      </c>
      <c r="T6" s="15">
        <v>145</v>
      </c>
      <c r="V6" s="12" t="s">
        <v>25</v>
      </c>
      <c r="W6" s="15">
        <v>84</v>
      </c>
      <c r="X6" s="15">
        <v>61</v>
      </c>
      <c r="Y6" s="15">
        <v>145</v>
      </c>
      <c r="AB6" s="12" t="s">
        <v>61</v>
      </c>
      <c r="AC6" s="15">
        <v>103</v>
      </c>
      <c r="AD6" s="15">
        <v>78</v>
      </c>
      <c r="AE6" s="15">
        <v>181</v>
      </c>
    </row>
    <row r="7" spans="1:31" x14ac:dyDescent="0.25">
      <c r="A7" s="12" t="s">
        <v>30</v>
      </c>
      <c r="B7" s="15">
        <v>139</v>
      </c>
      <c r="C7" s="15">
        <v>40</v>
      </c>
      <c r="D7" s="15">
        <v>179</v>
      </c>
      <c r="F7" s="12" t="s">
        <v>46</v>
      </c>
      <c r="G7" s="15">
        <v>143</v>
      </c>
      <c r="H7" s="15">
        <v>13</v>
      </c>
      <c r="I7" s="15">
        <v>156</v>
      </c>
      <c r="L7" s="12" t="s">
        <v>66</v>
      </c>
      <c r="M7" s="15">
        <v>49</v>
      </c>
      <c r="N7" s="15">
        <v>44</v>
      </c>
      <c r="O7" s="15">
        <v>93</v>
      </c>
      <c r="Q7" s="12" t="s">
        <v>51</v>
      </c>
      <c r="R7" s="15">
        <v>265</v>
      </c>
      <c r="S7" s="15">
        <v>159</v>
      </c>
      <c r="T7" s="15">
        <v>424</v>
      </c>
      <c r="V7" s="12" t="s">
        <v>24</v>
      </c>
      <c r="W7" s="15">
        <v>24</v>
      </c>
      <c r="X7" s="15">
        <v>20</v>
      </c>
      <c r="Y7" s="15">
        <v>44</v>
      </c>
      <c r="AB7" s="12" t="s">
        <v>62</v>
      </c>
      <c r="AC7" s="15">
        <v>13</v>
      </c>
      <c r="AD7" s="15">
        <v>21</v>
      </c>
      <c r="AE7" s="15">
        <v>34</v>
      </c>
    </row>
    <row r="8" spans="1:31" x14ac:dyDescent="0.25">
      <c r="A8" s="12" t="s">
        <v>29</v>
      </c>
      <c r="B8" s="15">
        <v>219</v>
      </c>
      <c r="C8" s="15">
        <v>166</v>
      </c>
      <c r="D8" s="15">
        <v>385</v>
      </c>
      <c r="F8" s="12" t="s">
        <v>40</v>
      </c>
      <c r="G8" s="15">
        <v>160</v>
      </c>
      <c r="H8" s="15">
        <v>56</v>
      </c>
      <c r="I8" s="15">
        <v>216</v>
      </c>
      <c r="L8" s="12" t="s">
        <v>67</v>
      </c>
      <c r="M8" s="15">
        <v>17</v>
      </c>
      <c r="N8" s="15">
        <v>18</v>
      </c>
      <c r="O8" s="15">
        <v>35</v>
      </c>
      <c r="Q8" s="12" t="s">
        <v>52</v>
      </c>
      <c r="R8" s="15">
        <v>66</v>
      </c>
      <c r="S8" s="15">
        <v>57</v>
      </c>
      <c r="T8" s="15">
        <v>123</v>
      </c>
      <c r="V8" s="12" t="s">
        <v>26</v>
      </c>
      <c r="W8" s="15">
        <v>7</v>
      </c>
      <c r="X8" s="15">
        <v>9</v>
      </c>
      <c r="Y8" s="15">
        <v>16</v>
      </c>
      <c r="AB8" s="12" t="s">
        <v>72</v>
      </c>
      <c r="AC8" s="15">
        <v>5</v>
      </c>
      <c r="AD8" s="15">
        <v>1</v>
      </c>
      <c r="AE8" s="15">
        <v>6</v>
      </c>
    </row>
    <row r="9" spans="1:31" x14ac:dyDescent="0.25">
      <c r="A9" s="12" t="s">
        <v>32</v>
      </c>
      <c r="B9" s="15">
        <v>43</v>
      </c>
      <c r="C9" s="15">
        <v>55</v>
      </c>
      <c r="D9" s="15">
        <v>98</v>
      </c>
      <c r="F9" s="12" t="s">
        <v>41</v>
      </c>
      <c r="G9" s="15">
        <v>100</v>
      </c>
      <c r="H9" s="15">
        <v>63</v>
      </c>
      <c r="I9" s="15">
        <v>163</v>
      </c>
      <c r="L9" s="12" t="s">
        <v>68</v>
      </c>
      <c r="M9" s="15">
        <v>10</v>
      </c>
      <c r="N9" s="15">
        <v>10</v>
      </c>
      <c r="O9" s="15">
        <v>20</v>
      </c>
      <c r="Q9" s="12" t="s">
        <v>53</v>
      </c>
      <c r="R9" s="15">
        <v>17</v>
      </c>
      <c r="S9" s="15">
        <v>16</v>
      </c>
      <c r="T9" s="15">
        <v>33</v>
      </c>
      <c r="V9" s="12" t="s">
        <v>10</v>
      </c>
      <c r="W9" s="15">
        <v>500</v>
      </c>
      <c r="X9" s="15">
        <v>268</v>
      </c>
      <c r="Y9" s="15">
        <v>768</v>
      </c>
      <c r="AB9" s="12" t="s">
        <v>63</v>
      </c>
      <c r="AC9" s="15">
        <v>1</v>
      </c>
      <c r="AD9" s="15">
        <v>3</v>
      </c>
      <c r="AE9" s="15">
        <v>4</v>
      </c>
    </row>
    <row r="10" spans="1:31" x14ac:dyDescent="0.25">
      <c r="A10" s="12" t="s">
        <v>10</v>
      </c>
      <c r="B10" s="15">
        <v>500</v>
      </c>
      <c r="C10" s="15">
        <v>268</v>
      </c>
      <c r="D10" s="15">
        <v>768</v>
      </c>
      <c r="F10" s="12" t="s">
        <v>42</v>
      </c>
      <c r="G10" s="15">
        <v>44</v>
      </c>
      <c r="H10" s="15">
        <v>51</v>
      </c>
      <c r="I10" s="15">
        <v>95</v>
      </c>
      <c r="L10" s="12" t="s">
        <v>69</v>
      </c>
      <c r="M10" s="15">
        <v>4</v>
      </c>
      <c r="N10" s="15">
        <v>3</v>
      </c>
      <c r="O10" s="15">
        <v>7</v>
      </c>
      <c r="Q10" s="12" t="s">
        <v>54</v>
      </c>
      <c r="R10" s="15">
        <v>1</v>
      </c>
      <c r="S10" s="15">
        <v>2</v>
      </c>
      <c r="T10" s="15">
        <v>3</v>
      </c>
      <c r="AB10" s="12" t="s">
        <v>10</v>
      </c>
      <c r="AC10" s="15">
        <v>500</v>
      </c>
      <c r="AD10" s="15">
        <v>268</v>
      </c>
      <c r="AE10" s="15">
        <v>768</v>
      </c>
    </row>
    <row r="11" spans="1:31" x14ac:dyDescent="0.25">
      <c r="F11" s="12" t="s">
        <v>43</v>
      </c>
      <c r="G11" s="15">
        <v>11</v>
      </c>
      <c r="H11" s="15">
        <v>45</v>
      </c>
      <c r="I11" s="15">
        <v>56</v>
      </c>
      <c r="L11" s="12" t="s">
        <v>70</v>
      </c>
      <c r="M11" s="15">
        <v>3</v>
      </c>
      <c r="N11" s="15">
        <v>4</v>
      </c>
      <c r="O11" s="15">
        <v>7</v>
      </c>
      <c r="Q11" s="12" t="s">
        <v>55</v>
      </c>
      <c r="R11" s="15"/>
      <c r="S11" s="15">
        <v>1</v>
      </c>
      <c r="T11" s="15">
        <v>1</v>
      </c>
    </row>
    <row r="12" spans="1:31" x14ac:dyDescent="0.25">
      <c r="E12" s="15"/>
      <c r="F12" s="12" t="s">
        <v>48</v>
      </c>
      <c r="G12" s="15">
        <v>7</v>
      </c>
      <c r="H12" s="15">
        <v>39</v>
      </c>
      <c r="I12" s="15">
        <v>46</v>
      </c>
      <c r="L12" s="12" t="s">
        <v>71</v>
      </c>
      <c r="M12" s="15">
        <v>1</v>
      </c>
      <c r="N12" s="15">
        <v>5</v>
      </c>
      <c r="O12" s="15">
        <v>6</v>
      </c>
      <c r="Q12" s="12" t="s">
        <v>10</v>
      </c>
      <c r="R12" s="15">
        <v>500</v>
      </c>
      <c r="S12" s="15">
        <v>268</v>
      </c>
      <c r="T12" s="15">
        <v>768</v>
      </c>
    </row>
    <row r="13" spans="1:31" x14ac:dyDescent="0.25">
      <c r="E13" s="15"/>
      <c r="F13" s="12" t="s">
        <v>10</v>
      </c>
      <c r="G13" s="15">
        <v>500</v>
      </c>
      <c r="H13" s="15">
        <v>268</v>
      </c>
      <c r="I13" s="15">
        <v>768</v>
      </c>
      <c r="L13" s="12" t="s">
        <v>10</v>
      </c>
      <c r="M13" s="15">
        <v>498</v>
      </c>
      <c r="N13" s="15">
        <v>265</v>
      </c>
      <c r="O13" s="15">
        <v>763</v>
      </c>
    </row>
    <row r="14" spans="1:31" x14ac:dyDescent="0.25">
      <c r="E14" s="15"/>
    </row>
    <row r="15" spans="1:31" x14ac:dyDescent="0.25">
      <c r="E15" s="15"/>
    </row>
  </sheetData>
  <pageMargins left="0.7" right="0.7" top="0.75" bottom="0.75" header="0.3" footer="0.3"/>
  <drawing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4675CE7-5E44-4816-9EC5-0CA4F222F8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diabetesoriginal</vt:lpstr>
      <vt:lpstr>diabetes</vt:lpstr>
      <vt:lpstr>correlation</vt:lpstr>
      <vt:lpstr>count</vt:lpstr>
      <vt:lpstr>Frequency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Rouwen Li</dc:creator>
  <cp:lastModifiedBy>rouwen</cp:lastModifiedBy>
  <dcterms:created xsi:type="dcterms:W3CDTF">2022-04-28T02:38:37Z</dcterms:created>
  <dcterms:modified xsi:type="dcterms:W3CDTF">2022-07-17T11:38:05Z</dcterms:modified>
</cp:coreProperties>
</file>